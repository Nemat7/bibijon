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t3738\OneDrive - Yum! Brands, Inc\REX\Рутина OPS\Модуль ТУ\Place\Place для LZ и роллаута\"/>
    </mc:Choice>
  </mc:AlternateContent>
  <xr:revisionPtr revIDLastSave="0" documentId="11_70EA34EE6C1EA256A962028C4C0388A7757304D1" xr6:coauthVersionLast="47" xr6:coauthVersionMax="47" xr10:uidLastSave="{00000000-0000-0000-0000-000000000000}"/>
  <bookViews>
    <workbookView xWindow="-110" yWindow="-110" windowWidth="23260" windowHeight="12580" tabRatio="844" firstSheet="4" xr2:uid="{00000000-000D-0000-FFFF-FFFF00000000}"/>
  </bookViews>
  <sheets>
    <sheet name="ИНСТРУКЦИЯ" sheetId="20" r:id="rId1"/>
    <sheet name="ПЛАН" sheetId="16" r:id="rId2"/>
    <sheet name="СЧЕТА" sheetId="22" state="hidden" r:id="rId3"/>
    <sheet name="TEMP" sheetId="2" state="hidden" r:id="rId4"/>
    <sheet name="Semis" sheetId="25" r:id="rId5"/>
    <sheet name="Итог Год" sheetId="24" r:id="rId6"/>
    <sheet name="СПРАВКА ПО СТАТЬЯМ" sheetId="8" r:id="rId7"/>
  </sheets>
  <definedNames>
    <definedName name="_xlnm.Print_Area" localSheetId="0">ИНСТРУКЦИЯ!$A$3:$J$33</definedName>
    <definedName name="_xlnm.Print_Area" localSheetId="1">ПЛАН!$B$1:$E$103</definedName>
    <definedName name="produkty">#REF!</definedName>
  </definedNames>
  <calcPr calcId="191028"/>
  <customWorkbookViews>
    <customWorkbookView name="KFC Jet - Widok osobisty" guid="{66AC86E0-1433-11D8-BD9C-000AE6DDA19B}" mergeInterval="0" personalView="1" maximized="1" windowWidth="796" windowHeight="435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6" l="1"/>
  <c r="AE24" i="24" l="1"/>
  <c r="AC24" i="24"/>
  <c r="AA24" i="24"/>
  <c r="W24" i="24"/>
  <c r="U24" i="24"/>
  <c r="S24" i="24"/>
  <c r="G24" i="24"/>
  <c r="E24" i="24"/>
  <c r="C24" i="24"/>
  <c r="O24" i="24"/>
  <c r="M24" i="24"/>
  <c r="K24" i="24"/>
  <c r="N27" i="25"/>
  <c r="L27" i="25"/>
  <c r="D8" i="25"/>
  <c r="F8" i="25" s="1"/>
  <c r="H8" i="25" s="1"/>
  <c r="J8" i="25" s="1"/>
  <c r="L8" i="25" s="1"/>
  <c r="N8" i="25" s="1"/>
  <c r="P55" i="25"/>
  <c r="O55" i="25"/>
  <c r="M55" i="25"/>
  <c r="K55" i="25"/>
  <c r="I55" i="25"/>
  <c r="G55" i="25"/>
  <c r="E55" i="25"/>
  <c r="R54" i="25"/>
  <c r="T54" i="25"/>
  <c r="N54" i="25"/>
  <c r="L54" i="25"/>
  <c r="J54" i="25"/>
  <c r="H54" i="25"/>
  <c r="F54" i="25"/>
  <c r="D54" i="25"/>
  <c r="R53" i="25"/>
  <c r="T53" i="25"/>
  <c r="N53" i="25"/>
  <c r="L53" i="25"/>
  <c r="J53" i="25"/>
  <c r="H53" i="25"/>
  <c r="F53" i="25"/>
  <c r="D53" i="25"/>
  <c r="R52" i="25"/>
  <c r="R55" i="25" s="1"/>
  <c r="T52" i="25"/>
  <c r="N52" i="25"/>
  <c r="N55" i="25" s="1"/>
  <c r="L52" i="25"/>
  <c r="L55" i="25" s="1"/>
  <c r="J52" i="25"/>
  <c r="H52" i="25"/>
  <c r="F52" i="25"/>
  <c r="D52" i="25"/>
  <c r="P51" i="25"/>
  <c r="O51" i="25"/>
  <c r="M51" i="25"/>
  <c r="K51" i="25"/>
  <c r="I51" i="25"/>
  <c r="G51" i="25"/>
  <c r="E51" i="25"/>
  <c r="R50" i="25"/>
  <c r="T50" i="25" s="1"/>
  <c r="N50" i="25"/>
  <c r="L50" i="25"/>
  <c r="J50" i="25"/>
  <c r="H50" i="25"/>
  <c r="F50" i="25"/>
  <c r="D50" i="25"/>
  <c r="R49" i="25"/>
  <c r="T49" i="25" s="1"/>
  <c r="N49" i="25"/>
  <c r="L49" i="25"/>
  <c r="J49" i="25"/>
  <c r="H49" i="25"/>
  <c r="F49" i="25"/>
  <c r="D49" i="25"/>
  <c r="R48" i="25"/>
  <c r="T48" i="25" s="1"/>
  <c r="N48" i="25"/>
  <c r="L48" i="25"/>
  <c r="J48" i="25"/>
  <c r="H48" i="25"/>
  <c r="H51" i="25" s="1"/>
  <c r="F48" i="25"/>
  <c r="D48" i="25"/>
  <c r="S47" i="25"/>
  <c r="P47" i="25"/>
  <c r="O47" i="25"/>
  <c r="M47" i="25"/>
  <c r="K47" i="25"/>
  <c r="I47" i="25"/>
  <c r="G47" i="25"/>
  <c r="E47" i="25"/>
  <c r="R46" i="25"/>
  <c r="T46" i="25"/>
  <c r="N46" i="25"/>
  <c r="L46" i="25"/>
  <c r="J46" i="25"/>
  <c r="H46" i="25"/>
  <c r="F46" i="25"/>
  <c r="D46" i="25"/>
  <c r="R45" i="25"/>
  <c r="R47" i="25" s="1"/>
  <c r="T45" i="25"/>
  <c r="T47" i="25" s="1"/>
  <c r="N45" i="25"/>
  <c r="N47" i="25" s="1"/>
  <c r="L45" i="25"/>
  <c r="L47" i="25" s="1"/>
  <c r="J45" i="25"/>
  <c r="J47" i="25" s="1"/>
  <c r="H45" i="25"/>
  <c r="F45" i="25"/>
  <c r="D45" i="25"/>
  <c r="D47" i="25" s="1"/>
  <c r="P44" i="25"/>
  <c r="O44" i="25"/>
  <c r="M44" i="25"/>
  <c r="K44" i="25"/>
  <c r="I44" i="25"/>
  <c r="G44" i="25"/>
  <c r="E44" i="25"/>
  <c r="R43" i="25"/>
  <c r="N43" i="25"/>
  <c r="L43" i="25"/>
  <c r="J43" i="25"/>
  <c r="H43" i="25"/>
  <c r="F43" i="25"/>
  <c r="D43" i="25"/>
  <c r="R42" i="25"/>
  <c r="N42" i="25"/>
  <c r="L42" i="25"/>
  <c r="J42" i="25"/>
  <c r="H42" i="25"/>
  <c r="F42" i="25"/>
  <c r="D42" i="25"/>
  <c r="R41" i="25"/>
  <c r="N41" i="25"/>
  <c r="L41" i="25"/>
  <c r="J41" i="25"/>
  <c r="H41" i="25"/>
  <c r="F41" i="25"/>
  <c r="D41" i="25"/>
  <c r="R40" i="25"/>
  <c r="N40" i="25"/>
  <c r="L40" i="25"/>
  <c r="J40" i="25"/>
  <c r="H40" i="25"/>
  <c r="F40" i="25"/>
  <c r="D40" i="25"/>
  <c r="R39" i="25"/>
  <c r="N39" i="25"/>
  <c r="L39" i="25"/>
  <c r="J39" i="25"/>
  <c r="H39" i="25"/>
  <c r="F39" i="25"/>
  <c r="D39" i="25"/>
  <c r="R38" i="25"/>
  <c r="N38" i="25"/>
  <c r="L38" i="25"/>
  <c r="J38" i="25"/>
  <c r="H38" i="25"/>
  <c r="F38" i="25"/>
  <c r="D38" i="25"/>
  <c r="R37" i="25"/>
  <c r="N37" i="25"/>
  <c r="L37" i="25"/>
  <c r="J37" i="25"/>
  <c r="H37" i="25"/>
  <c r="F37" i="25"/>
  <c r="D37" i="25"/>
  <c r="R36" i="25"/>
  <c r="N36" i="25"/>
  <c r="L36" i="25"/>
  <c r="J36" i="25"/>
  <c r="H36" i="25"/>
  <c r="F36" i="25"/>
  <c r="D36" i="25"/>
  <c r="R35" i="25"/>
  <c r="N35" i="25"/>
  <c r="L35" i="25"/>
  <c r="J35" i="25"/>
  <c r="H35" i="25"/>
  <c r="F35" i="25"/>
  <c r="D35" i="25"/>
  <c r="R34" i="25"/>
  <c r="N34" i="25"/>
  <c r="L34" i="25"/>
  <c r="J34" i="25"/>
  <c r="H34" i="25"/>
  <c r="F34" i="25"/>
  <c r="D34" i="25"/>
  <c r="R33" i="25"/>
  <c r="N33" i="25"/>
  <c r="L33" i="25"/>
  <c r="J33" i="25"/>
  <c r="H33" i="25"/>
  <c r="F33" i="25"/>
  <c r="D33" i="25"/>
  <c r="P32" i="25"/>
  <c r="O32" i="25"/>
  <c r="M32" i="25"/>
  <c r="K32" i="25"/>
  <c r="I32" i="25"/>
  <c r="G32" i="25"/>
  <c r="E32" i="25"/>
  <c r="R31" i="25"/>
  <c r="T31" i="25" s="1"/>
  <c r="N31" i="25"/>
  <c r="L31" i="25"/>
  <c r="J31" i="25"/>
  <c r="H31" i="25"/>
  <c r="F31" i="25"/>
  <c r="D31" i="25"/>
  <c r="R30" i="25"/>
  <c r="T30" i="25" s="1"/>
  <c r="N30" i="25"/>
  <c r="L30" i="25"/>
  <c r="J30" i="25"/>
  <c r="H30" i="25"/>
  <c r="F30" i="25"/>
  <c r="D30" i="25"/>
  <c r="R29" i="25"/>
  <c r="T29" i="25" s="1"/>
  <c r="N29" i="25"/>
  <c r="L29" i="25"/>
  <c r="J29" i="25"/>
  <c r="H29" i="25"/>
  <c r="F29" i="25"/>
  <c r="D29" i="25"/>
  <c r="R28" i="25"/>
  <c r="T28" i="25" s="1"/>
  <c r="N28" i="25"/>
  <c r="L28" i="25"/>
  <c r="J28" i="25"/>
  <c r="H28" i="25"/>
  <c r="F28" i="25"/>
  <c r="D28" i="25"/>
  <c r="R27" i="25"/>
  <c r="T27" i="25" s="1"/>
  <c r="J27" i="25"/>
  <c r="H27" i="25"/>
  <c r="F27" i="25"/>
  <c r="D27" i="25"/>
  <c r="R26" i="25"/>
  <c r="T26" i="25" s="1"/>
  <c r="N26" i="25"/>
  <c r="L26" i="25"/>
  <c r="J26" i="25"/>
  <c r="H26" i="25"/>
  <c r="F26" i="25"/>
  <c r="D26" i="25"/>
  <c r="P25" i="25"/>
  <c r="O25" i="25"/>
  <c r="M25" i="25"/>
  <c r="M57" i="25"/>
  <c r="K25" i="25"/>
  <c r="K56" i="25"/>
  <c r="K57" i="25"/>
  <c r="I25" i="25"/>
  <c r="I56" i="25" s="1"/>
  <c r="I57" i="25"/>
  <c r="G25" i="25"/>
  <c r="G57" i="25"/>
  <c r="E25" i="25"/>
  <c r="E57" i="25"/>
  <c r="R24" i="25"/>
  <c r="N24" i="25"/>
  <c r="L24" i="25"/>
  <c r="J24" i="25"/>
  <c r="H24" i="25"/>
  <c r="F24" i="25"/>
  <c r="D24" i="25"/>
  <c r="R23" i="25"/>
  <c r="N23" i="25"/>
  <c r="L23" i="25"/>
  <c r="J23" i="25"/>
  <c r="H23" i="25"/>
  <c r="F23" i="25"/>
  <c r="D23" i="25"/>
  <c r="R22" i="25"/>
  <c r="T22" i="25" s="1"/>
  <c r="N22" i="25"/>
  <c r="L22" i="25"/>
  <c r="J22" i="25"/>
  <c r="H22" i="25"/>
  <c r="F22" i="25"/>
  <c r="D22" i="25"/>
  <c r="R21" i="25"/>
  <c r="T21" i="25" s="1"/>
  <c r="N21" i="25"/>
  <c r="L21" i="25"/>
  <c r="J21" i="25"/>
  <c r="H21" i="25"/>
  <c r="F21" i="25"/>
  <c r="D21" i="25"/>
  <c r="R20" i="25"/>
  <c r="T20" i="25" s="1"/>
  <c r="N20" i="25"/>
  <c r="L20" i="25"/>
  <c r="J20" i="25"/>
  <c r="H20" i="25"/>
  <c r="F20" i="25"/>
  <c r="D20" i="25"/>
  <c r="R19" i="25"/>
  <c r="T19" i="25" s="1"/>
  <c r="N19" i="25"/>
  <c r="L19" i="25"/>
  <c r="J19" i="25"/>
  <c r="H19" i="25"/>
  <c r="F19" i="25"/>
  <c r="D19" i="25"/>
  <c r="W14" i="25"/>
  <c r="R11" i="25"/>
  <c r="AB8" i="25" s="1"/>
  <c r="AH2" i="25" s="1"/>
  <c r="S31" i="25"/>
  <c r="P11" i="25"/>
  <c r="AB2" i="25" s="1"/>
  <c r="Q52" i="25" s="1"/>
  <c r="AB7" i="25"/>
  <c r="AB5" i="25"/>
  <c r="AH3" i="25"/>
  <c r="AG2" i="25"/>
  <c r="AG59" i="24"/>
  <c r="AG58" i="24"/>
  <c r="AG57" i="24"/>
  <c r="AG56" i="24"/>
  <c r="AE55" i="24"/>
  <c r="AC55" i="24"/>
  <c r="AA55" i="24"/>
  <c r="AG54" i="24"/>
  <c r="AG53" i="24"/>
  <c r="AG52" i="24"/>
  <c r="AE51" i="24"/>
  <c r="AC51" i="24"/>
  <c r="AA51" i="24"/>
  <c r="AG50" i="24"/>
  <c r="AG49" i="24"/>
  <c r="AE48" i="24"/>
  <c r="AC48" i="24"/>
  <c r="AA48" i="24"/>
  <c r="AG47" i="24"/>
  <c r="AG46" i="24"/>
  <c r="AG45" i="24"/>
  <c r="AG44" i="24"/>
  <c r="AG40" i="24"/>
  <c r="AG36" i="24"/>
  <c r="AG26" i="24"/>
  <c r="AG25" i="24"/>
  <c r="AG23" i="24"/>
  <c r="AG22" i="24"/>
  <c r="AG21" i="24"/>
  <c r="AG20" i="24"/>
  <c r="AG19" i="24"/>
  <c r="AG18" i="24"/>
  <c r="AE17" i="24"/>
  <c r="AC17" i="24"/>
  <c r="AA17" i="24"/>
  <c r="AG16" i="24"/>
  <c r="AG15" i="24"/>
  <c r="AG14" i="24"/>
  <c r="AG13" i="24"/>
  <c r="AG12" i="24"/>
  <c r="AG11" i="24"/>
  <c r="AE10" i="24"/>
  <c r="AC10" i="24"/>
  <c r="AA10" i="24"/>
  <c r="AG8" i="24"/>
  <c r="AE7" i="24"/>
  <c r="AE6" i="24" s="1"/>
  <c r="AC7" i="24"/>
  <c r="AD36" i="24" s="1"/>
  <c r="AA7" i="24"/>
  <c r="AA6" i="24" s="1"/>
  <c r="Y59" i="24"/>
  <c r="Y58" i="24"/>
  <c r="Y57" i="24"/>
  <c r="Y56" i="24"/>
  <c r="W55" i="24"/>
  <c r="U55" i="24"/>
  <c r="S55" i="24"/>
  <c r="Y54" i="24"/>
  <c r="Y53" i="24"/>
  <c r="Y52" i="24"/>
  <c r="W51" i="24"/>
  <c r="U51" i="24"/>
  <c r="S51" i="24"/>
  <c r="Y50" i="24"/>
  <c r="Y49" i="24"/>
  <c r="W48" i="24"/>
  <c r="U48" i="24"/>
  <c r="S48" i="24"/>
  <c r="Y47" i="24"/>
  <c r="Y46" i="24"/>
  <c r="Y45" i="24"/>
  <c r="Y44" i="24"/>
  <c r="Y40" i="24"/>
  <c r="Y36" i="24"/>
  <c r="Y26" i="24"/>
  <c r="Y25" i="24"/>
  <c r="Y23" i="24"/>
  <c r="Y22" i="24"/>
  <c r="Y21" i="24"/>
  <c r="Y20" i="24"/>
  <c r="Y19" i="24"/>
  <c r="Y18" i="24"/>
  <c r="W17" i="24"/>
  <c r="U17" i="24"/>
  <c r="S17" i="24"/>
  <c r="Y16" i="24"/>
  <c r="Y15" i="24"/>
  <c r="Y14" i="24"/>
  <c r="Y13" i="24"/>
  <c r="Y12" i="24"/>
  <c r="Y11" i="24"/>
  <c r="W10" i="24"/>
  <c r="U10" i="24"/>
  <c r="S10" i="24"/>
  <c r="Y8" i="24"/>
  <c r="W7" i="24"/>
  <c r="X33" i="24" s="1"/>
  <c r="U7" i="24"/>
  <c r="V32" i="24"/>
  <c r="S7" i="24"/>
  <c r="Q59" i="24"/>
  <c r="Q58" i="24"/>
  <c r="Q57" i="24"/>
  <c r="Q56" i="24"/>
  <c r="O55" i="24"/>
  <c r="M55" i="24"/>
  <c r="K55" i="24"/>
  <c r="Q54" i="24"/>
  <c r="Q53" i="24"/>
  <c r="Q52" i="24"/>
  <c r="O51" i="24"/>
  <c r="M51" i="24"/>
  <c r="K51" i="24"/>
  <c r="Q50" i="24"/>
  <c r="Q49" i="24"/>
  <c r="O48" i="24"/>
  <c r="M48" i="24"/>
  <c r="K48" i="24"/>
  <c r="Q48" i="24" s="1"/>
  <c r="Q47" i="24"/>
  <c r="Q46" i="24"/>
  <c r="Q45" i="24"/>
  <c r="Q44" i="24"/>
  <c r="Q40" i="24"/>
  <c r="Q36" i="24"/>
  <c r="Q26" i="24"/>
  <c r="Q25" i="24"/>
  <c r="Q23" i="24"/>
  <c r="Q22" i="24"/>
  <c r="Q21" i="24"/>
  <c r="Q20" i="24"/>
  <c r="Q19" i="24"/>
  <c r="Q18" i="24"/>
  <c r="O17" i="24"/>
  <c r="M17" i="24"/>
  <c r="K17" i="24"/>
  <c r="Q16" i="24"/>
  <c r="Q15" i="24"/>
  <c r="Q14" i="24"/>
  <c r="Q13" i="24"/>
  <c r="Q12" i="24"/>
  <c r="Q11" i="24"/>
  <c r="O10" i="24"/>
  <c r="M10" i="24"/>
  <c r="K10" i="24"/>
  <c r="Q8" i="24"/>
  <c r="O7" i="24"/>
  <c r="O6" i="24" s="1"/>
  <c r="M7" i="24"/>
  <c r="K7" i="24"/>
  <c r="I53" i="24"/>
  <c r="G51" i="24"/>
  <c r="E51" i="24"/>
  <c r="C51" i="24"/>
  <c r="I40" i="24"/>
  <c r="I26" i="24"/>
  <c r="C7" i="24"/>
  <c r="D42" i="24" s="1"/>
  <c r="E7" i="24"/>
  <c r="F53" i="24" s="1"/>
  <c r="G7" i="24"/>
  <c r="H29" i="24" s="1"/>
  <c r="I8" i="24"/>
  <c r="I59" i="24"/>
  <c r="I58" i="24"/>
  <c r="I57" i="24"/>
  <c r="I56" i="24"/>
  <c r="G55" i="24"/>
  <c r="E55" i="24"/>
  <c r="C55" i="24"/>
  <c r="I54" i="24"/>
  <c r="I52" i="24"/>
  <c r="I50" i="24"/>
  <c r="I49" i="24"/>
  <c r="G48" i="24"/>
  <c r="E48" i="24"/>
  <c r="C48" i="24"/>
  <c r="I47" i="24"/>
  <c r="I46" i="24"/>
  <c r="I45" i="24"/>
  <c r="I44" i="24"/>
  <c r="I25" i="24"/>
  <c r="I23" i="24"/>
  <c r="I22" i="24"/>
  <c r="I21" i="24"/>
  <c r="I20" i="24"/>
  <c r="I19" i="24"/>
  <c r="I18" i="24"/>
  <c r="G17" i="24"/>
  <c r="E17" i="24"/>
  <c r="F17" i="24" s="1"/>
  <c r="C17" i="24"/>
  <c r="I16" i="24"/>
  <c r="I15" i="24"/>
  <c r="I14" i="24"/>
  <c r="I13" i="24"/>
  <c r="I12" i="24"/>
  <c r="I11" i="24"/>
  <c r="G10" i="24"/>
  <c r="E10" i="24"/>
  <c r="C10" i="24"/>
  <c r="D97" i="16"/>
  <c r="D93" i="16"/>
  <c r="D89" i="16"/>
  <c r="D85" i="16"/>
  <c r="D81" i="16"/>
  <c r="E86" i="16"/>
  <c r="E89" i="16" s="1"/>
  <c r="D70" i="16"/>
  <c r="E67" i="16"/>
  <c r="E70" i="16"/>
  <c r="D66" i="16"/>
  <c r="E63" i="16"/>
  <c r="E66" i="16" s="1"/>
  <c r="D62" i="16"/>
  <c r="E60" i="16"/>
  <c r="E62" i="16" s="1"/>
  <c r="D59" i="16"/>
  <c r="E57" i="16" s="1"/>
  <c r="E59" i="16" s="1"/>
  <c r="E71" i="16"/>
  <c r="E73" i="16" s="1"/>
  <c r="D73" i="16"/>
  <c r="E74" i="16"/>
  <c r="E77" i="16" s="1"/>
  <c r="D77" i="16"/>
  <c r="E98" i="16"/>
  <c r="E101" i="16" s="1"/>
  <c r="E33" i="16"/>
  <c r="E36" i="16" s="1"/>
  <c r="E37" i="16"/>
  <c r="E42" i="16" s="1"/>
  <c r="E49" i="16"/>
  <c r="E52" i="16" s="1"/>
  <c r="C12" i="2"/>
  <c r="K12" i="2" s="1"/>
  <c r="C6" i="2"/>
  <c r="K6" i="2"/>
  <c r="E29" i="16"/>
  <c r="E32" i="16" s="1"/>
  <c r="F17" i="2"/>
  <c r="G17" i="2"/>
  <c r="E11" i="16"/>
  <c r="E24" i="16" s="1"/>
  <c r="E53" i="16"/>
  <c r="E56" i="16" s="1"/>
  <c r="E43" i="16"/>
  <c r="E48" i="16" s="1"/>
  <c r="E25" i="16"/>
  <c r="E28" i="16" s="1"/>
  <c r="E9" i="16"/>
  <c r="E8" i="16"/>
  <c r="E7" i="16"/>
  <c r="E6" i="16"/>
  <c r="E5" i="16"/>
  <c r="E4" i="16"/>
  <c r="E10" i="16" s="1"/>
  <c r="C20" i="2"/>
  <c r="K20" i="2"/>
  <c r="C19" i="2"/>
  <c r="K19" i="2" s="1"/>
  <c r="H17" i="2"/>
  <c r="D17" i="2"/>
  <c r="C15" i="2"/>
  <c r="K15" i="2" s="1"/>
  <c r="C9" i="2"/>
  <c r="K9" i="2" s="1"/>
  <c r="D24" i="16"/>
  <c r="D6" i="2"/>
  <c r="E6" i="2"/>
  <c r="F6" i="2"/>
  <c r="G6" i="2"/>
  <c r="H6" i="2"/>
  <c r="J6" i="2"/>
  <c r="D10" i="16"/>
  <c r="F6" i="22"/>
  <c r="AI48" i="22"/>
  <c r="AI311" i="22" s="1"/>
  <c r="AH48" i="22"/>
  <c r="AH311" i="22" s="1"/>
  <c r="AG48" i="22"/>
  <c r="AG311" i="22" s="1"/>
  <c r="AF48" i="22"/>
  <c r="AF311" i="22" s="1"/>
  <c r="AE48" i="22"/>
  <c r="AE311" i="22" s="1"/>
  <c r="AD48" i="22"/>
  <c r="AD311" i="22" s="1"/>
  <c r="AC48" i="22"/>
  <c r="AC311" i="22" s="1"/>
  <c r="AB48" i="22"/>
  <c r="AB311" i="22" s="1"/>
  <c r="AA48" i="22"/>
  <c r="AA311" i="22" s="1"/>
  <c r="Z48" i="22"/>
  <c r="Z311" i="22" s="1"/>
  <c r="Y48" i="22"/>
  <c r="Y311" i="22" s="1"/>
  <c r="X48" i="22"/>
  <c r="X311" i="22" s="1"/>
  <c r="W48" i="22"/>
  <c r="W311" i="22" s="1"/>
  <c r="V48" i="22"/>
  <c r="V311" i="22" s="1"/>
  <c r="U48" i="22"/>
  <c r="U311" i="22" s="1"/>
  <c r="T48" i="22"/>
  <c r="T311" i="22" s="1"/>
  <c r="S48" i="22"/>
  <c r="S311" i="22" s="1"/>
  <c r="R48" i="22"/>
  <c r="R311" i="22" s="1"/>
  <c r="Q48" i="22"/>
  <c r="Q311" i="22" s="1"/>
  <c r="P48" i="22"/>
  <c r="P311" i="22" s="1"/>
  <c r="O48" i="22"/>
  <c r="O311" i="22" s="1"/>
  <c r="N48" i="22"/>
  <c r="N311" i="22" s="1"/>
  <c r="M48" i="22"/>
  <c r="M311" i="22" s="1"/>
  <c r="L48" i="22"/>
  <c r="L311" i="22" s="1"/>
  <c r="K48" i="22"/>
  <c r="K311" i="22" s="1"/>
  <c r="J48" i="22"/>
  <c r="J311" i="22" s="1"/>
  <c r="I48" i="22"/>
  <c r="I311" i="22" s="1"/>
  <c r="H48" i="22"/>
  <c r="H311" i="22" s="1"/>
  <c r="G48" i="22"/>
  <c r="G311" i="22" s="1"/>
  <c r="F48" i="22"/>
  <c r="F311" i="22" s="1"/>
  <c r="E48" i="22"/>
  <c r="E311" i="22" s="1"/>
  <c r="B51" i="22"/>
  <c r="B52" i="22" s="1"/>
  <c r="AT48" i="22"/>
  <c r="AS48" i="22"/>
  <c r="AR48" i="22"/>
  <c r="AQ48" i="22"/>
  <c r="AP48" i="22"/>
  <c r="AO48" i="22"/>
  <c r="AN48" i="22"/>
  <c r="AM48" i="22"/>
  <c r="AL48" i="22"/>
  <c r="AK48" i="22"/>
  <c r="AJ48" i="22"/>
  <c r="G9" i="22"/>
  <c r="G10" i="22"/>
  <c r="C10" i="2"/>
  <c r="K10" i="2" s="1"/>
  <c r="C11" i="2"/>
  <c r="K11" i="2"/>
  <c r="C17" i="2"/>
  <c r="K17" i="2"/>
  <c r="C18" i="2"/>
  <c r="K18" i="2"/>
  <c r="F2" i="2"/>
  <c r="J17" i="2"/>
  <c r="J4" i="2"/>
  <c r="J5" i="2"/>
  <c r="J7" i="2"/>
  <c r="J3" i="2"/>
  <c r="H4" i="2"/>
  <c r="H5" i="2"/>
  <c r="H7" i="2"/>
  <c r="H3" i="2"/>
  <c r="G4" i="2"/>
  <c r="G5" i="2"/>
  <c r="G7" i="2"/>
  <c r="G3" i="2"/>
  <c r="F4" i="2"/>
  <c r="F5" i="2"/>
  <c r="F7" i="2"/>
  <c r="F3" i="2"/>
  <c r="E17" i="2"/>
  <c r="E5" i="2"/>
  <c r="E7" i="2"/>
  <c r="E4" i="2"/>
  <c r="E3" i="2"/>
  <c r="D5" i="2"/>
  <c r="D7" i="2"/>
  <c r="D4" i="2"/>
  <c r="D3" i="2"/>
  <c r="I3" i="2"/>
  <c r="C13" i="2"/>
  <c r="K13" i="2"/>
  <c r="C7" i="2"/>
  <c r="K7" i="2"/>
  <c r="C4" i="2"/>
  <c r="K4" i="2" s="1"/>
  <c r="C3" i="2"/>
  <c r="K3" i="2"/>
  <c r="I34" i="2"/>
  <c r="D2" i="2"/>
  <c r="D28" i="16"/>
  <c r="D32" i="16"/>
  <c r="D42" i="16"/>
  <c r="D48" i="16"/>
  <c r="D52" i="16"/>
  <c r="D56" i="16"/>
  <c r="D101" i="16"/>
  <c r="V49" i="22"/>
  <c r="P49" i="22"/>
  <c r="P68" i="22" s="1"/>
  <c r="P69" i="22"/>
  <c r="V60" i="22"/>
  <c r="V71" i="22"/>
  <c r="V78" i="22"/>
  <c r="M49" i="22"/>
  <c r="AA49" i="22"/>
  <c r="AA58" i="22" s="1"/>
  <c r="AG49" i="22"/>
  <c r="AG60" i="22" s="1"/>
  <c r="AG53" i="22"/>
  <c r="AG67" i="22"/>
  <c r="AA60" i="22"/>
  <c r="AA78" i="22"/>
  <c r="M70" i="22"/>
  <c r="M312" i="22"/>
  <c r="AG80" i="22"/>
  <c r="AG82" i="22"/>
  <c r="AG56" i="22"/>
  <c r="AG71" i="22"/>
  <c r="AE49" i="22"/>
  <c r="AE75" i="22" s="1"/>
  <c r="AE57" i="22"/>
  <c r="AO49" i="22"/>
  <c r="AO75" i="22" s="1"/>
  <c r="W49" i="22"/>
  <c r="W51" i="22" s="1"/>
  <c r="AL49" i="22"/>
  <c r="AL60" i="22" s="1"/>
  <c r="J2" i="2"/>
  <c r="W83" i="22"/>
  <c r="AO72" i="22"/>
  <c r="AO52" i="22"/>
  <c r="AO76" i="22"/>
  <c r="AO71" i="22"/>
  <c r="AE67" i="22"/>
  <c r="AE63" i="22"/>
  <c r="AE76" i="22"/>
  <c r="AE52" i="22"/>
  <c r="AE66" i="22"/>
  <c r="AE54" i="22"/>
  <c r="AE58" i="22"/>
  <c r="AE64" i="22"/>
  <c r="AE71" i="22"/>
  <c r="AE79" i="22"/>
  <c r="G2" i="2"/>
  <c r="H2" i="2"/>
  <c r="C16" i="2"/>
  <c r="K16" i="2"/>
  <c r="AO68" i="22"/>
  <c r="AO57" i="22"/>
  <c r="AO74" i="22"/>
  <c r="AO66" i="22"/>
  <c r="AO64" i="22"/>
  <c r="AA73" i="22"/>
  <c r="AA64" i="22"/>
  <c r="AA67" i="22"/>
  <c r="AA52" i="22"/>
  <c r="AA53" i="22"/>
  <c r="AA71" i="22"/>
  <c r="AA83" i="22"/>
  <c r="AA56" i="22"/>
  <c r="AA74" i="22"/>
  <c r="AA79" i="22"/>
  <c r="E2" i="2"/>
  <c r="AE83" i="22"/>
  <c r="AE72" i="22"/>
  <c r="AE70" i="22"/>
  <c r="AE312" i="22"/>
  <c r="AE77" i="22"/>
  <c r="W59" i="22"/>
  <c r="W69" i="22"/>
  <c r="M71" i="22"/>
  <c r="M73" i="22"/>
  <c r="P56" i="22"/>
  <c r="P60" i="22"/>
  <c r="P57" i="22"/>
  <c r="P66" i="22"/>
  <c r="P65" i="22"/>
  <c r="P76" i="22"/>
  <c r="P51" i="22"/>
  <c r="P77" i="22"/>
  <c r="P312" i="22"/>
  <c r="V54" i="22"/>
  <c r="V56" i="22"/>
  <c r="V63" i="22"/>
  <c r="V72" i="22"/>
  <c r="V66" i="22"/>
  <c r="V82" i="22"/>
  <c r="V69" i="22"/>
  <c r="V81" i="22"/>
  <c r="AP49" i="22"/>
  <c r="T49" i="22"/>
  <c r="AR49" i="22"/>
  <c r="AR73" i="22" s="1"/>
  <c r="K49" i="22"/>
  <c r="AD49" i="22"/>
  <c r="AD69" i="22" s="1"/>
  <c r="AD59" i="22"/>
  <c r="R49" i="22"/>
  <c r="R78" i="22" s="1"/>
  <c r="AN49" i="22"/>
  <c r="L49" i="22"/>
  <c r="L83" i="22" s="1"/>
  <c r="AF49" i="22"/>
  <c r="O49" i="22"/>
  <c r="O52" i="22" s="1"/>
  <c r="F49" i="22"/>
  <c r="F63" i="22"/>
  <c r="N49" i="22"/>
  <c r="AD62" i="22"/>
  <c r="AD52" i="22"/>
  <c r="AD72" i="22"/>
  <c r="AD67" i="22"/>
  <c r="AD64" i="22"/>
  <c r="AD75" i="22"/>
  <c r="O83" i="22"/>
  <c r="O66" i="22"/>
  <c r="O75" i="22"/>
  <c r="O51" i="22"/>
  <c r="O69" i="22"/>
  <c r="O78" i="22"/>
  <c r="O57" i="22"/>
  <c r="O59" i="22"/>
  <c r="O71" i="22"/>
  <c r="O73" i="22"/>
  <c r="O81" i="22"/>
  <c r="O64" i="22"/>
  <c r="O56" i="22"/>
  <c r="R61" i="22"/>
  <c r="R56" i="22"/>
  <c r="R80" i="22"/>
  <c r="R79" i="22"/>
  <c r="R59" i="22"/>
  <c r="R58" i="22"/>
  <c r="R312" i="22"/>
  <c r="R83" i="22"/>
  <c r="R62" i="22"/>
  <c r="R74" i="22"/>
  <c r="R51" i="22"/>
  <c r="R63" i="22"/>
  <c r="R60" i="22"/>
  <c r="R82" i="22"/>
  <c r="R81" i="22"/>
  <c r="R68" i="22"/>
  <c r="R71" i="22"/>
  <c r="L54" i="22"/>
  <c r="L57" i="22"/>
  <c r="L66" i="22"/>
  <c r="L75" i="22"/>
  <c r="L72" i="22"/>
  <c r="L74" i="22"/>
  <c r="L55" i="22"/>
  <c r="L65" i="22"/>
  <c r="L52" i="22"/>
  <c r="L80" i="22"/>
  <c r="L69" i="22"/>
  <c r="L78" i="22"/>
  <c r="L68" i="22"/>
  <c r="L76" i="22"/>
  <c r="L58" i="22"/>
  <c r="L59" i="22"/>
  <c r="L312" i="22"/>
  <c r="L64" i="22"/>
  <c r="L56" i="22"/>
  <c r="L77" i="22"/>
  <c r="L63" i="22"/>
  <c r="L70" i="22"/>
  <c r="L51" i="22"/>
  <c r="L67" i="22"/>
  <c r="L60" i="22"/>
  <c r="AR58" i="22"/>
  <c r="AR70" i="22"/>
  <c r="N55" i="22"/>
  <c r="N69" i="22"/>
  <c r="N62" i="22"/>
  <c r="N61" i="22"/>
  <c r="N75" i="22"/>
  <c r="N68" i="22"/>
  <c r="N76" i="22"/>
  <c r="K78" i="22"/>
  <c r="K57" i="22"/>
  <c r="K61" i="22"/>
  <c r="K53" i="22"/>
  <c r="K75" i="22"/>
  <c r="K52" i="22"/>
  <c r="K62" i="22"/>
  <c r="K73" i="22"/>
  <c r="K77" i="22"/>
  <c r="K55" i="22"/>
  <c r="K51" i="22"/>
  <c r="K68" i="22"/>
  <c r="K54" i="22"/>
  <c r="K63" i="22"/>
  <c r="K56" i="22"/>
  <c r="K312" i="22"/>
  <c r="K74" i="22"/>
  <c r="K81" i="22"/>
  <c r="K65" i="22"/>
  <c r="K67" i="22"/>
  <c r="K72" i="22"/>
  <c r="K69" i="22"/>
  <c r="K76" i="22"/>
  <c r="K82" i="22"/>
  <c r="K64" i="22"/>
  <c r="K80" i="22"/>
  <c r="K79" i="22"/>
  <c r="K83" i="22"/>
  <c r="K66" i="22"/>
  <c r="K60" i="22"/>
  <c r="K59" i="22"/>
  <c r="K58" i="22"/>
  <c r="K71" i="22"/>
  <c r="K70" i="22"/>
  <c r="F57" i="22"/>
  <c r="F68" i="22"/>
  <c r="F78" i="22"/>
  <c r="F56" i="22"/>
  <c r="F76" i="22"/>
  <c r="F67" i="22"/>
  <c r="F83" i="22"/>
  <c r="F55" i="22"/>
  <c r="F61" i="22"/>
  <c r="F60" i="22"/>
  <c r="AN62" i="22"/>
  <c r="AN63" i="22"/>
  <c r="AN78" i="22"/>
  <c r="AN70" i="22"/>
  <c r="AN54" i="22"/>
  <c r="AN52" i="22"/>
  <c r="AN69" i="22"/>
  <c r="AN76" i="22"/>
  <c r="AN77" i="22"/>
  <c r="AN59" i="22"/>
  <c r="AN65" i="22"/>
  <c r="AN51" i="22"/>
  <c r="AN67" i="22"/>
  <c r="AN66" i="22"/>
  <c r="AN81" i="22"/>
  <c r="AN82" i="22"/>
  <c r="AN75" i="22"/>
  <c r="AN64" i="22"/>
  <c r="AN71" i="22"/>
  <c r="AN73" i="22"/>
  <c r="AN60" i="22"/>
  <c r="AN72" i="22"/>
  <c r="AN83" i="22"/>
  <c r="AN58" i="22"/>
  <c r="AN80" i="22"/>
  <c r="AN74" i="22"/>
  <c r="AN53" i="22"/>
  <c r="AN57" i="22"/>
  <c r="AN61" i="22"/>
  <c r="AN68" i="22"/>
  <c r="AN79" i="22"/>
  <c r="T64" i="22"/>
  <c r="T72" i="22"/>
  <c r="T59" i="22"/>
  <c r="AP53" i="22"/>
  <c r="AP61" i="22"/>
  <c r="AP63" i="22"/>
  <c r="AP54" i="22"/>
  <c r="AP60" i="22"/>
  <c r="AP64" i="22"/>
  <c r="AP75" i="22"/>
  <c r="AP69" i="22"/>
  <c r="AP51" i="22"/>
  <c r="AP59" i="22"/>
  <c r="AP70" i="22"/>
  <c r="AP73" i="22"/>
  <c r="AP78" i="22"/>
  <c r="AP58" i="22"/>
  <c r="AP74" i="22"/>
  <c r="AP82" i="22"/>
  <c r="AP83" i="22"/>
  <c r="AP62" i="22"/>
  <c r="AP57" i="22"/>
  <c r="AP55" i="22"/>
  <c r="AP66" i="22"/>
  <c r="AP76" i="22"/>
  <c r="AP52" i="22"/>
  <c r="AP68" i="22"/>
  <c r="AP79" i="22"/>
  <c r="AP71" i="22"/>
  <c r="AP81" i="22"/>
  <c r="AP56" i="22"/>
  <c r="AP67" i="22"/>
  <c r="AP80" i="22"/>
  <c r="AP72" i="22"/>
  <c r="AP65" i="22"/>
  <c r="AP77" i="22"/>
  <c r="C5" i="2"/>
  <c r="K5" i="2" s="1"/>
  <c r="C8" i="2"/>
  <c r="K8" i="2" s="1"/>
  <c r="C14" i="2"/>
  <c r="K14" i="2"/>
  <c r="F14" i="24"/>
  <c r="F50" i="24"/>
  <c r="H15" i="24"/>
  <c r="F74" i="22"/>
  <c r="F77" i="22"/>
  <c r="F65" i="22"/>
  <c r="F64" i="22"/>
  <c r="F54" i="22"/>
  <c r="F82" i="22"/>
  <c r="AR71" i="22"/>
  <c r="AR61" i="22"/>
  <c r="AR69" i="22"/>
  <c r="AR78" i="22"/>
  <c r="AD65" i="22"/>
  <c r="AD61" i="22"/>
  <c r="AD312" i="22"/>
  <c r="AD56" i="22"/>
  <c r="AD76" i="22"/>
  <c r="AD74" i="22"/>
  <c r="AD79" i="22"/>
  <c r="AF57" i="22"/>
  <c r="F66" i="22"/>
  <c r="F58" i="22"/>
  <c r="F69" i="22"/>
  <c r="F312" i="22"/>
  <c r="F53" i="22"/>
  <c r="F59" i="22"/>
  <c r="F70" i="22"/>
  <c r="F79" i="22"/>
  <c r="F62" i="22"/>
  <c r="F71" i="22"/>
  <c r="F52" i="22"/>
  <c r="F73" i="22"/>
  <c r="F80" i="22"/>
  <c r="F51" i="22"/>
  <c r="F72" i="22"/>
  <c r="F75" i="22"/>
  <c r="F81" i="22"/>
  <c r="AF73" i="22"/>
  <c r="AN56" i="22"/>
  <c r="AN55" i="22"/>
  <c r="AD63" i="22"/>
  <c r="AD77" i="22"/>
  <c r="AD83" i="22"/>
  <c r="AD68" i="22"/>
  <c r="AD71" i="22"/>
  <c r="AD53" i="22"/>
  <c r="AD60" i="22"/>
  <c r="AD80" i="22"/>
  <c r="AD73" i="22"/>
  <c r="AD66" i="22"/>
  <c r="AD55" i="22"/>
  <c r="AD78" i="22"/>
  <c r="AD58" i="22"/>
  <c r="AD81" i="22"/>
  <c r="AD51" i="22"/>
  <c r="AD70" i="22"/>
  <c r="AR56" i="22"/>
  <c r="AR59" i="22"/>
  <c r="AR51" i="22"/>
  <c r="AR54" i="22"/>
  <c r="AR52" i="22"/>
  <c r="AR79" i="22"/>
  <c r="AR55" i="22"/>
  <c r="AR72" i="22"/>
  <c r="AR76" i="22"/>
  <c r="AR60" i="22"/>
  <c r="AR75" i="22"/>
  <c r="AR80" i="22"/>
  <c r="AR65" i="22"/>
  <c r="P53" i="22"/>
  <c r="P58" i="22"/>
  <c r="AO62" i="22"/>
  <c r="AO73" i="22"/>
  <c r="AO67" i="22"/>
  <c r="AO58" i="22"/>
  <c r="AO61" i="22"/>
  <c r="AO63" i="22"/>
  <c r="AO81" i="22"/>
  <c r="AO83" i="22"/>
  <c r="AE62" i="22"/>
  <c r="AE60" i="22"/>
  <c r="AE59" i="22"/>
  <c r="AE78" i="22"/>
  <c r="AE74" i="22"/>
  <c r="AE69" i="22"/>
  <c r="AE51" i="22"/>
  <c r="AE65" i="22"/>
  <c r="AE53" i="22"/>
  <c r="AE81" i="22"/>
  <c r="AE73" i="22"/>
  <c r="AE68" i="22"/>
  <c r="AE61" i="22"/>
  <c r="AE80" i="22"/>
  <c r="AO59" i="22"/>
  <c r="AO82" i="22"/>
  <c r="AO55" i="22"/>
  <c r="AO65" i="22"/>
  <c r="AO80" i="22"/>
  <c r="AO69" i="22"/>
  <c r="AO78" i="22"/>
  <c r="W63" i="22"/>
  <c r="W55" i="22"/>
  <c r="W80" i="22"/>
  <c r="W72" i="22"/>
  <c r="W71" i="22"/>
  <c r="W312" i="22"/>
  <c r="W77" i="22"/>
  <c r="W58" i="22"/>
  <c r="W57" i="22"/>
  <c r="W73" i="22"/>
  <c r="W68" i="22"/>
  <c r="W56" i="22"/>
  <c r="W76" i="22"/>
  <c r="Q10" i="24"/>
  <c r="Q51" i="24"/>
  <c r="Q41" i="24"/>
  <c r="Y41" i="24"/>
  <c r="AG41" i="24"/>
  <c r="AB57" i="24"/>
  <c r="AB54" i="24"/>
  <c r="AB52" i="24"/>
  <c r="AB49" i="24"/>
  <c r="AB46" i="24"/>
  <c r="AB44" i="24"/>
  <c r="AB42" i="24"/>
  <c r="AB39" i="24"/>
  <c r="AB37" i="24"/>
  <c r="AB34" i="24"/>
  <c r="AB32" i="24"/>
  <c r="AB29" i="24"/>
  <c r="AB26" i="24"/>
  <c r="AB23" i="24"/>
  <c r="AB21" i="24"/>
  <c r="AB19" i="24"/>
  <c r="AB16" i="24"/>
  <c r="AB14" i="24"/>
  <c r="AF57" i="24"/>
  <c r="AF54" i="24"/>
  <c r="AF52" i="24"/>
  <c r="AF49" i="24"/>
  <c r="AF46" i="24"/>
  <c r="AF44" i="24"/>
  <c r="AF34" i="24"/>
  <c r="AF32" i="24"/>
  <c r="AF29" i="24"/>
  <c r="AF26" i="24"/>
  <c r="AF23" i="24"/>
  <c r="AF21" i="24"/>
  <c r="AF19" i="24"/>
  <c r="AF16" i="24"/>
  <c r="AF14" i="24"/>
  <c r="AB8" i="24"/>
  <c r="AF8" i="24"/>
  <c r="AB10" i="24"/>
  <c r="AF10" i="24"/>
  <c r="AB12" i="24"/>
  <c r="AF12" i="24"/>
  <c r="AB15" i="24"/>
  <c r="AB17" i="24"/>
  <c r="AB18" i="24"/>
  <c r="AB20" i="24"/>
  <c r="AB22" i="24"/>
  <c r="AB25" i="24"/>
  <c r="AB27" i="24"/>
  <c r="AF27" i="24"/>
  <c r="AB28" i="24"/>
  <c r="AG30" i="24"/>
  <c r="AF31" i="24"/>
  <c r="AB33" i="24"/>
  <c r="AF35" i="24"/>
  <c r="AB36" i="24"/>
  <c r="AF36" i="24"/>
  <c r="AB38" i="24"/>
  <c r="AF40" i="24"/>
  <c r="AB41" i="24"/>
  <c r="AF41" i="24"/>
  <c r="AB43" i="24"/>
  <c r="AF45" i="24"/>
  <c r="AF47" i="24"/>
  <c r="AB48" i="24"/>
  <c r="AF48" i="24"/>
  <c r="AB50" i="24"/>
  <c r="AF53" i="24"/>
  <c r="AG55" i="24"/>
  <c r="AF56" i="24"/>
  <c r="AF58" i="24"/>
  <c r="AD45" i="24"/>
  <c r="AD20" i="24"/>
  <c r="AE9" i="24"/>
  <c r="AF9" i="24" s="1"/>
  <c r="AB11" i="24"/>
  <c r="AF11" i="24"/>
  <c r="AD12" i="24"/>
  <c r="AB13" i="24"/>
  <c r="AF13" i="24"/>
  <c r="AF15" i="24"/>
  <c r="AF18" i="24"/>
  <c r="AF20" i="24"/>
  <c r="AF22" i="24"/>
  <c r="AF25" i="24"/>
  <c r="AG27" i="24"/>
  <c r="AF28" i="24"/>
  <c r="AB30" i="24"/>
  <c r="AF30" i="24"/>
  <c r="AB31" i="24"/>
  <c r="AF33" i="24"/>
  <c r="AB35" i="24"/>
  <c r="AB40" i="24"/>
  <c r="AB45" i="24"/>
  <c r="AB47" i="24"/>
  <c r="AF50" i="24"/>
  <c r="AD51" i="24"/>
  <c r="AB53" i="24"/>
  <c r="AB55" i="24"/>
  <c r="AF55" i="24"/>
  <c r="AB56" i="24"/>
  <c r="AB58" i="24"/>
  <c r="Y27" i="24"/>
  <c r="T30" i="24"/>
  <c r="Y30" i="24"/>
  <c r="V56" i="24"/>
  <c r="V50" i="24"/>
  <c r="V45" i="24"/>
  <c r="V35" i="24"/>
  <c r="V31" i="24"/>
  <c r="V25" i="24"/>
  <c r="V20" i="24"/>
  <c r="V15" i="24"/>
  <c r="V41" i="24"/>
  <c r="V34" i="24"/>
  <c r="V26" i="24"/>
  <c r="V21" i="24"/>
  <c r="V16" i="24"/>
  <c r="V13" i="24"/>
  <c r="V57" i="24"/>
  <c r="V52" i="24"/>
  <c r="V46" i="24"/>
  <c r="V24" i="24"/>
  <c r="T57" i="24"/>
  <c r="T54" i="24"/>
  <c r="T52" i="24"/>
  <c r="T49" i="24"/>
  <c r="T46" i="24"/>
  <c r="T44" i="24"/>
  <c r="T42" i="24"/>
  <c r="T39" i="24"/>
  <c r="T37" i="24"/>
  <c r="T34" i="24"/>
  <c r="T32" i="24"/>
  <c r="T29" i="24"/>
  <c r="T26" i="24"/>
  <c r="T23" i="24"/>
  <c r="T21" i="24"/>
  <c r="T19" i="24"/>
  <c r="T16" i="24"/>
  <c r="T14" i="24"/>
  <c r="X44" i="24"/>
  <c r="X16" i="24"/>
  <c r="T8" i="24"/>
  <c r="T12" i="24"/>
  <c r="T15" i="24"/>
  <c r="T18" i="24"/>
  <c r="T20" i="24"/>
  <c r="T22" i="24"/>
  <c r="T25" i="24"/>
  <c r="T27" i="24"/>
  <c r="T28" i="24"/>
  <c r="T33" i="24"/>
  <c r="X35" i="24"/>
  <c r="T36" i="24"/>
  <c r="T38" i="24"/>
  <c r="T41" i="24"/>
  <c r="T43" i="24"/>
  <c r="X45" i="24"/>
  <c r="T48" i="24"/>
  <c r="T50" i="24"/>
  <c r="L57" i="24"/>
  <c r="L54" i="24"/>
  <c r="L52" i="24"/>
  <c r="L49" i="24"/>
  <c r="L46" i="24"/>
  <c r="L44" i="24"/>
  <c r="L42" i="24"/>
  <c r="L39" i="24"/>
  <c r="L37" i="24"/>
  <c r="L34" i="24"/>
  <c r="L32" i="24"/>
  <c r="L29" i="24"/>
  <c r="L26" i="24"/>
  <c r="L23" i="24"/>
  <c r="L21" i="24"/>
  <c r="L19" i="24"/>
  <c r="L16" i="24"/>
  <c r="L14" i="24"/>
  <c r="P57" i="24"/>
  <c r="P46" i="24"/>
  <c r="P34" i="24"/>
  <c r="P29" i="24"/>
  <c r="P19" i="24"/>
  <c r="P14" i="24"/>
  <c r="L8" i="24"/>
  <c r="P8" i="24"/>
  <c r="L10" i="24"/>
  <c r="L12" i="24"/>
  <c r="P12" i="24"/>
  <c r="L15" i="24"/>
  <c r="L17" i="24"/>
  <c r="L18" i="24"/>
  <c r="L20" i="24"/>
  <c r="L22" i="24"/>
  <c r="L25" i="24"/>
  <c r="L27" i="24"/>
  <c r="P27" i="24"/>
  <c r="L28" i="24"/>
  <c r="Q30" i="24"/>
  <c r="L33" i="24"/>
  <c r="L36" i="24"/>
  <c r="L38" i="24"/>
  <c r="L41" i="24"/>
  <c r="L43" i="24"/>
  <c r="P47" i="24"/>
  <c r="L48" i="24"/>
  <c r="P48" i="24"/>
  <c r="L50" i="24"/>
  <c r="P53" i="24"/>
  <c r="Q55" i="24"/>
  <c r="N56" i="24"/>
  <c r="N45" i="24"/>
  <c r="N35" i="24"/>
  <c r="N31" i="24"/>
  <c r="N20" i="24"/>
  <c r="N15" i="24"/>
  <c r="N8" i="24"/>
  <c r="L11" i="24"/>
  <c r="P11" i="24"/>
  <c r="L13" i="24"/>
  <c r="P13" i="24"/>
  <c r="Q17" i="24"/>
  <c r="P25" i="24"/>
  <c r="Q27" i="24"/>
  <c r="P28" i="24"/>
  <c r="L30" i="24"/>
  <c r="P30" i="24"/>
  <c r="L31" i="24"/>
  <c r="L35" i="24"/>
  <c r="L40" i="24"/>
  <c r="L45" i="24"/>
  <c r="L47" i="24"/>
  <c r="L51" i="24"/>
  <c r="L53" i="24"/>
  <c r="L55" i="24"/>
  <c r="P55" i="24"/>
  <c r="L56" i="24"/>
  <c r="L58" i="24"/>
  <c r="H18" i="24"/>
  <c r="H8" i="24"/>
  <c r="F56" i="24"/>
  <c r="H13" i="24"/>
  <c r="H49" i="24"/>
  <c r="D12" i="24"/>
  <c r="F45" i="24"/>
  <c r="F54" i="24"/>
  <c r="F57" i="24"/>
  <c r="F11" i="24"/>
  <c r="I36" i="24"/>
  <c r="I41" i="24"/>
  <c r="F30" i="24"/>
  <c r="E6" i="24"/>
  <c r="F27" i="24"/>
  <c r="F36" i="24"/>
  <c r="F35" i="24"/>
  <c r="F31" i="24"/>
  <c r="F40" i="24"/>
  <c r="F21" i="24"/>
  <c r="F25" i="24"/>
  <c r="F19" i="24"/>
  <c r="F15" i="24"/>
  <c r="F49" i="24"/>
  <c r="F46" i="24"/>
  <c r="F55" i="24"/>
  <c r="F8" i="24"/>
  <c r="F28" i="24"/>
  <c r="F33" i="24"/>
  <c r="H26" i="24"/>
  <c r="H34" i="24"/>
  <c r="D57" i="24"/>
  <c r="H47" i="24"/>
  <c r="H57" i="24"/>
  <c r="H14" i="24"/>
  <c r="H56" i="24"/>
  <c r="H50" i="24"/>
  <c r="I7" i="24"/>
  <c r="J18" i="24" s="1"/>
  <c r="F26" i="24"/>
  <c r="H36" i="24"/>
  <c r="F29" i="24"/>
  <c r="H30" i="24"/>
  <c r="F34" i="24"/>
  <c r="F32" i="24"/>
  <c r="I30" i="24"/>
  <c r="H27" i="24"/>
  <c r="F48" i="24"/>
  <c r="F13" i="24"/>
  <c r="F22" i="24"/>
  <c r="F52" i="24"/>
  <c r="F47" i="24"/>
  <c r="F16" i="24"/>
  <c r="F20" i="24"/>
  <c r="F23" i="24"/>
  <c r="F18" i="24"/>
  <c r="F41" i="24"/>
  <c r="F12" i="24"/>
  <c r="F58" i="24"/>
  <c r="I48" i="24"/>
  <c r="I55" i="24"/>
  <c r="I17" i="24"/>
  <c r="AC9" i="24"/>
  <c r="N24" i="24"/>
  <c r="I27" i="24"/>
  <c r="F51" i="24"/>
  <c r="I51" i="24"/>
  <c r="V8" i="24"/>
  <c r="V17" i="24"/>
  <c r="V55" i="24"/>
  <c r="V30" i="24"/>
  <c r="V10" i="24"/>
  <c r="V44" i="24"/>
  <c r="V51" i="24"/>
  <c r="V54" i="24"/>
  <c r="V11" i="24"/>
  <c r="V14" i="24"/>
  <c r="V19" i="24"/>
  <c r="V23" i="24"/>
  <c r="V29" i="24"/>
  <c r="V36" i="24"/>
  <c r="V49" i="24"/>
  <c r="V18" i="24"/>
  <c r="V22" i="24"/>
  <c r="V28" i="24"/>
  <c r="V33" i="24"/>
  <c r="V40" i="24"/>
  <c r="V47" i="24"/>
  <c r="V53" i="24"/>
  <c r="V58" i="24"/>
  <c r="U6" i="24"/>
  <c r="V12" i="24"/>
  <c r="V27" i="24"/>
  <c r="T13" i="24"/>
  <c r="T47" i="24"/>
  <c r="T53" i="24"/>
  <c r="T56" i="24"/>
  <c r="T11" i="24"/>
  <c r="T17" i="24"/>
  <c r="T31" i="24"/>
  <c r="T45" i="24"/>
  <c r="T55" i="24"/>
  <c r="T58" i="24"/>
  <c r="AG10" i="24"/>
  <c r="AA9" i="24"/>
  <c r="AB9" i="24" s="1"/>
  <c r="AG51" i="24"/>
  <c r="AG48" i="24"/>
  <c r="AB24" i="24"/>
  <c r="AG24" i="24"/>
  <c r="Y24" i="24"/>
  <c r="AG17" i="24"/>
  <c r="E9" i="24"/>
  <c r="F9" i="24" s="1"/>
  <c r="Q24" i="24"/>
  <c r="K9" i="24"/>
  <c r="L9" i="24" s="1"/>
  <c r="M9" i="24"/>
  <c r="G9" i="24"/>
  <c r="I24" i="24"/>
  <c r="C9" i="24"/>
  <c r="I10" i="24"/>
  <c r="Q51" i="25"/>
  <c r="Q27" i="25"/>
  <c r="P3" i="2"/>
  <c r="L3" i="2"/>
  <c r="M3" i="2"/>
  <c r="O7" i="2"/>
  <c r="O4" i="2"/>
  <c r="P4" i="2"/>
  <c r="M7" i="2"/>
  <c r="P7" i="2"/>
  <c r="Q3" i="2"/>
  <c r="L4" i="2"/>
  <c r="P6" i="2"/>
  <c r="O6" i="2"/>
  <c r="L6" i="2"/>
  <c r="M6" i="2"/>
  <c r="N6" i="2"/>
  <c r="Q6" i="2"/>
  <c r="Q7" i="2"/>
  <c r="O3" i="2"/>
  <c r="N3" i="2"/>
  <c r="Q4" i="2"/>
  <c r="P5" i="2"/>
  <c r="N17" i="2"/>
  <c r="L17" i="2"/>
  <c r="M17" i="2"/>
  <c r="P17" i="2"/>
  <c r="Q17" i="2"/>
  <c r="O17" i="2"/>
  <c r="L5" i="2"/>
  <c r="S27" i="25"/>
  <c r="S29" i="25"/>
  <c r="O56" i="25"/>
  <c r="O57" i="25"/>
  <c r="S24" i="25"/>
  <c r="T24" i="25"/>
  <c r="R44" i="25"/>
  <c r="T44" i="25" s="1"/>
  <c r="S33" i="25"/>
  <c r="S44" i="25" s="1"/>
  <c r="T33" i="25"/>
  <c r="S35" i="25"/>
  <c r="T35" i="25"/>
  <c r="S37" i="25"/>
  <c r="T37" i="25"/>
  <c r="S56" i="25"/>
  <c r="S53" i="25"/>
  <c r="S45" i="25"/>
  <c r="S30" i="25"/>
  <c r="S28" i="25"/>
  <c r="S26" i="25"/>
  <c r="S32" i="25"/>
  <c r="T11" i="25"/>
  <c r="S54" i="25"/>
  <c r="S52" i="25"/>
  <c r="S55" i="25" s="1"/>
  <c r="S46" i="25"/>
  <c r="R25" i="25"/>
  <c r="T25" i="25" s="1"/>
  <c r="S19" i="25"/>
  <c r="S20" i="25"/>
  <c r="S21" i="25"/>
  <c r="S22" i="25"/>
  <c r="S23" i="25"/>
  <c r="T23" i="25"/>
  <c r="S34" i="25"/>
  <c r="T34" i="25"/>
  <c r="S36" i="25"/>
  <c r="T36" i="25"/>
  <c r="S38" i="25"/>
  <c r="T38" i="25"/>
  <c r="S39" i="25"/>
  <c r="S40" i="25"/>
  <c r="S41" i="25"/>
  <c r="S42" i="25"/>
  <c r="S43" i="25"/>
  <c r="Q50" i="25"/>
  <c r="Q48" i="25"/>
  <c r="Q40" i="25"/>
  <c r="Q38" i="25"/>
  <c r="Q36" i="25"/>
  <c r="Q24" i="25"/>
  <c r="Q20" i="25"/>
  <c r="Q22" i="25"/>
  <c r="Q28" i="25"/>
  <c r="Q32" i="25"/>
  <c r="T39" i="25"/>
  <c r="T40" i="25"/>
  <c r="T41" i="25"/>
  <c r="T42" i="25"/>
  <c r="T43" i="25"/>
  <c r="Q44" i="25"/>
  <c r="Q47" i="25"/>
  <c r="R51" i="25"/>
  <c r="S48" i="25"/>
  <c r="S51" i="25" s="1"/>
  <c r="S49" i="25"/>
  <c r="S50" i="25"/>
  <c r="T51" i="25"/>
  <c r="Q53" i="25"/>
  <c r="T55" i="25"/>
  <c r="I9" i="24"/>
  <c r="S25" i="25"/>
  <c r="Y55" i="24"/>
  <c r="Y51" i="24"/>
  <c r="U9" i="24"/>
  <c r="V9" i="24" s="1"/>
  <c r="V48" i="24"/>
  <c r="W9" i="24"/>
  <c r="Y17" i="24"/>
  <c r="Y10" i="24"/>
  <c r="S9" i="24"/>
  <c r="T9" i="24"/>
  <c r="L7" i="2" l="1"/>
  <c r="N7" i="2"/>
  <c r="N49" i="24"/>
  <c r="N11" i="24"/>
  <c r="T35" i="24"/>
  <c r="T10" i="24"/>
  <c r="T51" i="24"/>
  <c r="AF17" i="24"/>
  <c r="P56" i="25"/>
  <c r="Q56" i="25" s="1"/>
  <c r="Q55" i="25"/>
  <c r="Q45" i="25"/>
  <c r="Q30" i="25"/>
  <c r="Q19" i="25"/>
  <c r="Q39" i="25"/>
  <c r="Q54" i="25"/>
  <c r="Q26" i="25"/>
  <c r="Q33" i="25"/>
  <c r="Q41" i="25"/>
  <c r="Q46" i="25"/>
  <c r="Q29" i="25"/>
  <c r="Q25" i="25"/>
  <c r="Q34" i="25"/>
  <c r="Q42" i="25"/>
  <c r="Q23" i="25"/>
  <c r="Q35" i="25"/>
  <c r="Q43" i="25"/>
  <c r="AF3" i="25"/>
  <c r="Q21" i="25"/>
  <c r="Q37" i="25"/>
  <c r="Q49" i="25"/>
  <c r="Q31" i="25"/>
  <c r="AD9" i="24"/>
  <c r="AD57" i="24"/>
  <c r="AD32" i="24"/>
  <c r="AD22" i="24"/>
  <c r="AD47" i="24"/>
  <c r="AD13" i="24"/>
  <c r="AD25" i="24"/>
  <c r="AD50" i="24"/>
  <c r="AD19" i="24"/>
  <c r="AD34" i="24"/>
  <c r="AD46" i="24"/>
  <c r="AD28" i="24"/>
  <c r="AD53" i="24"/>
  <c r="AD17" i="24"/>
  <c r="AD8" i="24"/>
  <c r="AD31" i="24"/>
  <c r="AD56" i="24"/>
  <c r="AD49" i="24"/>
  <c r="AD54" i="24"/>
  <c r="AD44" i="24"/>
  <c r="AG7" i="24"/>
  <c r="AH41" i="24" s="1"/>
  <c r="AD33" i="24"/>
  <c r="AD58" i="24"/>
  <c r="AD15" i="24"/>
  <c r="AD35" i="24"/>
  <c r="AD11" i="24"/>
  <c r="AD52" i="24"/>
  <c r="AD27" i="24"/>
  <c r="AD18" i="24"/>
  <c r="AD40" i="24"/>
  <c r="X25" i="24"/>
  <c r="X58" i="24"/>
  <c r="X19" i="24"/>
  <c r="X46" i="24"/>
  <c r="Y7" i="24"/>
  <c r="X20" i="24"/>
  <c r="X56" i="24"/>
  <c r="X41" i="24"/>
  <c r="X31" i="24"/>
  <c r="X21" i="24"/>
  <c r="X49" i="24"/>
  <c r="X55" i="24"/>
  <c r="X13" i="24"/>
  <c r="X53" i="24"/>
  <c r="X12" i="24"/>
  <c r="X23" i="24"/>
  <c r="X52" i="24"/>
  <c r="X30" i="24"/>
  <c r="X10" i="24"/>
  <c r="X40" i="24"/>
  <c r="X27" i="24"/>
  <c r="X26" i="24"/>
  <c r="X54" i="24"/>
  <c r="X51" i="24"/>
  <c r="X48" i="24"/>
  <c r="X8" i="24"/>
  <c r="X29" i="24"/>
  <c r="X57" i="24"/>
  <c r="Z24" i="24"/>
  <c r="X36" i="24"/>
  <c r="X32" i="24"/>
  <c r="X17" i="24"/>
  <c r="Z17" i="24"/>
  <c r="X9" i="24"/>
  <c r="X47" i="24"/>
  <c r="X14" i="24"/>
  <c r="X34" i="24"/>
  <c r="Z27" i="24"/>
  <c r="P36" i="24"/>
  <c r="P16" i="24"/>
  <c r="P44" i="24"/>
  <c r="P45" i="24"/>
  <c r="P49" i="24"/>
  <c r="P58" i="24"/>
  <c r="P33" i="24"/>
  <c r="P20" i="24"/>
  <c r="P56" i="24"/>
  <c r="P10" i="24"/>
  <c r="P23" i="24"/>
  <c r="P52" i="24"/>
  <c r="P22" i="24"/>
  <c r="P35" i="24"/>
  <c r="P24" i="24"/>
  <c r="P21" i="24"/>
  <c r="P51" i="24"/>
  <c r="P18" i="24"/>
  <c r="P41" i="24"/>
  <c r="P31" i="24"/>
  <c r="P26" i="24"/>
  <c r="P54" i="24"/>
  <c r="P50" i="24"/>
  <c r="P15" i="24"/>
  <c r="P40" i="24"/>
  <c r="P17" i="24"/>
  <c r="P32" i="24"/>
  <c r="N23" i="24"/>
  <c r="N57" i="24"/>
  <c r="N51" i="24"/>
  <c r="N27" i="24"/>
  <c r="N18" i="24"/>
  <c r="N40" i="24"/>
  <c r="N32" i="24"/>
  <c r="N12" i="24"/>
  <c r="N22" i="24"/>
  <c r="N47" i="24"/>
  <c r="N13" i="24"/>
  <c r="N25" i="24"/>
  <c r="N50" i="24"/>
  <c r="N30" i="24"/>
  <c r="N54" i="24"/>
  <c r="N46" i="24"/>
  <c r="N28" i="24"/>
  <c r="N53" i="24"/>
  <c r="N9" i="24"/>
  <c r="N52" i="24"/>
  <c r="N44" i="24"/>
  <c r="N17" i="24"/>
  <c r="Q7" i="24"/>
  <c r="R49" i="24" s="1"/>
  <c r="N33" i="24"/>
  <c r="N58" i="24"/>
  <c r="N55" i="24"/>
  <c r="H9" i="24"/>
  <c r="H55" i="24"/>
  <c r="H58" i="24"/>
  <c r="H25" i="24"/>
  <c r="H40" i="24"/>
  <c r="H10" i="24"/>
  <c r="H52" i="24"/>
  <c r="H28" i="24"/>
  <c r="H11" i="24"/>
  <c r="H20" i="24"/>
  <c r="H19" i="24"/>
  <c r="H33" i="24"/>
  <c r="H44" i="24"/>
  <c r="H23" i="24"/>
  <c r="H16" i="24"/>
  <c r="H51" i="24"/>
  <c r="H12" i="24"/>
  <c r="H54" i="24"/>
  <c r="H35" i="24"/>
  <c r="G6" i="24"/>
  <c r="H46" i="24"/>
  <c r="H32" i="24"/>
  <c r="H22" i="24"/>
  <c r="H21" i="24"/>
  <c r="H48" i="24"/>
  <c r="H45" i="24"/>
  <c r="J27" i="24"/>
  <c r="F10" i="24"/>
  <c r="J22" i="24"/>
  <c r="D44" i="24"/>
  <c r="D34" i="24"/>
  <c r="D38" i="24"/>
  <c r="D53" i="24"/>
  <c r="D24" i="24"/>
  <c r="D26" i="24"/>
  <c r="D37" i="24"/>
  <c r="D28" i="24"/>
  <c r="D58" i="24"/>
  <c r="J12" i="24"/>
  <c r="D16" i="24"/>
  <c r="J9" i="24"/>
  <c r="J16" i="24"/>
  <c r="J49" i="24"/>
  <c r="D50" i="24"/>
  <c r="D46" i="24"/>
  <c r="D56" i="24"/>
  <c r="D39" i="24"/>
  <c r="D9" i="24"/>
  <c r="J10" i="24"/>
  <c r="J20" i="24"/>
  <c r="J14" i="24"/>
  <c r="D49" i="24"/>
  <c r="D25" i="24"/>
  <c r="D43" i="24"/>
  <c r="D8" i="24"/>
  <c r="D51" i="24"/>
  <c r="D22" i="24"/>
  <c r="J51" i="24"/>
  <c r="D10" i="24"/>
  <c r="D45" i="24"/>
  <c r="J11" i="24"/>
  <c r="J55" i="24"/>
  <c r="D27" i="24"/>
  <c r="D35" i="24"/>
  <c r="C6" i="24"/>
  <c r="I6" i="24" s="1"/>
  <c r="D23" i="24"/>
  <c r="D14" i="24"/>
  <c r="D47" i="24"/>
  <c r="D54" i="24"/>
  <c r="J24" i="24"/>
  <c r="J17" i="24"/>
  <c r="D33" i="24"/>
  <c r="D41" i="24"/>
  <c r="D48" i="24"/>
  <c r="D40" i="24"/>
  <c r="D55" i="24"/>
  <c r="J30" i="24"/>
  <c r="J58" i="24"/>
  <c r="J48" i="24"/>
  <c r="D30" i="24"/>
  <c r="D52" i="24"/>
  <c r="D13" i="24"/>
  <c r="D32" i="24"/>
  <c r="D21" i="24"/>
  <c r="D15" i="24"/>
  <c r="D20" i="24"/>
  <c r="D18" i="24"/>
  <c r="J57" i="24"/>
  <c r="J15" i="24"/>
  <c r="D36" i="24"/>
  <c r="D11" i="24"/>
  <c r="D19" i="24"/>
  <c r="D29" i="24"/>
  <c r="J36" i="24"/>
  <c r="N25" i="25"/>
  <c r="J51" i="25"/>
  <c r="D25" i="25"/>
  <c r="H32" i="25"/>
  <c r="L25" i="25"/>
  <c r="D32" i="25"/>
  <c r="L32" i="25"/>
  <c r="D55" i="25"/>
  <c r="F25" i="25"/>
  <c r="J44" i="25"/>
  <c r="N44" i="25"/>
  <c r="N51" i="25"/>
  <c r="J25" i="25"/>
  <c r="F47" i="25"/>
  <c r="D51" i="25"/>
  <c r="D102" i="16"/>
  <c r="E102" i="16"/>
  <c r="AL68" i="22"/>
  <c r="AL55" i="22"/>
  <c r="AL77" i="22"/>
  <c r="AL53" i="22"/>
  <c r="AL72" i="22"/>
  <c r="AL71" i="22"/>
  <c r="AL66" i="22"/>
  <c r="AL74" i="22"/>
  <c r="AL58" i="22"/>
  <c r="AL56" i="22"/>
  <c r="AL75" i="22"/>
  <c r="AL73" i="22"/>
  <c r="AL67" i="22"/>
  <c r="AL51" i="22"/>
  <c r="AL69" i="22"/>
  <c r="AL57" i="22"/>
  <c r="AL79" i="22"/>
  <c r="AL62" i="22"/>
  <c r="AL83" i="22"/>
  <c r="AF61" i="22"/>
  <c r="AF72" i="22"/>
  <c r="AF52" i="22"/>
  <c r="AF69" i="22"/>
  <c r="AF78" i="22"/>
  <c r="AF53" i="22"/>
  <c r="AF71" i="22"/>
  <c r="AF68" i="22"/>
  <c r="AF80" i="22"/>
  <c r="AF83" i="22"/>
  <c r="AF55" i="22"/>
  <c r="AF64" i="22"/>
  <c r="AF81" i="22"/>
  <c r="AF62" i="22"/>
  <c r="AF66" i="22"/>
  <c r="AF51" i="22"/>
  <c r="AF56" i="22"/>
  <c r="AF63" i="22"/>
  <c r="AF60" i="22"/>
  <c r="AF70" i="22"/>
  <c r="AF75" i="22"/>
  <c r="AF59" i="22"/>
  <c r="T54" i="22"/>
  <c r="T79" i="22"/>
  <c r="T69" i="22"/>
  <c r="T60" i="22"/>
  <c r="T71" i="22"/>
  <c r="T58" i="22"/>
  <c r="T53" i="22"/>
  <c r="T78" i="22"/>
  <c r="T75" i="22"/>
  <c r="T68" i="22"/>
  <c r="T67" i="22"/>
  <c r="T57" i="22"/>
  <c r="T77" i="22"/>
  <c r="T312" i="22"/>
  <c r="T73" i="22"/>
  <c r="T65" i="22"/>
  <c r="T61" i="22"/>
  <c r="T81" i="22"/>
  <c r="T76" i="22"/>
  <c r="T83" i="22"/>
  <c r="T63" i="22"/>
  <c r="T52" i="22"/>
  <c r="T70" i="22"/>
  <c r="T82" i="22"/>
  <c r="T74" i="22"/>
  <c r="T51" i="22"/>
  <c r="AL70" i="22"/>
  <c r="AL54" i="22"/>
  <c r="AF54" i="22"/>
  <c r="T56" i="22"/>
  <c r="AG9" i="24"/>
  <c r="AL52" i="22"/>
  <c r="AF77" i="22"/>
  <c r="T55" i="22"/>
  <c r="N81" i="22"/>
  <c r="N70" i="22"/>
  <c r="N59" i="22"/>
  <c r="N65" i="22"/>
  <c r="N51" i="22"/>
  <c r="N77" i="22"/>
  <c r="N58" i="22"/>
  <c r="N60" i="22"/>
  <c r="N54" i="22"/>
  <c r="N78" i="22"/>
  <c r="N82" i="22"/>
  <c r="N73" i="22"/>
  <c r="N63" i="22"/>
  <c r="N67" i="22"/>
  <c r="N64" i="22"/>
  <c r="N52" i="22"/>
  <c r="N83" i="22"/>
  <c r="N57" i="22"/>
  <c r="N79" i="22"/>
  <c r="N72" i="22"/>
  <c r="N71" i="22"/>
  <c r="N74" i="22"/>
  <c r="N66" i="22"/>
  <c r="N56" i="22"/>
  <c r="N80" i="22"/>
  <c r="AL82" i="22"/>
  <c r="M63" i="22"/>
  <c r="M59" i="22"/>
  <c r="M54" i="22"/>
  <c r="M77" i="22"/>
  <c r="M75" i="22"/>
  <c r="M62" i="22"/>
  <c r="M83" i="22"/>
  <c r="M52" i="22"/>
  <c r="M53" i="22"/>
  <c r="M76" i="22"/>
  <c r="M56" i="22"/>
  <c r="M51" i="22"/>
  <c r="M64" i="22"/>
  <c r="M81" i="22"/>
  <c r="M65" i="22"/>
  <c r="M74" i="22"/>
  <c r="M55" i="22"/>
  <c r="AL59" i="22"/>
  <c r="AF58" i="22"/>
  <c r="T62" i="22"/>
  <c r="N53" i="22"/>
  <c r="M68" i="22"/>
  <c r="AF82" i="22"/>
  <c r="T66" i="22"/>
  <c r="O5" i="2"/>
  <c r="Q5" i="2"/>
  <c r="T80" i="22"/>
  <c r="N312" i="22"/>
  <c r="N4" i="2"/>
  <c r="M4" i="2"/>
  <c r="AR57" i="22"/>
  <c r="AR82" i="22"/>
  <c r="R52" i="22"/>
  <c r="R76" i="22"/>
  <c r="R77" i="22"/>
  <c r="R64" i="22"/>
  <c r="O80" i="22"/>
  <c r="O67" i="22"/>
  <c r="O74" i="22"/>
  <c r="O77" i="22"/>
  <c r="AD82" i="22"/>
  <c r="AD54" i="22"/>
  <c r="AA61" i="22"/>
  <c r="AA62" i="22"/>
  <c r="AA63" i="22"/>
  <c r="AO77" i="22"/>
  <c r="AO60" i="22"/>
  <c r="AA55" i="22"/>
  <c r="L51" i="25"/>
  <c r="AR68" i="22"/>
  <c r="AR63" i="22"/>
  <c r="AR77" i="22"/>
  <c r="L82" i="22"/>
  <c r="L71" i="22"/>
  <c r="L79" i="22"/>
  <c r="L61" i="22"/>
  <c r="L53" i="22"/>
  <c r="R69" i="22"/>
  <c r="R66" i="22"/>
  <c r="R70" i="22"/>
  <c r="R65" i="22"/>
  <c r="O76" i="22"/>
  <c r="O82" i="22"/>
  <c r="O70" i="22"/>
  <c r="O68" i="22"/>
  <c r="AD57" i="22"/>
  <c r="AE55" i="22"/>
  <c r="AA68" i="22"/>
  <c r="AA57" i="22"/>
  <c r="AA69" i="22"/>
  <c r="AO51" i="22"/>
  <c r="AE82" i="22"/>
  <c r="AO54" i="22"/>
  <c r="W79" i="22"/>
  <c r="AO56" i="22"/>
  <c r="AA65" i="22"/>
  <c r="O62" i="22"/>
  <c r="O63" i="22"/>
  <c r="O60" i="22"/>
  <c r="O58" i="22"/>
  <c r="AA59" i="22"/>
  <c r="N36" i="24"/>
  <c r="W6" i="24"/>
  <c r="AD16" i="24"/>
  <c r="N32" i="25"/>
  <c r="F44" i="24"/>
  <c r="O9" i="24"/>
  <c r="J32" i="25"/>
  <c r="R32" i="25"/>
  <c r="T32" i="25" s="1"/>
  <c r="H47" i="25"/>
  <c r="F51" i="25"/>
  <c r="AR64" i="22"/>
  <c r="R54" i="22"/>
  <c r="R75" i="22"/>
  <c r="R67" i="22"/>
  <c r="R73" i="22"/>
  <c r="R53" i="22"/>
  <c r="O61" i="22"/>
  <c r="O79" i="22"/>
  <c r="O54" i="22"/>
  <c r="O53" i="22"/>
  <c r="AA70" i="22"/>
  <c r="AA77" i="22"/>
  <c r="AO70" i="22"/>
  <c r="AO53" i="22"/>
  <c r="AB3" i="25"/>
  <c r="AF2" i="25" s="1"/>
  <c r="H25" i="25"/>
  <c r="J41" i="24"/>
  <c r="AR83" i="22"/>
  <c r="AR81" i="22"/>
  <c r="AR67" i="22"/>
  <c r="AR74" i="22"/>
  <c r="L73" i="22"/>
  <c r="L81" i="22"/>
  <c r="L62" i="22"/>
  <c r="R57" i="22"/>
  <c r="R72" i="22"/>
  <c r="R55" i="22"/>
  <c r="O312" i="22"/>
  <c r="O72" i="22"/>
  <c r="O65" i="22"/>
  <c r="O55" i="22"/>
  <c r="W67" i="22"/>
  <c r="AA312" i="22"/>
  <c r="AA76" i="22"/>
  <c r="AA80" i="22"/>
  <c r="AO79" i="22"/>
  <c r="AE56" i="22"/>
  <c r="AA82" i="22"/>
  <c r="X11" i="24"/>
  <c r="G56" i="25"/>
  <c r="F44" i="25"/>
  <c r="AF51" i="24"/>
  <c r="F32" i="25"/>
  <c r="L44" i="25"/>
  <c r="X24" i="24"/>
  <c r="H55" i="25"/>
  <c r="J55" i="25"/>
  <c r="D44" i="25"/>
  <c r="H44" i="25"/>
  <c r="F24" i="24"/>
  <c r="F55" i="25"/>
  <c r="Y9" i="24"/>
  <c r="Z9" i="24" s="1"/>
  <c r="M5" i="2"/>
  <c r="N5" i="2"/>
  <c r="AR66" i="22"/>
  <c r="AF79" i="22"/>
  <c r="AF312" i="22"/>
  <c r="AF67" i="22"/>
  <c r="AR62" i="22"/>
  <c r="AH57" i="24"/>
  <c r="AH13" i="24"/>
  <c r="AH21" i="24"/>
  <c r="J8" i="24"/>
  <c r="J52" i="24"/>
  <c r="J45" i="24"/>
  <c r="J56" i="24"/>
  <c r="AH50" i="24"/>
  <c r="R13" i="24"/>
  <c r="R54" i="24"/>
  <c r="Z13" i="24"/>
  <c r="Z54" i="24"/>
  <c r="Z16" i="24"/>
  <c r="Z12" i="24"/>
  <c r="Z26" i="24"/>
  <c r="Z18" i="24"/>
  <c r="Z14" i="24"/>
  <c r="Z46" i="24"/>
  <c r="Z36" i="24"/>
  <c r="AR53" i="22"/>
  <c r="AF65" i="22"/>
  <c r="AF74" i="22"/>
  <c r="W66" i="22"/>
  <c r="W70" i="22"/>
  <c r="W74" i="22"/>
  <c r="W62" i="22"/>
  <c r="W78" i="22"/>
  <c r="W81" i="22"/>
  <c r="W82" i="22"/>
  <c r="W53" i="22"/>
  <c r="W61" i="22"/>
  <c r="W75" i="22"/>
  <c r="W65" i="22"/>
  <c r="W52" i="22"/>
  <c r="W54" i="22"/>
  <c r="W60" i="22"/>
  <c r="W64" i="22"/>
  <c r="J46" i="24"/>
  <c r="J26" i="24"/>
  <c r="J54" i="24"/>
  <c r="J25" i="24"/>
  <c r="J19" i="24"/>
  <c r="J13" i="24"/>
  <c r="J47" i="24"/>
  <c r="J21" i="24"/>
  <c r="J53" i="24"/>
  <c r="AF76" i="22"/>
  <c r="AG79" i="22"/>
  <c r="AG59" i="22"/>
  <c r="P83" i="22"/>
  <c r="P54" i="22"/>
  <c r="V59" i="22"/>
  <c r="V62" i="22"/>
  <c r="V57" i="22"/>
  <c r="V77" i="22"/>
  <c r="V312" i="22"/>
  <c r="V83" i="22"/>
  <c r="V53" i="22"/>
  <c r="V61" i="22"/>
  <c r="V65" i="22"/>
  <c r="V64" i="22"/>
  <c r="V80" i="22"/>
  <c r="V73" i="22"/>
  <c r="V67" i="22"/>
  <c r="V55" i="22"/>
  <c r="V58" i="22"/>
  <c r="V68" i="22"/>
  <c r="V74" i="22"/>
  <c r="V75" i="22"/>
  <c r="V76" i="22"/>
  <c r="V51" i="22"/>
  <c r="AH49" i="22"/>
  <c r="J49" i="22"/>
  <c r="AJ49" i="22"/>
  <c r="AB49" i="22"/>
  <c r="AT49" i="22"/>
  <c r="AC49" i="22"/>
  <c r="F7" i="22"/>
  <c r="B24" i="22" s="1"/>
  <c r="S49" i="22"/>
  <c r="AK49" i="22"/>
  <c r="AQ49" i="22"/>
  <c r="Z49" i="22"/>
  <c r="E49" i="22"/>
  <c r="U49" i="22"/>
  <c r="AI49" i="22"/>
  <c r="G49" i="22"/>
  <c r="Y49" i="22"/>
  <c r="H49" i="22"/>
  <c r="X49" i="22"/>
  <c r="I49" i="22"/>
  <c r="B23" i="22"/>
  <c r="Q49" i="22"/>
  <c r="J50" i="24"/>
  <c r="J40" i="24"/>
  <c r="L24" i="24"/>
  <c r="K6" i="24"/>
  <c r="Z15" i="24"/>
  <c r="Z19" i="24"/>
  <c r="Z45" i="24"/>
  <c r="Y48" i="24"/>
  <c r="Z48" i="24" s="1"/>
  <c r="Z50" i="24"/>
  <c r="AL65" i="22"/>
  <c r="AL81" i="22"/>
  <c r="AL76" i="22"/>
  <c r="AL63" i="22"/>
  <c r="AG54" i="22"/>
  <c r="AG65" i="22"/>
  <c r="M82" i="22"/>
  <c r="M67" i="22"/>
  <c r="M79" i="22"/>
  <c r="M57" i="22"/>
  <c r="M66" i="22"/>
  <c r="M72" i="22"/>
  <c r="M58" i="22"/>
  <c r="AA51" i="22"/>
  <c r="AA75" i="22"/>
  <c r="AA72" i="22"/>
  <c r="AA54" i="22"/>
  <c r="AG73" i="22"/>
  <c r="AM49" i="22"/>
  <c r="V70" i="22"/>
  <c r="J23" i="24"/>
  <c r="Z25" i="24"/>
  <c r="Z56" i="24"/>
  <c r="AB51" i="24"/>
  <c r="M56" i="25"/>
  <c r="AG55" i="22"/>
  <c r="AG61" i="22"/>
  <c r="AG70" i="22"/>
  <c r="AG69" i="22"/>
  <c r="AG81" i="22"/>
  <c r="AG62" i="22"/>
  <c r="AG83" i="22"/>
  <c r="AG64" i="22"/>
  <c r="AG74" i="22"/>
  <c r="AG58" i="22"/>
  <c r="AG51" i="22"/>
  <c r="AG63" i="22"/>
  <c r="AG75" i="22"/>
  <c r="AG66" i="22"/>
  <c r="AG57" i="22"/>
  <c r="AG72" i="22"/>
  <c r="AG52" i="22"/>
  <c r="AG68" i="22"/>
  <c r="AG77" i="22"/>
  <c r="P67" i="22"/>
  <c r="P59" i="22"/>
  <c r="P71" i="22"/>
  <c r="P72" i="22"/>
  <c r="P63" i="22"/>
  <c r="P82" i="22"/>
  <c r="P62" i="22"/>
  <c r="P61" i="22"/>
  <c r="P73" i="22"/>
  <c r="P78" i="22"/>
  <c r="P70" i="22"/>
  <c r="P79" i="22"/>
  <c r="P52" i="22"/>
  <c r="P64" i="22"/>
  <c r="P75" i="22"/>
  <c r="P81" i="22"/>
  <c r="P74" i="22"/>
  <c r="D31" i="24"/>
  <c r="D17" i="24"/>
  <c r="Z11" i="24"/>
  <c r="Z40" i="24"/>
  <c r="Z52" i="24"/>
  <c r="AL78" i="22"/>
  <c r="AL80" i="22"/>
  <c r="AL64" i="22"/>
  <c r="AL61" i="22"/>
  <c r="AG78" i="22"/>
  <c r="AG312" i="22"/>
  <c r="M78" i="22"/>
  <c r="M80" i="22"/>
  <c r="M69" i="22"/>
  <c r="M60" i="22"/>
  <c r="M61" i="22"/>
  <c r="AA81" i="22"/>
  <c r="AA66" i="22"/>
  <c r="AG76" i="22"/>
  <c r="AS49" i="22"/>
  <c r="V79" i="22"/>
  <c r="V52" i="22"/>
  <c r="P80" i="22"/>
  <c r="P55" i="22"/>
  <c r="J44" i="24"/>
  <c r="H53" i="24"/>
  <c r="H31" i="24"/>
  <c r="H17" i="24"/>
  <c r="H41" i="24"/>
  <c r="Z22" i="24"/>
  <c r="Z47" i="24"/>
  <c r="E56" i="25"/>
  <c r="N10" i="24"/>
  <c r="N19" i="24"/>
  <c r="N21" i="24"/>
  <c r="N26" i="24"/>
  <c r="N34" i="24"/>
  <c r="AD10" i="24"/>
  <c r="AD41" i="24"/>
  <c r="AD48" i="24"/>
  <c r="M6" i="24"/>
  <c r="N48" i="24"/>
  <c r="S6" i="24"/>
  <c r="Y6" i="24" s="1"/>
  <c r="X15" i="24"/>
  <c r="X22" i="24"/>
  <c r="X28" i="24"/>
  <c r="T40" i="24"/>
  <c r="X50" i="24"/>
  <c r="AC6" i="24"/>
  <c r="AG6" i="24" s="1"/>
  <c r="AD29" i="24"/>
  <c r="AD55" i="24"/>
  <c r="N14" i="24"/>
  <c r="N16" i="24"/>
  <c r="N29" i="24"/>
  <c r="N41" i="24"/>
  <c r="X18" i="24"/>
  <c r="AD14" i="24"/>
  <c r="AD21" i="24"/>
  <c r="AD23" i="24"/>
  <c r="AD26" i="24"/>
  <c r="AD30" i="24"/>
  <c r="H24" i="24"/>
  <c r="T24" i="24"/>
  <c r="AD24" i="24"/>
  <c r="AF24" i="24"/>
  <c r="B25" i="22" l="1"/>
  <c r="AH44" i="24"/>
  <c r="AH54" i="24"/>
  <c r="AH46" i="24"/>
  <c r="AH49" i="24"/>
  <c r="AH16" i="24"/>
  <c r="AH58" i="24"/>
  <c r="AH25" i="24"/>
  <c r="AH9" i="24"/>
  <c r="AH55" i="24"/>
  <c r="AH53" i="24"/>
  <c r="AH40" i="24"/>
  <c r="AH36" i="24"/>
  <c r="AH12" i="24"/>
  <c r="AH20" i="24"/>
  <c r="AH18" i="24"/>
  <c r="AH56" i="24"/>
  <c r="AH45" i="24"/>
  <c r="AH19" i="24"/>
  <c r="AH11" i="24"/>
  <c r="AH22" i="24"/>
  <c r="AH51" i="24"/>
  <c r="AH17" i="24"/>
  <c r="AH10" i="24"/>
  <c r="AH48" i="24"/>
  <c r="AH23" i="24"/>
  <c r="AH24" i="24"/>
  <c r="AH8" i="24"/>
  <c r="AH26" i="24"/>
  <c r="AH15" i="24"/>
  <c r="AH30" i="24"/>
  <c r="AH52" i="24"/>
  <c r="AH14" i="24"/>
  <c r="AH47" i="24"/>
  <c r="AH27" i="24"/>
  <c r="Z8" i="24"/>
  <c r="Z53" i="24"/>
  <c r="Z44" i="24"/>
  <c r="Z20" i="24"/>
  <c r="Z58" i="24"/>
  <c r="Z23" i="24"/>
  <c r="Z51" i="24"/>
  <c r="Z57" i="24"/>
  <c r="Z30" i="24"/>
  <c r="Z21" i="24"/>
  <c r="Z49" i="24"/>
  <c r="Z55" i="24"/>
  <c r="Z10" i="24"/>
  <c r="Z41" i="24"/>
  <c r="R16" i="24"/>
  <c r="R41" i="24"/>
  <c r="R11" i="24"/>
  <c r="R56" i="24"/>
  <c r="R30" i="24"/>
  <c r="R17" i="24"/>
  <c r="R53" i="24"/>
  <c r="R47" i="24"/>
  <c r="R21" i="24"/>
  <c r="R8" i="24"/>
  <c r="R26" i="24"/>
  <c r="R36" i="24"/>
  <c r="R48" i="24"/>
  <c r="R20" i="24"/>
  <c r="R18" i="24"/>
  <c r="R12" i="24"/>
  <c r="R57" i="24"/>
  <c r="R44" i="24"/>
  <c r="R15" i="24"/>
  <c r="R25" i="24"/>
  <c r="R58" i="24"/>
  <c r="R40" i="24"/>
  <c r="R51" i="24"/>
  <c r="R55" i="24"/>
  <c r="R50" i="24"/>
  <c r="R27" i="24"/>
  <c r="R24" i="24"/>
  <c r="R10" i="24"/>
  <c r="R46" i="24"/>
  <c r="R23" i="24"/>
  <c r="R22" i="24"/>
  <c r="R45" i="24"/>
  <c r="R19" i="24"/>
  <c r="R14" i="24"/>
  <c r="R52" i="24"/>
  <c r="N56" i="25"/>
  <c r="N57" i="25" s="1"/>
  <c r="D56" i="25"/>
  <c r="D57" i="25" s="1"/>
  <c r="L56" i="25"/>
  <c r="L57" i="25" s="1"/>
  <c r="F56" i="25"/>
  <c r="F57" i="25" s="1"/>
  <c r="J56" i="25"/>
  <c r="J57" i="25" s="1"/>
  <c r="H56" i="25"/>
  <c r="H57" i="25" s="1"/>
  <c r="R56" i="25"/>
  <c r="P9" i="24"/>
  <c r="Q9" i="24"/>
  <c r="R9" i="24" s="1"/>
  <c r="AM53" i="22"/>
  <c r="AM57" i="22"/>
  <c r="AM82" i="22"/>
  <c r="AM63" i="22"/>
  <c r="AM58" i="22"/>
  <c r="AM61" i="22"/>
  <c r="AM65" i="22"/>
  <c r="AM52" i="22"/>
  <c r="AM51" i="22"/>
  <c r="AM56" i="22"/>
  <c r="AM83" i="22"/>
  <c r="AM68" i="22"/>
  <c r="AM64" i="22"/>
  <c r="AM78" i="22"/>
  <c r="AM60" i="22"/>
  <c r="AM81" i="22"/>
  <c r="AM75" i="22"/>
  <c r="AM66" i="22"/>
  <c r="AM55" i="22"/>
  <c r="AM62" i="22"/>
  <c r="AM54" i="22"/>
  <c r="AM71" i="22"/>
  <c r="AM77" i="22"/>
  <c r="AM80" i="22"/>
  <c r="AM73" i="22"/>
  <c r="AM74" i="22"/>
  <c r="AM67" i="22"/>
  <c r="AM79" i="22"/>
  <c r="AM76" i="22"/>
  <c r="AM70" i="22"/>
  <c r="AM69" i="22"/>
  <c r="AM59" i="22"/>
  <c r="AM72" i="22"/>
  <c r="Y62" i="22"/>
  <c r="Y53" i="22"/>
  <c r="Y71" i="22"/>
  <c r="Y59" i="22"/>
  <c r="Y79" i="22"/>
  <c r="Y82" i="22"/>
  <c r="Y63" i="22"/>
  <c r="Y55" i="22"/>
  <c r="Y70" i="22"/>
  <c r="Y75" i="22"/>
  <c r="Y81" i="22"/>
  <c r="Y52" i="22"/>
  <c r="Y65" i="22"/>
  <c r="Y64" i="22"/>
  <c r="Y74" i="22"/>
  <c r="Y76" i="22"/>
  <c r="Y69" i="22"/>
  <c r="Y67" i="22"/>
  <c r="Y56" i="22"/>
  <c r="Y72" i="22"/>
  <c r="Y66" i="22"/>
  <c r="Y54" i="22"/>
  <c r="Y78" i="22"/>
  <c r="Y73" i="22"/>
  <c r="Y80" i="22"/>
  <c r="Y61" i="22"/>
  <c r="Y51" i="22"/>
  <c r="Y60" i="22"/>
  <c r="Y83" i="22"/>
  <c r="Y58" i="22"/>
  <c r="Y57" i="22"/>
  <c r="Y312" i="22"/>
  <c r="Y68" i="22"/>
  <c r="Y77" i="22"/>
  <c r="E74" i="22"/>
  <c r="E58" i="22"/>
  <c r="E65" i="22"/>
  <c r="E72" i="22"/>
  <c r="E55" i="22"/>
  <c r="E59" i="22"/>
  <c r="E54" i="22"/>
  <c r="E66" i="22"/>
  <c r="E61" i="22"/>
  <c r="E56" i="22"/>
  <c r="E53" i="22"/>
  <c r="E77" i="22"/>
  <c r="E83" i="22"/>
  <c r="E312" i="22"/>
  <c r="E68" i="22"/>
  <c r="E69" i="22"/>
  <c r="E57" i="22"/>
  <c r="E64" i="22"/>
  <c r="E76" i="22"/>
  <c r="E81" i="22"/>
  <c r="E63" i="22"/>
  <c r="E73" i="22"/>
  <c r="E80" i="22"/>
  <c r="E67" i="22"/>
  <c r="E51" i="22"/>
  <c r="E60" i="22"/>
  <c r="E52" i="22"/>
  <c r="E71" i="22"/>
  <c r="E70" i="22"/>
  <c r="E82" i="22"/>
  <c r="E62" i="22"/>
  <c r="E79" i="22"/>
  <c r="E78" i="22"/>
  <c r="E75" i="22"/>
  <c r="S70" i="22"/>
  <c r="S53" i="22"/>
  <c r="S82" i="22"/>
  <c r="S57" i="22"/>
  <c r="S59" i="22"/>
  <c r="S52" i="22"/>
  <c r="S83" i="22"/>
  <c r="S58" i="22"/>
  <c r="S78" i="22"/>
  <c r="S68" i="22"/>
  <c r="S77" i="22"/>
  <c r="S74" i="22"/>
  <c r="S61" i="22"/>
  <c r="S55" i="22"/>
  <c r="S67" i="22"/>
  <c r="S65" i="22"/>
  <c r="S60" i="22"/>
  <c r="S76" i="22"/>
  <c r="S56" i="22"/>
  <c r="S64" i="22"/>
  <c r="S62" i="22"/>
  <c r="S69" i="22"/>
  <c r="S75" i="22"/>
  <c r="S312" i="22"/>
  <c r="S80" i="22"/>
  <c r="S73" i="22"/>
  <c r="S63" i="22"/>
  <c r="S51" i="22"/>
  <c r="S79" i="22"/>
  <c r="S72" i="22"/>
  <c r="S66" i="22"/>
  <c r="S81" i="22"/>
  <c r="S71" i="22"/>
  <c r="S54" i="22"/>
  <c r="AB59" i="22"/>
  <c r="AB65" i="22"/>
  <c r="AB81" i="22"/>
  <c r="AB73" i="22"/>
  <c r="AB57" i="22"/>
  <c r="AB74" i="22"/>
  <c r="AB68" i="22"/>
  <c r="AB54" i="22"/>
  <c r="AB77" i="22"/>
  <c r="AB51" i="22"/>
  <c r="AB62" i="22"/>
  <c r="AB52" i="22"/>
  <c r="AB56" i="22"/>
  <c r="AB55" i="22"/>
  <c r="AB80" i="22"/>
  <c r="AB71" i="22"/>
  <c r="AB64" i="22"/>
  <c r="AB82" i="22"/>
  <c r="AB312" i="22"/>
  <c r="AB78" i="22"/>
  <c r="AB58" i="22"/>
  <c r="AB67" i="22"/>
  <c r="AB79" i="22"/>
  <c r="AB75" i="22"/>
  <c r="AB70" i="22"/>
  <c r="AB66" i="22"/>
  <c r="AB76" i="22"/>
  <c r="AB69" i="22"/>
  <c r="AB83" i="22"/>
  <c r="AB60" i="22"/>
  <c r="AB72" i="22"/>
  <c r="AB53" i="22"/>
  <c r="AB63" i="22"/>
  <c r="AB61" i="22"/>
  <c r="I66" i="22"/>
  <c r="I53" i="22"/>
  <c r="I74" i="22"/>
  <c r="I51" i="22"/>
  <c r="I70" i="22"/>
  <c r="I83" i="22"/>
  <c r="I56" i="22"/>
  <c r="I60" i="22"/>
  <c r="I65" i="22"/>
  <c r="I75" i="22"/>
  <c r="I58" i="22"/>
  <c r="I62" i="22"/>
  <c r="I67" i="22"/>
  <c r="I64" i="22"/>
  <c r="I71" i="22"/>
  <c r="I82" i="22"/>
  <c r="I52" i="22"/>
  <c r="I59" i="22"/>
  <c r="I55" i="22"/>
  <c r="I69" i="22"/>
  <c r="I73" i="22"/>
  <c r="I76" i="22"/>
  <c r="I80" i="22"/>
  <c r="I68" i="22"/>
  <c r="I81" i="22"/>
  <c r="I312" i="22"/>
  <c r="I78" i="22"/>
  <c r="I72" i="22"/>
  <c r="I77" i="22"/>
  <c r="I63" i="22"/>
  <c r="I61" i="22"/>
  <c r="I79" i="22"/>
  <c r="I57" i="22"/>
  <c r="I54" i="22"/>
  <c r="G60" i="22"/>
  <c r="G64" i="22"/>
  <c r="G77" i="22"/>
  <c r="G67" i="22"/>
  <c r="G65" i="22"/>
  <c r="G78" i="22"/>
  <c r="G312" i="22"/>
  <c r="G69" i="22"/>
  <c r="G66" i="22"/>
  <c r="G74" i="22"/>
  <c r="G72" i="22"/>
  <c r="G76" i="22"/>
  <c r="G57" i="22"/>
  <c r="G82" i="22"/>
  <c r="G59" i="22"/>
  <c r="G71" i="22"/>
  <c r="G53" i="22"/>
  <c r="G52" i="22"/>
  <c r="G55" i="22"/>
  <c r="G73" i="22"/>
  <c r="G51" i="22"/>
  <c r="G79" i="22"/>
  <c r="G54" i="22"/>
  <c r="G63" i="22"/>
  <c r="G81" i="22"/>
  <c r="G56" i="22"/>
  <c r="G68" i="22"/>
  <c r="G83" i="22"/>
  <c r="G62" i="22"/>
  <c r="G61" i="22"/>
  <c r="G58" i="22"/>
  <c r="G80" i="22"/>
  <c r="G75" i="22"/>
  <c r="G70" i="22"/>
  <c r="Z66" i="22"/>
  <c r="Z67" i="22"/>
  <c r="Z59" i="22"/>
  <c r="Z75" i="22"/>
  <c r="Z61" i="22"/>
  <c r="Z312" i="22"/>
  <c r="Z65" i="22"/>
  <c r="Z60" i="22"/>
  <c r="Z68" i="22"/>
  <c r="Z64" i="22"/>
  <c r="Z51" i="22"/>
  <c r="Z63" i="22"/>
  <c r="Z71" i="22"/>
  <c r="Z70" i="22"/>
  <c r="Z54" i="22"/>
  <c r="Z82" i="22"/>
  <c r="Z78" i="22"/>
  <c r="Z55" i="22"/>
  <c r="Z58" i="22"/>
  <c r="Z62" i="22"/>
  <c r="Z74" i="22"/>
  <c r="Z79" i="22"/>
  <c r="Z72" i="22"/>
  <c r="Z77" i="22"/>
  <c r="Z76" i="22"/>
  <c r="Z73" i="22"/>
  <c r="Z81" i="22"/>
  <c r="Z69" i="22"/>
  <c r="Z80" i="22"/>
  <c r="Z57" i="22"/>
  <c r="Z53" i="22"/>
  <c r="Z83" i="22"/>
  <c r="Z52" i="22"/>
  <c r="Z56" i="22"/>
  <c r="AJ55" i="22"/>
  <c r="AJ67" i="22"/>
  <c r="AJ71" i="22"/>
  <c r="AJ76" i="22"/>
  <c r="AJ72" i="22"/>
  <c r="AJ82" i="22"/>
  <c r="AJ58" i="22"/>
  <c r="AJ61" i="22"/>
  <c r="AJ73" i="22"/>
  <c r="AJ78" i="22"/>
  <c r="AJ51" i="22"/>
  <c r="AJ70" i="22"/>
  <c r="AJ54" i="22"/>
  <c r="AJ62" i="22"/>
  <c r="AJ64" i="22"/>
  <c r="AJ52" i="22"/>
  <c r="AJ83" i="22"/>
  <c r="AJ75" i="22"/>
  <c r="AJ79" i="22"/>
  <c r="AJ65" i="22"/>
  <c r="AJ53" i="22"/>
  <c r="AJ68" i="22"/>
  <c r="AJ57" i="22"/>
  <c r="AJ77" i="22"/>
  <c r="AJ66" i="22"/>
  <c r="AJ59" i="22"/>
  <c r="AJ74" i="22"/>
  <c r="AJ69" i="22"/>
  <c r="AJ80" i="22"/>
  <c r="AJ56" i="22"/>
  <c r="AJ63" i="22"/>
  <c r="AJ60" i="22"/>
  <c r="AJ81" i="22"/>
  <c r="AS70" i="22"/>
  <c r="AS60" i="22"/>
  <c r="AS76" i="22"/>
  <c r="AS67" i="22"/>
  <c r="AS77" i="22"/>
  <c r="AS57" i="22"/>
  <c r="AS68" i="22"/>
  <c r="AS51" i="22"/>
  <c r="AS72" i="22"/>
  <c r="AS65" i="22"/>
  <c r="AS75" i="22"/>
  <c r="AS52" i="22"/>
  <c r="AS63" i="22"/>
  <c r="AS54" i="22"/>
  <c r="AS56" i="22"/>
  <c r="AS83" i="22"/>
  <c r="AS74" i="22"/>
  <c r="AS59" i="22"/>
  <c r="AS55" i="22"/>
  <c r="AS61" i="22"/>
  <c r="AS82" i="22"/>
  <c r="AS53" i="22"/>
  <c r="AS66" i="22"/>
  <c r="AS64" i="22"/>
  <c r="AS69" i="22"/>
  <c r="AS78" i="22"/>
  <c r="AS58" i="22"/>
  <c r="AS71" i="22"/>
  <c r="AS79" i="22"/>
  <c r="AS73" i="22"/>
  <c r="AS62" i="22"/>
  <c r="AS80" i="22"/>
  <c r="AS81" i="22"/>
  <c r="X67" i="22"/>
  <c r="X63" i="22"/>
  <c r="X79" i="22"/>
  <c r="X52" i="22"/>
  <c r="X76" i="22"/>
  <c r="X64" i="22"/>
  <c r="X83" i="22"/>
  <c r="X66" i="22"/>
  <c r="X78" i="22"/>
  <c r="X77" i="22"/>
  <c r="X82" i="22"/>
  <c r="X61" i="22"/>
  <c r="X53" i="22"/>
  <c r="X54" i="22"/>
  <c r="X72" i="22"/>
  <c r="X62" i="22"/>
  <c r="X74" i="22"/>
  <c r="X57" i="22"/>
  <c r="X60" i="22"/>
  <c r="X312" i="22"/>
  <c r="X69" i="22"/>
  <c r="X58" i="22"/>
  <c r="X68" i="22"/>
  <c r="X73" i="22"/>
  <c r="X55" i="22"/>
  <c r="X65" i="22"/>
  <c r="X59" i="22"/>
  <c r="X70" i="22"/>
  <c r="X81" i="22"/>
  <c r="X75" i="22"/>
  <c r="X71" i="22"/>
  <c r="X56" i="22"/>
  <c r="X80" i="22"/>
  <c r="X51" i="22"/>
  <c r="AI71" i="22"/>
  <c r="AI81" i="22"/>
  <c r="AI58" i="22"/>
  <c r="AI54" i="22"/>
  <c r="AI312" i="22"/>
  <c r="AI56" i="22"/>
  <c r="AI68" i="22"/>
  <c r="AI59" i="22"/>
  <c r="AI67" i="22"/>
  <c r="AI80" i="22"/>
  <c r="AI51" i="22"/>
  <c r="AI66" i="22"/>
  <c r="AI69" i="22"/>
  <c r="AI52" i="22"/>
  <c r="AI61" i="22"/>
  <c r="AI73" i="22"/>
  <c r="AI55" i="22"/>
  <c r="AI74" i="22"/>
  <c r="AI53" i="22"/>
  <c r="AI63" i="22"/>
  <c r="AI77" i="22"/>
  <c r="AI83" i="22"/>
  <c r="AI79" i="22"/>
  <c r="AI72" i="22"/>
  <c r="AI65" i="22"/>
  <c r="AI78" i="22"/>
  <c r="AI82" i="22"/>
  <c r="AI57" i="22"/>
  <c r="AI60" i="22"/>
  <c r="AI62" i="22"/>
  <c r="AI70" i="22"/>
  <c r="AI75" i="22"/>
  <c r="AI76" i="22"/>
  <c r="AI64" i="22"/>
  <c r="AQ53" i="22"/>
  <c r="AQ65" i="22"/>
  <c r="AQ62" i="22"/>
  <c r="AQ71" i="22"/>
  <c r="AQ74" i="22"/>
  <c r="AQ79" i="22"/>
  <c r="AQ76" i="22"/>
  <c r="AQ81" i="22"/>
  <c r="AQ52" i="22"/>
  <c r="AQ55" i="22"/>
  <c r="AQ68" i="22"/>
  <c r="AQ63" i="22"/>
  <c r="AQ54" i="22"/>
  <c r="AQ57" i="22"/>
  <c r="AQ83" i="22"/>
  <c r="AQ77" i="22"/>
  <c r="AQ51" i="22"/>
  <c r="AQ56" i="22"/>
  <c r="AQ72" i="22"/>
  <c r="AQ64" i="22"/>
  <c r="AQ60" i="22"/>
  <c r="AQ59" i="22"/>
  <c r="AQ73" i="22"/>
  <c r="AQ80" i="22"/>
  <c r="AQ67" i="22"/>
  <c r="AQ58" i="22"/>
  <c r="AQ61" i="22"/>
  <c r="AQ66" i="22"/>
  <c r="AQ70" i="22"/>
  <c r="AQ69" i="22"/>
  <c r="AQ75" i="22"/>
  <c r="AQ78" i="22"/>
  <c r="AQ82" i="22"/>
  <c r="AC57" i="22"/>
  <c r="AC58" i="22"/>
  <c r="AC68" i="22"/>
  <c r="AC55" i="22"/>
  <c r="AC80" i="22"/>
  <c r="AC64" i="22"/>
  <c r="AC77" i="22"/>
  <c r="AC51" i="22"/>
  <c r="AC60" i="22"/>
  <c r="AC59" i="22"/>
  <c r="AC62" i="22"/>
  <c r="AC72" i="22"/>
  <c r="AC83" i="22"/>
  <c r="AC312" i="22"/>
  <c r="AC74" i="22"/>
  <c r="AC78" i="22"/>
  <c r="AC82" i="22"/>
  <c r="AC70" i="22"/>
  <c r="AC69" i="22"/>
  <c r="AC63" i="22"/>
  <c r="AC73" i="22"/>
  <c r="AC52" i="22"/>
  <c r="AC67" i="22"/>
  <c r="AC75" i="22"/>
  <c r="AC79" i="22"/>
  <c r="AC71" i="22"/>
  <c r="AC54" i="22"/>
  <c r="AC56" i="22"/>
  <c r="AC65" i="22"/>
  <c r="AC53" i="22"/>
  <c r="AC66" i="22"/>
  <c r="AC61" i="22"/>
  <c r="AC76" i="22"/>
  <c r="AC81" i="22"/>
  <c r="J57" i="22"/>
  <c r="J56" i="22"/>
  <c r="J52" i="22"/>
  <c r="J68" i="22"/>
  <c r="J75" i="22"/>
  <c r="J73" i="22"/>
  <c r="I19" i="2" s="1"/>
  <c r="J81" i="22"/>
  <c r="J53" i="22"/>
  <c r="J61" i="22"/>
  <c r="J60" i="22"/>
  <c r="J70" i="22"/>
  <c r="J77" i="22"/>
  <c r="I12" i="2" s="1"/>
  <c r="J312" i="22"/>
  <c r="J83" i="22"/>
  <c r="J54" i="22"/>
  <c r="J63" i="22"/>
  <c r="J62" i="22"/>
  <c r="J72" i="22"/>
  <c r="I10" i="2" s="1"/>
  <c r="J82" i="22"/>
  <c r="I8" i="2" s="1"/>
  <c r="J76" i="22"/>
  <c r="J69" i="22"/>
  <c r="I16" i="2" s="1"/>
  <c r="J67" i="22"/>
  <c r="J78" i="22"/>
  <c r="J80" i="22"/>
  <c r="J51" i="22"/>
  <c r="J55" i="22"/>
  <c r="J64" i="22"/>
  <c r="J58" i="22"/>
  <c r="J71" i="22"/>
  <c r="I9" i="2" s="1"/>
  <c r="J59" i="22"/>
  <c r="J66" i="22"/>
  <c r="J79" i="22"/>
  <c r="J65" i="22"/>
  <c r="I14" i="2" s="1"/>
  <c r="J74" i="22"/>
  <c r="Q6" i="24"/>
  <c r="Q53" i="22"/>
  <c r="Q68" i="22"/>
  <c r="Q74" i="22"/>
  <c r="Q54" i="22"/>
  <c r="Q71" i="22"/>
  <c r="E9" i="2" s="1"/>
  <c r="M9" i="2" s="1"/>
  <c r="Q312" i="22"/>
  <c r="Q81" i="22"/>
  <c r="Q63" i="22"/>
  <c r="Q67" i="22"/>
  <c r="Q51" i="22"/>
  <c r="Q62" i="22"/>
  <c r="Q73" i="22"/>
  <c r="E19" i="2" s="1"/>
  <c r="M19" i="2" s="1"/>
  <c r="Q83" i="22"/>
  <c r="Q65" i="22"/>
  <c r="E14" i="2" s="1"/>
  <c r="M14" i="2" s="1"/>
  <c r="Q70" i="22"/>
  <c r="Q72" i="22"/>
  <c r="Q80" i="22"/>
  <c r="Q60" i="22"/>
  <c r="Q57" i="22"/>
  <c r="Q78" i="22"/>
  <c r="Q77" i="22"/>
  <c r="E12" i="2" s="1"/>
  <c r="M12" i="2" s="1"/>
  <c r="Q75" i="22"/>
  <c r="Q82" i="22"/>
  <c r="E8" i="2" s="1"/>
  <c r="M8" i="2" s="1"/>
  <c r="Q59" i="22"/>
  <c r="Q56" i="22"/>
  <c r="Q58" i="22"/>
  <c r="Q61" i="22"/>
  <c r="E10" i="2" s="1"/>
  <c r="M10" i="2" s="1"/>
  <c r="Q64" i="22"/>
  <c r="Q76" i="22"/>
  <c r="Q79" i="22"/>
  <c r="Q55" i="22"/>
  <c r="Q66" i="22"/>
  <c r="Q52" i="22"/>
  <c r="Q69" i="22"/>
  <c r="E16" i="2" s="1"/>
  <c r="M16" i="2" s="1"/>
  <c r="H72" i="22"/>
  <c r="H53" i="22"/>
  <c r="H51" i="22"/>
  <c r="H57" i="22"/>
  <c r="H58" i="22"/>
  <c r="H79" i="22"/>
  <c r="H77" i="22"/>
  <c r="H61" i="22"/>
  <c r="H69" i="22"/>
  <c r="H74" i="22"/>
  <c r="H63" i="22"/>
  <c r="H68" i="22"/>
  <c r="H67" i="22"/>
  <c r="H66" i="22"/>
  <c r="H71" i="22"/>
  <c r="H54" i="22"/>
  <c r="H55" i="22"/>
  <c r="H59" i="22"/>
  <c r="H70" i="22"/>
  <c r="H83" i="22"/>
  <c r="H82" i="22"/>
  <c r="H80" i="22"/>
  <c r="H56" i="22"/>
  <c r="H312" i="22"/>
  <c r="H78" i="22"/>
  <c r="H81" i="22"/>
  <c r="H73" i="22"/>
  <c r="H62" i="22"/>
  <c r="H75" i="22"/>
  <c r="H52" i="22"/>
  <c r="H60" i="22"/>
  <c r="H76" i="22"/>
  <c r="H65" i="22"/>
  <c r="H64" i="22"/>
  <c r="U54" i="22"/>
  <c r="U81" i="22"/>
  <c r="U56" i="22"/>
  <c r="U75" i="22"/>
  <c r="U53" i="22"/>
  <c r="U62" i="22"/>
  <c r="U58" i="22"/>
  <c r="U72" i="22"/>
  <c r="U63" i="22"/>
  <c r="U66" i="22"/>
  <c r="U51" i="22"/>
  <c r="U68" i="22"/>
  <c r="U64" i="22"/>
  <c r="U79" i="22"/>
  <c r="U312" i="22"/>
  <c r="U60" i="22"/>
  <c r="U76" i="22"/>
  <c r="U70" i="22"/>
  <c r="U77" i="22"/>
  <c r="U83" i="22"/>
  <c r="U71" i="22"/>
  <c r="U82" i="22"/>
  <c r="U61" i="22"/>
  <c r="U55" i="22"/>
  <c r="U57" i="22"/>
  <c r="U69" i="22"/>
  <c r="U59" i="22"/>
  <c r="U73" i="22"/>
  <c r="U80" i="22"/>
  <c r="U65" i="22"/>
  <c r="U78" i="22"/>
  <c r="U67" i="22"/>
  <c r="U52" i="22"/>
  <c r="U74" i="22"/>
  <c r="AK56" i="22"/>
  <c r="AK75" i="22"/>
  <c r="AK64" i="22"/>
  <c r="AK81" i="22"/>
  <c r="AK73" i="22"/>
  <c r="AK82" i="22"/>
  <c r="AK60" i="22"/>
  <c r="AK77" i="22"/>
  <c r="AK71" i="22"/>
  <c r="AK52" i="22"/>
  <c r="AK59" i="22"/>
  <c r="AK66" i="22"/>
  <c r="AK63" i="22"/>
  <c r="AK69" i="22"/>
  <c r="AK80" i="22"/>
  <c r="AK79" i="22"/>
  <c r="AK55" i="22"/>
  <c r="AK54" i="22"/>
  <c r="AK83" i="22"/>
  <c r="AK72" i="22"/>
  <c r="AK68" i="22"/>
  <c r="AK78" i="22"/>
  <c r="AK70" i="22"/>
  <c r="AK58" i="22"/>
  <c r="AK57" i="22"/>
  <c r="AK51" i="22"/>
  <c r="AK76" i="22"/>
  <c r="AK74" i="22"/>
  <c r="AK53" i="22"/>
  <c r="AK65" i="22"/>
  <c r="AK62" i="22"/>
  <c r="AK61" i="22"/>
  <c r="AK67" i="22"/>
  <c r="AT81" i="22"/>
  <c r="AT82" i="22"/>
  <c r="AT57" i="22"/>
  <c r="AT76" i="22"/>
  <c r="AT64" i="22"/>
  <c r="AT74" i="22"/>
  <c r="AT60" i="22"/>
  <c r="AT73" i="22"/>
  <c r="AT68" i="22"/>
  <c r="AT55" i="22"/>
  <c r="AT77" i="22"/>
  <c r="AT54" i="22"/>
  <c r="AT56" i="22"/>
  <c r="AT83" i="22"/>
  <c r="AT75" i="22"/>
  <c r="AT61" i="22"/>
  <c r="AT66" i="22"/>
  <c r="AT79" i="22"/>
  <c r="AT63" i="22"/>
  <c r="AT67" i="22"/>
  <c r="AT59" i="22"/>
  <c r="AT80" i="22"/>
  <c r="AT52" i="22"/>
  <c r="AT51" i="22"/>
  <c r="AT65" i="22"/>
  <c r="AT69" i="22"/>
  <c r="AT70" i="22"/>
  <c r="AT71" i="22"/>
  <c r="AT53" i="22"/>
  <c r="AT78" i="22"/>
  <c r="AT72" i="22"/>
  <c r="AT62" i="22"/>
  <c r="AT58" i="22"/>
  <c r="AH59" i="22"/>
  <c r="AH57" i="22"/>
  <c r="AH75" i="22"/>
  <c r="AH78" i="22"/>
  <c r="AH51" i="22"/>
  <c r="AH67" i="22"/>
  <c r="AH62" i="22"/>
  <c r="AH80" i="22"/>
  <c r="AH81" i="22"/>
  <c r="AH58" i="22"/>
  <c r="AH72" i="22"/>
  <c r="AH69" i="22"/>
  <c r="H16" i="2" s="1"/>
  <c r="P16" i="2" s="1"/>
  <c r="AH83" i="22"/>
  <c r="AH65" i="22"/>
  <c r="AH64" i="22"/>
  <c r="AH79" i="22"/>
  <c r="AH53" i="22"/>
  <c r="AH73" i="22"/>
  <c r="H19" i="2" s="1"/>
  <c r="P19" i="2" s="1"/>
  <c r="AH54" i="22"/>
  <c r="AH74" i="22"/>
  <c r="AH55" i="22"/>
  <c r="AH70" i="22"/>
  <c r="AH52" i="22"/>
  <c r="AH82" i="22"/>
  <c r="AH56" i="22"/>
  <c r="AH77" i="22"/>
  <c r="H12" i="2" s="1"/>
  <c r="P12" i="2" s="1"/>
  <c r="AH63" i="22"/>
  <c r="AH76" i="22"/>
  <c r="AH61" i="22"/>
  <c r="AH312" i="22"/>
  <c r="AH68" i="22"/>
  <c r="AH66" i="22"/>
  <c r="AH60" i="22"/>
  <c r="AH71" i="22"/>
  <c r="H9" i="2" s="1"/>
  <c r="P9" i="2" s="1"/>
  <c r="E20" i="2" l="1"/>
  <c r="M20" i="2" s="1"/>
  <c r="E13" i="2"/>
  <c r="M13" i="2" s="1"/>
  <c r="E15" i="2"/>
  <c r="M15" i="2" s="1"/>
  <c r="H15" i="2"/>
  <c r="P15" i="2" s="1"/>
  <c r="E11" i="2"/>
  <c r="M11" i="2" s="1"/>
  <c r="H18" i="2"/>
  <c r="P18" i="2" s="1"/>
  <c r="H8" i="2"/>
  <c r="P8" i="2" s="1"/>
  <c r="H11" i="2"/>
  <c r="P11" i="2" s="1"/>
  <c r="H14" i="2"/>
  <c r="P14" i="2" s="1"/>
  <c r="I13" i="2"/>
  <c r="H20" i="2"/>
  <c r="P20" i="2" s="1"/>
  <c r="H10" i="2"/>
  <c r="P10" i="2" s="1"/>
  <c r="H13" i="2"/>
  <c r="P13" i="2" s="1"/>
  <c r="I15" i="2"/>
  <c r="I20" i="2"/>
  <c r="J16" i="2"/>
  <c r="Q16" i="2" s="1"/>
  <c r="J14" i="2"/>
  <c r="Q14" i="2" s="1"/>
  <c r="G16" i="2"/>
  <c r="O16" i="2" s="1"/>
  <c r="G12" i="2"/>
  <c r="O12" i="2" s="1"/>
  <c r="G11" i="2"/>
  <c r="O11" i="2" s="1"/>
  <c r="G8" i="2"/>
  <c r="O8" i="2" s="1"/>
  <c r="F9" i="2"/>
  <c r="N9" i="2" s="1"/>
  <c r="F11" i="2"/>
  <c r="N11" i="2" s="1"/>
  <c r="F10" i="2"/>
  <c r="N10" i="2" s="1"/>
  <c r="F20" i="2"/>
  <c r="N20" i="2" s="1"/>
  <c r="D11" i="2"/>
  <c r="L11" i="2" s="1"/>
  <c r="D18" i="2"/>
  <c r="L18" i="2" s="1"/>
  <c r="D15" i="2"/>
  <c r="L15" i="2" s="1"/>
  <c r="D14" i="2"/>
  <c r="L14" i="2" s="1"/>
  <c r="J8" i="2"/>
  <c r="Q8" i="2" s="1"/>
  <c r="J20" i="2"/>
  <c r="Q20" i="2" s="1"/>
  <c r="J13" i="2"/>
  <c r="Q13" i="2" s="1"/>
  <c r="J15" i="2"/>
  <c r="Q15" i="2" s="1"/>
  <c r="J18" i="2"/>
  <c r="Q18" i="2" s="1"/>
  <c r="G18" i="2"/>
  <c r="O18" i="2" s="1"/>
  <c r="G15" i="2"/>
  <c r="O15" i="2" s="1"/>
  <c r="G13" i="2"/>
  <c r="O13" i="2" s="1"/>
  <c r="G14" i="2"/>
  <c r="O14" i="2" s="1"/>
  <c r="F13" i="2"/>
  <c r="N13" i="2" s="1"/>
  <c r="F14" i="2"/>
  <c r="N14" i="2" s="1"/>
  <c r="D8" i="2"/>
  <c r="L8" i="2" s="1"/>
  <c r="D19" i="2"/>
  <c r="L19" i="2" s="1"/>
  <c r="I11" i="2"/>
  <c r="J12" i="2"/>
  <c r="Q12" i="2" s="1"/>
  <c r="J9" i="2"/>
  <c r="Q9" i="2" s="1"/>
  <c r="G19" i="2"/>
  <c r="O19" i="2" s="1"/>
  <c r="G20" i="2"/>
  <c r="O20" i="2" s="1"/>
  <c r="F12" i="2"/>
  <c r="N12" i="2" s="1"/>
  <c r="F8" i="2"/>
  <c r="N8" i="2" s="1"/>
  <c r="D20" i="2"/>
  <c r="L20" i="2" s="1"/>
  <c r="D13" i="2"/>
  <c r="L13" i="2" s="1"/>
  <c r="D10" i="2"/>
  <c r="L10" i="2" s="1"/>
  <c r="I18" i="2"/>
  <c r="J10" i="2"/>
  <c r="Q10" i="2" s="1"/>
  <c r="J19" i="2"/>
  <c r="Q19" i="2" s="1"/>
  <c r="J11" i="2"/>
  <c r="Q11" i="2" s="1"/>
  <c r="G9" i="2"/>
  <c r="O9" i="2" s="1"/>
  <c r="G10" i="2"/>
  <c r="O10" i="2" s="1"/>
  <c r="F15" i="2"/>
  <c r="N15" i="2" s="1"/>
  <c r="F19" i="2"/>
  <c r="N19" i="2" s="1"/>
  <c r="F16" i="2"/>
  <c r="N16" i="2" s="1"/>
  <c r="E18" i="2"/>
  <c r="M18" i="2" s="1"/>
  <c r="F18" i="2"/>
  <c r="N18" i="2" s="1"/>
  <c r="D9" i="2"/>
  <c r="L9" i="2" s="1"/>
  <c r="D16" i="2"/>
  <c r="L16" i="2" s="1"/>
  <c r="D12" i="2"/>
  <c r="L12" i="2" s="1"/>
</calcChain>
</file>

<file path=xl/sharedStrings.xml><?xml version="1.0" encoding="utf-8"?>
<sst xmlns="http://schemas.openxmlformats.org/spreadsheetml/2006/main" count="483" uniqueCount="300">
  <si>
    <t>ИНСТРУКЦИЯ</t>
  </si>
  <si>
    <t>SEMIS КАЛЬКУЛЯТОР является инструментом, который служит для еженедельного, а также месячного прогнозирования,</t>
  </si>
  <si>
    <t>сверки и просмотра отчета затраченных средств SEMIS.</t>
  </si>
  <si>
    <t>Является месячным отчётом, который необходимо обновлять один раз в неделю.</t>
  </si>
  <si>
    <t>ЛИСТ - "ПЛАН"</t>
  </si>
  <si>
    <t>Данный лист служит для прогнозирования месячных расходов по Semis. M. Facility, вписывает в жёлтые поля вид расходов и планируемые деньги.</t>
  </si>
  <si>
    <t>Затем он может оценить уровень Semis за данный месяц. Данные, введенные в этом листе, только планируемые и не переносятся на другие листы.</t>
  </si>
  <si>
    <t>ЛИСТ - "SEMIS"</t>
  </si>
  <si>
    <t>Лист служит для учета расходов, оплаченных через рестораны, так называемым перечислением.</t>
  </si>
  <si>
    <t>Лист является итоговым по расходам Semis за весь месяц. Данные мы заносим еженедельно только в белые поля.</t>
  </si>
  <si>
    <t>строка 1,2,3- вносим название ресторана, месяц и количество дней</t>
  </si>
  <si>
    <t>Строка 8,9- количество недель в месяце и количество дней в не полных неделях месяца</t>
  </si>
  <si>
    <t>Планы по товарообороту разбиваем месячный план по неделям- строка 11, столбцы План</t>
  </si>
  <si>
    <t>Планы по статьям вносим в рублях в столбец Р</t>
  </si>
  <si>
    <t>Фактические расходы и фактический товарооборот вносим в столбцы факт в рублях</t>
  </si>
  <si>
    <t>Если в вашем ресторане нет каких либо расходов ужно поставить в строках план-нулевое значение, либо просто удалить строку</t>
  </si>
  <si>
    <t>все данные по планам см PL ресторана</t>
  </si>
  <si>
    <t>Все проценты считаются автоматически</t>
  </si>
  <si>
    <t>ВНИМАНИЕ!</t>
  </si>
  <si>
    <t>Если в последнюю неделю окажется, что счёт за услугу будет оплачен бухгалтерией в следующем</t>
  </si>
  <si>
    <t>месяце, и он не появится в P&amp;L, ты можешь отнять стоимость этого счёта, вписывая его стоимость с минусом в соответствующую  статью.</t>
  </si>
  <si>
    <t>ЛИСТ - "Итог Год"</t>
  </si>
  <si>
    <t>Лист является итоговым по расходам Semis за весь год. Данные мы заносим только калонке в рублях- процент расчитывается автоматически.</t>
  </si>
  <si>
    <t>НАЧАЛО И КОНЕЦ МЕСЯЦА</t>
  </si>
  <si>
    <t>В начале месяца мы планируем расходы на будующий месяц и вносим фактические данные за предыдущий месяц</t>
  </si>
  <si>
    <t xml:space="preserve">Планирование SEMIS </t>
  </si>
  <si>
    <t>Статья SEMIS</t>
  </si>
  <si>
    <t>Описание расходов</t>
  </si>
  <si>
    <t>Сумма расходов, руб</t>
  </si>
  <si>
    <t>Фактический SEMIS</t>
  </si>
  <si>
    <t>Коммунальные услуги</t>
  </si>
  <si>
    <t xml:space="preserve"> - Природный газ</t>
  </si>
  <si>
    <t xml:space="preserve"> - Электричество</t>
  </si>
  <si>
    <t xml:space="preserve"> - Вода и отопление</t>
  </si>
  <si>
    <t xml:space="preserve"> - Вывоз мусора</t>
  </si>
  <si>
    <t xml:space="preserve"> - Техобслуж. помещ.</t>
  </si>
  <si>
    <t xml:space="preserve"> - Клининговые услуги</t>
  </si>
  <si>
    <t>сумма</t>
  </si>
  <si>
    <t>Материалы</t>
  </si>
  <si>
    <t>МБП</t>
  </si>
  <si>
    <t>Канцтовары</t>
  </si>
  <si>
    <t>Униформа</t>
  </si>
  <si>
    <t>Чистящие средства</t>
  </si>
  <si>
    <t>Сервис</t>
  </si>
  <si>
    <t>Прочие</t>
  </si>
  <si>
    <t>Прочие контролируемые расходы</t>
  </si>
  <si>
    <t xml:space="preserve">Услуги связи (телефонная мобильная связь)                                        </t>
  </si>
  <si>
    <t>Оплата квартиры</t>
  </si>
  <si>
    <t>Транспортно-экспеиционные</t>
  </si>
  <si>
    <t>Информационные технологии</t>
  </si>
  <si>
    <t>Охранные услуги</t>
  </si>
  <si>
    <t>Командировочные Расходы</t>
  </si>
  <si>
    <t>Оценка и соблюдение стандартов</t>
  </si>
  <si>
    <t>Лицензионная музыка</t>
  </si>
  <si>
    <t>Пени и штрафы</t>
  </si>
  <si>
    <t>Консультационно-информац.:юрист</t>
  </si>
  <si>
    <t>Прочие операционные расходы</t>
  </si>
  <si>
    <t>Медкомиссия, санитарные, лабораторные услуги</t>
  </si>
  <si>
    <t>Медкомиссия</t>
  </si>
  <si>
    <t>Сан.услуги, услуги дератизации, дезинсекции и декзинфекции</t>
  </si>
  <si>
    <t>Ремонт (техобслуживание)</t>
  </si>
  <si>
    <t>Ремонт (техобслуживание) помещения</t>
  </si>
  <si>
    <t>Ремонт (техобслуживание) мебели</t>
  </si>
  <si>
    <t>Ремонт прочее</t>
  </si>
  <si>
    <t>Ремонт (техобслуживание) оборудования</t>
  </si>
  <si>
    <t>Холодильное оборудование</t>
  </si>
  <si>
    <t>Тепловое оборудование</t>
  </si>
  <si>
    <t>ОВ и К</t>
  </si>
  <si>
    <t>СУММА</t>
  </si>
  <si>
    <t>Медкомиссия, санит., лабор. услуги, дезработы</t>
  </si>
  <si>
    <t>мед осмоторы</t>
  </si>
  <si>
    <t>работы ДД</t>
  </si>
  <si>
    <t>АКТУАЛЬНЫЙ МЕСЯЦ:</t>
  </si>
  <si>
    <t xml:space="preserve">                   od:</t>
  </si>
  <si>
    <t>с:</t>
  </si>
  <si>
    <t>do:</t>
  </si>
  <si>
    <t>по:</t>
  </si>
  <si>
    <t>Номер ресторана</t>
  </si>
  <si>
    <t>Название ресторана</t>
  </si>
  <si>
    <t>;52;53;55;54;</t>
  </si>
  <si>
    <t>Artykuły techniczne</t>
  </si>
  <si>
    <t>;30;31;32;</t>
  </si>
  <si>
    <t>Badania pracownicze</t>
  </si>
  <si>
    <t>;87;88;89;</t>
  </si>
  <si>
    <t>Badania jakości usług</t>
  </si>
  <si>
    <t>;66;67;68;</t>
  </si>
  <si>
    <t>CO2</t>
  </si>
  <si>
    <t>;33;</t>
  </si>
  <si>
    <t>Fundusz socjalny</t>
  </si>
  <si>
    <t>;34;35;36;</t>
  </si>
  <si>
    <t>Imprezy pracownicze</t>
  </si>
  <si>
    <t>;37;38;39;</t>
  </si>
  <si>
    <t>Inne benefity</t>
  </si>
  <si>
    <t>;93;94;95;</t>
  </si>
  <si>
    <t>Inne usługi</t>
  </si>
  <si>
    <t>;62;</t>
  </si>
  <si>
    <t>Kary i grzywny</t>
  </si>
  <si>
    <t>;24;25;26;</t>
  </si>
  <si>
    <t>Kierowcy delivery</t>
  </si>
  <si>
    <t>;15;16;17;</t>
  </si>
  <si>
    <t>Konserwacja  budynków</t>
  </si>
  <si>
    <t>;19;18;20;</t>
  </si>
  <si>
    <t>Konserwacja urządzeń</t>
  </si>
  <si>
    <t>;49;50;51;</t>
  </si>
  <si>
    <t>Konserwacja urządzeń nie gasst.</t>
  </si>
  <si>
    <t>;102;103;104;105;106;107;</t>
  </si>
  <si>
    <t>LSM oraz LSM Ice Land</t>
  </si>
  <si>
    <t>;59;60;61;</t>
  </si>
  <si>
    <t>Materiały biurowe</t>
  </si>
  <si>
    <t>;78;79;80;</t>
  </si>
  <si>
    <t>Naprawa samochodów</t>
  </si>
  <si>
    <t>;108;</t>
  </si>
  <si>
    <t>Ocena champs</t>
  </si>
  <si>
    <t>;63;64;65;</t>
  </si>
  <si>
    <t>Odszkodowanie dla  klienta</t>
  </si>
  <si>
    <t>;75;76;77;</t>
  </si>
  <si>
    <t>Odzież ochronna</t>
  </si>
  <si>
    <t>;43;44;45;</t>
  </si>
  <si>
    <t>Opłaty urzędowe</t>
  </si>
  <si>
    <t>;46;47;48;</t>
  </si>
  <si>
    <t>Opłaty za telefon</t>
  </si>
  <si>
    <t>;81;82;83;</t>
  </si>
  <si>
    <t>Paliwo samochodowe</t>
  </si>
  <si>
    <t>;99;100;101;</t>
  </si>
  <si>
    <t>Podróże służbowe</t>
  </si>
  <si>
    <t>;9;91;92;</t>
  </si>
  <si>
    <t>Rekrutacja pracowników</t>
  </si>
  <si>
    <t>;69;70;71;</t>
  </si>
  <si>
    <t>Reprezentacja towary</t>
  </si>
  <si>
    <t>;73;72;74;</t>
  </si>
  <si>
    <t>Reprezentacja usługi</t>
  </si>
  <si>
    <t>;21;22;23;</t>
  </si>
  <si>
    <t>Środki czystości</t>
  </si>
  <si>
    <t>;27;28;29;</t>
  </si>
  <si>
    <t>Szkolenia pracowników</t>
  </si>
  <si>
    <t>;84;85;86;</t>
  </si>
  <si>
    <t>Usługi sprzątanie</t>
  </si>
  <si>
    <t>;96;98;97;</t>
  </si>
  <si>
    <t>Usługi transportowe</t>
  </si>
  <si>
    <t>;57;56;58;</t>
  </si>
  <si>
    <t>Wyposażenie restauracji</t>
  </si>
  <si>
    <t>;40;41;42;</t>
  </si>
  <si>
    <t>Wywóz śmieci</t>
  </si>
  <si>
    <t>;12;13;11;14;</t>
  </si>
  <si>
    <t>Zywność</t>
  </si>
  <si>
    <t>ФАКТ</t>
  </si>
  <si>
    <t>множитель</t>
  </si>
  <si>
    <t>Услуги связи (телефонная мобильная связь)</t>
  </si>
  <si>
    <t>Транспортно-экспедиционные расходы</t>
  </si>
  <si>
    <t>Ремонт, техобслуживание</t>
  </si>
  <si>
    <t>Командировочные расходы</t>
  </si>
  <si>
    <t>Охрана</t>
  </si>
  <si>
    <t>Оценка соблюдения стандартов</t>
  </si>
  <si>
    <t>Ресторан:</t>
  </si>
  <si>
    <t>Версия: 01.17</t>
  </si>
  <si>
    <t>План</t>
  </si>
  <si>
    <t>ПРОШ. ГОД</t>
  </si>
  <si>
    <t>Факт</t>
  </si>
  <si>
    <t>Месяц:</t>
  </si>
  <si>
    <t>Алмаз</t>
  </si>
  <si>
    <t>Всего дней в месяце:</t>
  </si>
  <si>
    <t>Вносим данные только в белые ячейки</t>
  </si>
  <si>
    <t>Армада Север</t>
  </si>
  <si>
    <t>Ашкадар</t>
  </si>
  <si>
    <t>Восход</t>
  </si>
  <si>
    <t>Галант</t>
  </si>
  <si>
    <t>Галле</t>
  </si>
  <si>
    <t>Неделя</t>
  </si>
  <si>
    <t>Разница</t>
  </si>
  <si>
    <t>Комментарии</t>
  </si>
  <si>
    <t>Горки</t>
  </si>
  <si>
    <t>Дней в неделе</t>
  </si>
  <si>
    <t>Гостиный Двор</t>
  </si>
  <si>
    <t>Статья расхода</t>
  </si>
  <si>
    <t>Руб</t>
  </si>
  <si>
    <t>%</t>
  </si>
  <si>
    <t>Гулливер</t>
  </si>
  <si>
    <t>SALES</t>
  </si>
  <si>
    <t>Дёма</t>
  </si>
  <si>
    <t>Континент</t>
  </si>
  <si>
    <t>Космонавтов</t>
  </si>
  <si>
    <t>МЕГА</t>
  </si>
  <si>
    <t>Меркурий</t>
  </si>
  <si>
    <t>Ниагара</t>
  </si>
  <si>
    <t>Природный газ</t>
  </si>
  <si>
    <t>Планета</t>
  </si>
  <si>
    <t>Электричество</t>
  </si>
  <si>
    <t>Простор</t>
  </si>
  <si>
    <t>Вода и отопление</t>
  </si>
  <si>
    <t>Сипайлово</t>
  </si>
  <si>
    <t>Вывоз мусора</t>
  </si>
  <si>
    <t>Семья</t>
  </si>
  <si>
    <t>Техобслуживание помещения</t>
  </si>
  <si>
    <t>Флагман</t>
  </si>
  <si>
    <t>Клининговые услуги</t>
  </si>
  <si>
    <t>Услуги связи (телефонная, мобильная связь)</t>
  </si>
  <si>
    <t>Консультац.информационные услуги</t>
  </si>
  <si>
    <t>Прочие операционные услуги</t>
  </si>
  <si>
    <t xml:space="preserve">Медкомиссия    </t>
  </si>
  <si>
    <t>Сан.услуги, дератизация, дезинфекция</t>
  </si>
  <si>
    <t>Медкомиссия, сан., лаб. услуги</t>
  </si>
  <si>
    <t>Ремонт помещения</t>
  </si>
  <si>
    <t>Ремонт мебели</t>
  </si>
  <si>
    <t>ремонт прочее</t>
  </si>
  <si>
    <t>Ремонт (техобсл-е)оборудования</t>
  </si>
  <si>
    <t>SEMIS</t>
  </si>
  <si>
    <t>Статья бюджетов / 
Аналитика</t>
  </si>
  <si>
    <t>ЯНВАРЬ</t>
  </si>
  <si>
    <t>ФЕВРАЛЬ</t>
  </si>
  <si>
    <t>МАРТ</t>
  </si>
  <si>
    <t>Q1</t>
  </si>
  <si>
    <t>АПРЕЛЬ</t>
  </si>
  <si>
    <t>МАЙ</t>
  </si>
  <si>
    <t>ИЮНЬ</t>
  </si>
  <si>
    <t>Q2</t>
  </si>
  <si>
    <t>ИЮЛЬ</t>
  </si>
  <si>
    <t>АВГУСТ</t>
  </si>
  <si>
    <t>СЕНТЯБРЬ</t>
  </si>
  <si>
    <t>Q3</t>
  </si>
  <si>
    <t>ОКТЯБРЬ</t>
  </si>
  <si>
    <t>НОЯБРЬ</t>
  </si>
  <si>
    <t>ДЕКАБРЬ</t>
  </si>
  <si>
    <t>Q4</t>
  </si>
  <si>
    <t>Сумма</t>
  </si>
  <si>
    <t>Доходы</t>
  </si>
  <si>
    <t>Выручка (наличные)</t>
  </si>
  <si>
    <t>SEMIS (Полуварьируемые затраты)</t>
  </si>
  <si>
    <t>Коммун: природный газ</t>
  </si>
  <si>
    <t>Коммун: электроэнергия</t>
  </si>
  <si>
    <t>Коммун: водоснабжение и отопление</t>
  </si>
  <si>
    <t>Коммун: вывоз мусора, очистка территории</t>
  </si>
  <si>
    <t>Коммун: техобслуж.помещения</t>
  </si>
  <si>
    <t>Коммун: клининговые услуги</t>
  </si>
  <si>
    <t>Материалы: МБП</t>
  </si>
  <si>
    <t>Материалы: Канцтовары</t>
  </si>
  <si>
    <t>Материалы: Униформа</t>
  </si>
  <si>
    <t>Материалы: Чистящие средства и инвентарь</t>
  </si>
  <si>
    <t>Материалы: Сервис</t>
  </si>
  <si>
    <t>Материалы: Прочие</t>
  </si>
  <si>
    <t>Услуги связи (тел., мобильная связь)</t>
  </si>
  <si>
    <t>Транспортно- экспедиционные</t>
  </si>
  <si>
    <t>Такси</t>
  </si>
  <si>
    <t>Курьер</t>
  </si>
  <si>
    <t>Информационные услуги</t>
  </si>
  <si>
    <t>интернет</t>
  </si>
  <si>
    <t>босс-контроль</t>
  </si>
  <si>
    <t>wi-fi</t>
  </si>
  <si>
    <t>доставка</t>
  </si>
  <si>
    <t>обработка фискальных данных</t>
  </si>
  <si>
    <t>СБ</t>
  </si>
  <si>
    <t xml:space="preserve">охранник </t>
  </si>
  <si>
    <t xml:space="preserve">тех. Обслуживание </t>
  </si>
  <si>
    <t>GES</t>
  </si>
  <si>
    <t>ROCC</t>
  </si>
  <si>
    <t>Консультационно-информац.: юрист, консультант</t>
  </si>
  <si>
    <t>Прочие операционные расходы (полуварьируемые)</t>
  </si>
  <si>
    <t>Медкомиссия, санит., лабор.услуги, дезработы</t>
  </si>
  <si>
    <t>Санитарные услуги, услуги дератизациии, дезинсекции и дезинфекции</t>
  </si>
  <si>
    <t>Ремонт (тех-е) помещения</t>
  </si>
  <si>
    <t>ОВ и К (вентиляция и кондиционирование)</t>
  </si>
  <si>
    <t>Список расходных статей и квалификация счетов</t>
  </si>
  <si>
    <t>Коммунальные и эксплуатационные услуги</t>
  </si>
  <si>
    <t>Газоснабжение</t>
  </si>
  <si>
    <t>Электроэнергия</t>
  </si>
  <si>
    <t>Техобслуж. помещ.</t>
  </si>
  <si>
    <t>- Инв мат Посуды зала</t>
  </si>
  <si>
    <t>Не используется</t>
  </si>
  <si>
    <t>- Инв мат Униформа</t>
  </si>
  <si>
    <t>Расходы на униформу для сотрудников ресторана</t>
  </si>
  <si>
    <t>- Инв мат Хозяйственный инвентарь</t>
  </si>
  <si>
    <t>Порошок фильтрованный "МАГНЕЗОЛ", фильтрованные конверты, списание МБП</t>
  </si>
  <si>
    <t>- Расх мат Доставка</t>
  </si>
  <si>
    <t>- Расх мат Зал</t>
  </si>
  <si>
    <t>- Расх мат Канцтовары</t>
  </si>
  <si>
    <t>Заправка картриджа, канцтовары, Этикетлента и Этикет-Пистолет</t>
  </si>
  <si>
    <t>- Расх мат Кухня</t>
  </si>
  <si>
    <t>- Расх мат Кухонный и барный инвентарь</t>
  </si>
  <si>
    <t>- Расх мат Одноразовые</t>
  </si>
  <si>
    <t>- Расх мат Прочие</t>
  </si>
  <si>
    <t>Медикаменты, магнитные карты и все что не входит в другие статьи</t>
  </si>
  <si>
    <t>- Расх мат Прочий инвентарь</t>
  </si>
  <si>
    <t>- Расх мат Сервис</t>
  </si>
  <si>
    <t>Пластиковый поднос, салфетки, пакеты майка, бумажные пакеты, держатели для стаканов, зубочистки, шары с логотипом, белая палочка для шара</t>
  </si>
  <si>
    <t>- Расх мат Хоз</t>
  </si>
  <si>
    <t>Средства для мытья посуды, чистки , обезжиривания и дезинфекции оборудовния, мебели, сантехники, полов. Тряпки, щетки, губки, салфетки, бум.полотенца, перчатки, туалетная бумага, халат флисовый, фартук. Комплекты для уборки, ведра</t>
  </si>
  <si>
    <t>- Расх мат Хозяйственный инвентарь</t>
  </si>
  <si>
    <t>- Расх мат Чистящие моющие</t>
  </si>
  <si>
    <t>Чистящие и моющие средства</t>
  </si>
  <si>
    <t>- Мебель и оборудование малоценка</t>
  </si>
  <si>
    <t>Мебель и оборудование (малоценка)</t>
  </si>
  <si>
    <t>Услуги телефонной связи</t>
  </si>
  <si>
    <t>Расходы такси, услуги грузоперевозок и экспедиционные услуги</t>
  </si>
  <si>
    <t xml:space="preserve">Текущие ремонтные работы, техническое обслуживание, профилактика и ремонт оборудования, а так же запчасти к ним. </t>
  </si>
  <si>
    <t>Проезд, проживание, суточные</t>
  </si>
  <si>
    <t>Охранные услули, техобслуживание средств КТС, средств ОПС, физическая охрана, охрана ПЦО , служба безопасности</t>
  </si>
  <si>
    <t>Услуги интернета, обслуживание ПО, тех.поддержка сайта, программные лицензии Услуги кабельного ТВ, комплектующие к вычислительной технике.</t>
  </si>
  <si>
    <t>Медкомиссия, санитарно-лабораторные услуги, услуги по дезинфекции и дератизации помещений.</t>
  </si>
  <si>
    <t>Музыкально-сервисные сборы</t>
  </si>
  <si>
    <t>Оценка соблюдения стандартов, услуги по проведению аудита от правообладателя</t>
  </si>
  <si>
    <t>Почтовые услуги, услуги химчистки, пособия за счет работодателя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</si>
</sst>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\ &quot;zł&quot;_-;\-* #,##0.00\ &quot;zł&quot;_-;_-* &quot;-&quot;??\ &quot;zł&quot;_-;_-@_-"/>
    <numFmt numFmtId="165" formatCode="#,##0.00\ &quot;zł&quot;"/>
    <numFmt numFmtId="166" formatCode="#,##0.0\ &quot;zł&quot;"/>
    <numFmt numFmtId="167" formatCode="0.0"/>
    <numFmt numFmtId="168" formatCode="mmmm"/>
    <numFmt numFmtId="169" formatCode="mmmm\ yy"/>
    <numFmt numFmtId="170" formatCode="dd\ mmm\ yy"/>
    <numFmt numFmtId="171" formatCode="yyyy\-mm\-dd"/>
    <numFmt numFmtId="172" formatCode="#,##0.00&quot;р.&quot;"/>
    <numFmt numFmtId="173" formatCode="[$-419]mmmm;@"/>
    <numFmt numFmtId="174" formatCode="0.0%"/>
    <numFmt numFmtId="175" formatCode="#,##0.0"/>
  </numFmts>
  <fonts count="43">
    <font>
      <sz val="10"/>
      <name val="Arial CE"/>
      <charset val="238"/>
    </font>
    <font>
      <sz val="10"/>
      <name val="Arial CE"/>
      <charset val="238"/>
    </font>
    <font>
      <sz val="10"/>
      <name val="Arial"/>
      <family val="2"/>
      <charset val="204"/>
    </font>
    <font>
      <sz val="10"/>
      <name val="Tahoma"/>
      <family val="2"/>
      <charset val="238"/>
    </font>
    <font>
      <b/>
      <sz val="10"/>
      <name val="Tahoma"/>
      <family val="2"/>
      <charset val="238"/>
    </font>
    <font>
      <sz val="14"/>
      <name val="Tahoma"/>
      <family val="2"/>
      <charset val="238"/>
    </font>
    <font>
      <b/>
      <sz val="10"/>
      <color indexed="8"/>
      <name val="Tahoma"/>
      <family val="2"/>
      <charset val="238"/>
    </font>
    <font>
      <sz val="10"/>
      <color indexed="9"/>
      <name val="Tahoma"/>
      <family val="2"/>
      <charset val="238"/>
    </font>
    <font>
      <sz val="7"/>
      <color indexed="22"/>
      <name val="Tahoma"/>
      <family val="2"/>
      <charset val="238"/>
    </font>
    <font>
      <sz val="7"/>
      <color indexed="9"/>
      <name val="Tahoma"/>
      <family val="2"/>
      <charset val="238"/>
    </font>
    <font>
      <sz val="8"/>
      <color indexed="22"/>
      <name val="Tahoma"/>
      <family val="2"/>
      <charset val="238"/>
    </font>
    <font>
      <sz val="10"/>
      <name val="Calibri"/>
      <family val="2"/>
      <charset val="204"/>
    </font>
    <font>
      <u/>
      <sz val="10"/>
      <color indexed="12"/>
      <name val="Arial CE"/>
      <charset val="238"/>
    </font>
    <font>
      <sz val="12"/>
      <name val="Calibri"/>
      <family val="2"/>
      <charset val="204"/>
    </font>
    <font>
      <sz val="11"/>
      <name val="Calibri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2.5"/>
      <name val="Calibri"/>
      <family val="2"/>
      <charset val="204"/>
    </font>
    <font>
      <sz val="11"/>
      <name val="Arial"/>
      <family val="2"/>
      <charset val="204"/>
    </font>
    <font>
      <sz val="9"/>
      <name val="Arial CE"/>
      <charset val="238"/>
    </font>
    <font>
      <b/>
      <sz val="10"/>
      <name val="Calibri"/>
      <family val="2"/>
      <charset val="204"/>
    </font>
    <font>
      <b/>
      <sz val="14"/>
      <name val="Calibri"/>
      <family val="2"/>
      <charset val="204"/>
    </font>
    <font>
      <b/>
      <sz val="12.5"/>
      <name val="Calibri"/>
      <family val="2"/>
      <charset val="204"/>
    </font>
    <font>
      <b/>
      <sz val="18"/>
      <name val="Calibri"/>
      <family val="2"/>
      <charset val="204"/>
    </font>
    <font>
      <b/>
      <sz val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color indexed="10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8"/>
      <color indexed="1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11"/>
      <color theme="0" tint="-0.1499984740745262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12"/>
      <color theme="0"/>
      <name val="Calibri"/>
      <family val="2"/>
      <charset val="204"/>
    </font>
    <font>
      <sz val="12.5"/>
      <color theme="0"/>
      <name val="Calibri"/>
      <family val="2"/>
      <charset val="204"/>
    </font>
    <font>
      <sz val="14"/>
      <color theme="0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9"/>
      </patternFill>
    </fill>
    <fill>
      <patternFill patternType="solid">
        <fgColor theme="6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medium">
        <color indexed="64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medium">
        <color indexed="64"/>
      </right>
      <top style="thin">
        <color rgb="FFCCC085"/>
      </top>
      <bottom style="thin">
        <color rgb="FFCCC085"/>
      </bottom>
      <diagonal/>
    </border>
    <border>
      <left style="medium">
        <color indexed="64"/>
      </left>
      <right style="thin">
        <color rgb="FFCCC085"/>
      </right>
      <top style="thin">
        <color rgb="FFCCC085"/>
      </top>
      <bottom style="medium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medium">
        <color indexed="64"/>
      </bottom>
      <diagonal/>
    </border>
    <border>
      <left style="thin">
        <color rgb="FFCCC085"/>
      </left>
      <right style="medium">
        <color indexed="64"/>
      </right>
      <top style="thin">
        <color rgb="FFCCC085"/>
      </top>
      <bottom style="medium">
        <color indexed="64"/>
      </bottom>
      <diagonal/>
    </border>
    <border>
      <left style="thin">
        <color rgb="FFCCC085"/>
      </left>
      <right/>
      <top style="medium">
        <color indexed="64"/>
      </top>
      <bottom style="thin">
        <color rgb="FFCCC085"/>
      </bottom>
      <diagonal/>
    </border>
    <border>
      <left/>
      <right style="thin">
        <color rgb="FFCCC085"/>
      </right>
      <top style="medium">
        <color indexed="64"/>
      </top>
      <bottom style="thin">
        <color rgb="FFCCC085"/>
      </bottom>
      <diagonal/>
    </border>
    <border>
      <left style="thin">
        <color rgb="FFCCC085"/>
      </left>
      <right/>
      <top style="medium">
        <color indexed="64"/>
      </top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medium">
        <color indexed="64"/>
      </right>
      <top/>
      <bottom style="thin">
        <color rgb="FFCCC085"/>
      </bottom>
      <diagonal/>
    </border>
    <border>
      <left style="medium">
        <color indexed="64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indexed="64"/>
      </left>
      <right/>
      <top style="medium">
        <color indexed="64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/>
      <diagonal/>
    </border>
    <border>
      <left style="thin">
        <color rgb="FFCCC085"/>
      </left>
      <right/>
      <top/>
      <bottom/>
      <diagonal/>
    </border>
    <border>
      <left/>
      <right/>
      <top/>
      <bottom style="thin">
        <color rgb="FFCCC085"/>
      </bottom>
      <diagonal/>
    </border>
  </borders>
  <cellStyleXfs count="6">
    <xf numFmtId="0" fontId="0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385">
    <xf numFmtId="0" fontId="0" fillId="0" borderId="0" xfId="0"/>
    <xf numFmtId="0" fontId="3" fillId="0" borderId="0" xfId="0" applyFont="1"/>
    <xf numFmtId="0" fontId="3" fillId="2" borderId="0" xfId="0" applyFont="1" applyFill="1" applyBorder="1"/>
    <xf numFmtId="169" fontId="3" fillId="2" borderId="0" xfId="0" applyNumberFormat="1" applyFont="1" applyFill="1" applyBorder="1"/>
    <xf numFmtId="14" fontId="3" fillId="2" borderId="0" xfId="0" applyNumberFormat="1" applyFont="1" applyFill="1" applyBorder="1"/>
    <xf numFmtId="0" fontId="3" fillId="2" borderId="0" xfId="0" applyFont="1" applyFill="1" applyBorder="1" applyAlignment="1">
      <alignment horizontal="center"/>
    </xf>
    <xf numFmtId="1" fontId="3" fillId="2" borderId="0" xfId="0" applyNumberFormat="1" applyFont="1" applyFill="1" applyBorder="1"/>
    <xf numFmtId="168" fontId="3" fillId="2" borderId="0" xfId="0" applyNumberFormat="1" applyFont="1" applyFill="1" applyBorder="1" applyAlignment="1">
      <alignment horizontal="center"/>
    </xf>
    <xf numFmtId="14" fontId="7" fillId="2" borderId="0" xfId="0" applyNumberFormat="1" applyFont="1" applyFill="1" applyBorder="1" applyAlignment="1">
      <alignment horizontal="center"/>
    </xf>
    <xf numFmtId="1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right"/>
    </xf>
    <xf numFmtId="0" fontId="3" fillId="2" borderId="0" xfId="0" applyNumberFormat="1" applyFont="1" applyFill="1" applyBorder="1" applyAlignment="1">
      <alignment horizontal="center"/>
    </xf>
    <xf numFmtId="170" fontId="3" fillId="2" borderId="0" xfId="0" applyNumberFormat="1" applyFont="1" applyFill="1" applyBorder="1"/>
    <xf numFmtId="0" fontId="3" fillId="2" borderId="0" xfId="0" applyFont="1" applyFill="1" applyBorder="1" applyProtection="1">
      <protection locked="0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14" fontId="8" fillId="2" borderId="0" xfId="0" applyNumberFormat="1" applyFont="1" applyFill="1" applyBorder="1" applyAlignment="1">
      <alignment horizontal="center"/>
    </xf>
    <xf numFmtId="14" fontId="9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/>
    <xf numFmtId="4" fontId="3" fillId="2" borderId="0" xfId="0" applyNumberFormat="1" applyFont="1" applyFill="1" applyBorder="1"/>
    <xf numFmtId="167" fontId="3" fillId="2" borderId="0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9" fontId="5" fillId="3" borderId="3" xfId="0" applyNumberFormat="1" applyFont="1" applyFill="1" applyBorder="1" applyAlignment="1" applyProtection="1">
      <alignment horizontal="left" shrinkToFit="1"/>
      <protection locked="0"/>
    </xf>
    <xf numFmtId="0" fontId="7" fillId="2" borderId="0" xfId="0" applyFont="1" applyFill="1" applyBorder="1" applyAlignment="1">
      <alignment horizontal="right"/>
    </xf>
    <xf numFmtId="14" fontId="10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right"/>
    </xf>
    <xf numFmtId="14" fontId="6" fillId="2" borderId="0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center"/>
    </xf>
    <xf numFmtId="2" fontId="7" fillId="2" borderId="0" xfId="0" applyNumberFormat="1" applyFont="1" applyFill="1" applyBorder="1"/>
    <xf numFmtId="171" fontId="4" fillId="2" borderId="1" xfId="0" applyNumberFormat="1" applyFont="1" applyFill="1" applyBorder="1" applyAlignment="1">
      <alignment horizontal="center"/>
    </xf>
    <xf numFmtId="0" fontId="24" fillId="4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left" vertical="center" wrapText="1"/>
    </xf>
    <xf numFmtId="0" fontId="25" fillId="2" borderId="0" xfId="0" applyFont="1" applyFill="1" applyBorder="1" applyProtection="1"/>
    <xf numFmtId="0" fontId="26" fillId="0" borderId="0" xfId="0" applyFont="1"/>
    <xf numFmtId="0" fontId="24" fillId="0" borderId="0" xfId="0" applyFont="1"/>
    <xf numFmtId="0" fontId="26" fillId="0" borderId="0" xfId="0" applyFont="1" applyFill="1"/>
    <xf numFmtId="0" fontId="29" fillId="0" borderId="0" xfId="0" applyFont="1" applyFill="1" applyAlignment="1">
      <alignment horizontal="left"/>
    </xf>
    <xf numFmtId="0" fontId="29" fillId="0" borderId="1" xfId="0" applyFont="1" applyFill="1" applyBorder="1" applyAlignment="1">
      <alignment horizontal="left"/>
    </xf>
    <xf numFmtId="0" fontId="26" fillId="0" borderId="1" xfId="0" applyFont="1" applyFill="1" applyBorder="1" applyAlignment="1">
      <alignment horizontal="center"/>
    </xf>
    <xf numFmtId="16" fontId="26" fillId="0" borderId="1" xfId="0" applyNumberFormat="1" applyFont="1" applyFill="1" applyBorder="1" applyAlignment="1">
      <alignment horizontal="center"/>
    </xf>
    <xf numFmtId="0" fontId="26" fillId="0" borderId="1" xfId="0" applyFont="1" applyFill="1" applyBorder="1"/>
    <xf numFmtId="0" fontId="26" fillId="0" borderId="0" xfId="0" applyFont="1" applyFill="1" applyBorder="1"/>
    <xf numFmtId="0" fontId="29" fillId="0" borderId="1" xfId="0" applyFont="1" applyFill="1" applyBorder="1" applyAlignment="1">
      <alignment horizontal="left" indent="1"/>
    </xf>
    <xf numFmtId="172" fontId="26" fillId="0" borderId="1" xfId="0" applyNumberFormat="1" applyFont="1" applyFill="1" applyBorder="1"/>
    <xf numFmtId="172" fontId="30" fillId="0" borderId="1" xfId="0" applyNumberFormat="1" applyFont="1" applyFill="1" applyBorder="1"/>
    <xf numFmtId="0" fontId="29" fillId="0" borderId="1" xfId="0" applyFont="1" applyFill="1" applyBorder="1" applyAlignment="1">
      <alignment horizontal="left" wrapText="1"/>
    </xf>
    <xf numFmtId="172" fontId="31" fillId="0" borderId="1" xfId="0" applyNumberFormat="1" applyFont="1" applyFill="1" applyBorder="1"/>
    <xf numFmtId="172" fontId="26" fillId="0" borderId="1" xfId="3" applyNumberFormat="1" applyFont="1" applyFill="1" applyBorder="1" applyAlignment="1" applyProtection="1">
      <alignment horizontal="right"/>
    </xf>
    <xf numFmtId="166" fontId="26" fillId="0" borderId="1" xfId="0" applyNumberFormat="1" applyFont="1" applyFill="1" applyBorder="1"/>
    <xf numFmtId="165" fontId="26" fillId="0" borderId="1" xfId="0" applyNumberFormat="1" applyFont="1" applyFill="1" applyBorder="1"/>
    <xf numFmtId="165" fontId="30" fillId="0" borderId="1" xfId="0" applyNumberFormat="1" applyFont="1" applyFill="1" applyBorder="1"/>
    <xf numFmtId="0" fontId="32" fillId="0" borderId="0" xfId="0" applyFont="1" applyFill="1" applyBorder="1" applyAlignment="1">
      <alignment horizontal="left"/>
    </xf>
    <xf numFmtId="0" fontId="29" fillId="0" borderId="0" xfId="0" applyFont="1" applyFill="1" applyBorder="1" applyAlignment="1">
      <alignment horizontal="left"/>
    </xf>
    <xf numFmtId="0" fontId="29" fillId="0" borderId="5" xfId="0" applyFont="1" applyFill="1" applyBorder="1" applyAlignment="1">
      <alignment horizontal="left"/>
    </xf>
    <xf numFmtId="0" fontId="26" fillId="0" borderId="5" xfId="0" applyFont="1" applyFill="1" applyBorder="1"/>
    <xf numFmtId="0" fontId="26" fillId="0" borderId="6" xfId="0" applyFont="1" applyFill="1" applyBorder="1"/>
    <xf numFmtId="0" fontId="26" fillId="0" borderId="7" xfId="0" applyFont="1" applyFill="1" applyBorder="1"/>
    <xf numFmtId="0" fontId="26" fillId="0" borderId="8" xfId="0" applyFont="1" applyFill="1" applyBorder="1"/>
    <xf numFmtId="0" fontId="26" fillId="0" borderId="9" xfId="0" applyFont="1" applyFill="1" applyBorder="1"/>
    <xf numFmtId="0" fontId="26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4" fillId="0" borderId="0" xfId="2" applyFont="1" applyAlignment="1" applyProtection="1">
      <alignment horizontal="left"/>
    </xf>
    <xf numFmtId="0" fontId="33" fillId="0" borderId="0" xfId="0" applyFont="1" applyAlignment="1">
      <alignment horizontal="right"/>
    </xf>
    <xf numFmtId="0" fontId="26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26" fillId="0" borderId="0" xfId="0" applyFont="1" applyAlignment="1">
      <alignment horizontal="left" indent="1"/>
    </xf>
    <xf numFmtId="0" fontId="26" fillId="4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26" fillId="2" borderId="0" xfId="0" applyFont="1" applyFill="1" applyBorder="1" applyProtection="1"/>
    <xf numFmtId="0" fontId="26" fillId="2" borderId="1" xfId="0" applyFont="1" applyFill="1" applyBorder="1" applyProtection="1"/>
    <xf numFmtId="0" fontId="0" fillId="0" borderId="0" xfId="0" applyAlignment="1">
      <alignment horizontal="left"/>
    </xf>
    <xf numFmtId="3" fontId="0" fillId="0" borderId="37" xfId="0" applyNumberFormat="1" applyBorder="1" applyAlignment="1">
      <alignment horizontal="right" vertical="top"/>
    </xf>
    <xf numFmtId="175" fontId="0" fillId="0" borderId="37" xfId="0" applyNumberFormat="1" applyBorder="1" applyAlignment="1">
      <alignment horizontal="right" vertical="top"/>
    </xf>
    <xf numFmtId="0" fontId="0" fillId="0" borderId="37" xfId="0" applyBorder="1" applyAlignment="1">
      <alignment horizontal="right" vertical="top"/>
    </xf>
    <xf numFmtId="0" fontId="14" fillId="0" borderId="10" xfId="0" applyFont="1" applyFill="1" applyBorder="1" applyAlignment="1" applyProtection="1">
      <alignment horizontal="center" vertical="center"/>
      <protection locked="0" hidden="1"/>
    </xf>
    <xf numFmtId="0" fontId="14" fillId="5" borderId="0" xfId="0" applyFont="1" applyFill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10" fontId="13" fillId="0" borderId="0" xfId="0" applyNumberFormat="1" applyFont="1" applyAlignment="1" applyProtection="1">
      <alignment vertical="center"/>
      <protection hidden="1"/>
    </xf>
    <xf numFmtId="2" fontId="13" fillId="0" borderId="0" xfId="0" applyNumberFormat="1" applyFont="1" applyAlignment="1" applyProtection="1">
      <alignment vertical="center"/>
      <protection hidden="1"/>
    </xf>
    <xf numFmtId="14" fontId="37" fillId="0" borderId="0" xfId="0" applyNumberFormat="1" applyFont="1" applyAlignment="1" applyProtection="1">
      <alignment horizontal="right" vertical="center"/>
      <protection hidden="1"/>
    </xf>
    <xf numFmtId="0" fontId="13" fillId="0" borderId="0" xfId="0" applyFont="1" applyBorder="1" applyAlignment="1" applyProtection="1">
      <alignment vertical="center"/>
      <protection hidden="1"/>
    </xf>
    <xf numFmtId="17" fontId="14" fillId="2" borderId="0" xfId="0" applyNumberFormat="1" applyFont="1" applyFill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4" fillId="2" borderId="0" xfId="0" applyFont="1" applyFill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vertical="center"/>
      <protection hidden="1"/>
    </xf>
    <xf numFmtId="173" fontId="14" fillId="0" borderId="10" xfId="0" applyNumberFormat="1" applyFont="1" applyFill="1" applyBorder="1" applyAlignment="1" applyProtection="1">
      <alignment horizontal="center" vertical="center"/>
      <protection locked="0" hidden="1"/>
    </xf>
    <xf numFmtId="173" fontId="14" fillId="5" borderId="0" xfId="0" applyNumberFormat="1" applyFont="1" applyFill="1" applyBorder="1" applyAlignment="1" applyProtection="1">
      <alignment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0" xfId="0" applyFont="1" applyFill="1" applyAlignment="1" applyProtection="1">
      <alignment horizontal="left" vertical="center"/>
      <protection hidden="1"/>
    </xf>
    <xf numFmtId="173" fontId="13" fillId="0" borderId="0" xfId="0" applyNumberFormat="1" applyFont="1" applyBorder="1" applyAlignment="1" applyProtection="1">
      <alignment vertical="center"/>
      <protection hidden="1"/>
    </xf>
    <xf numFmtId="3" fontId="14" fillId="8" borderId="10" xfId="4" applyNumberFormat="1" applyFont="1" applyFill="1" applyBorder="1" applyAlignment="1" applyProtection="1">
      <alignment horizontal="center" vertical="center"/>
      <protection hidden="1"/>
    </xf>
    <xf numFmtId="3" fontId="38" fillId="0" borderId="10" xfId="0" applyNumberFormat="1" applyFont="1" applyFill="1" applyBorder="1" applyAlignment="1" applyProtection="1">
      <alignment vertical="center"/>
      <protection hidden="1"/>
    </xf>
    <xf numFmtId="174" fontId="14" fillId="8" borderId="10" xfId="5" applyNumberFormat="1" applyFont="1" applyFill="1" applyBorder="1" applyAlignment="1" applyProtection="1">
      <alignment horizontal="center" vertical="center"/>
      <protection hidden="1"/>
    </xf>
    <xf numFmtId="174" fontId="14" fillId="8" borderId="10" xfId="0" applyNumberFormat="1" applyFont="1" applyFill="1" applyBorder="1" applyAlignment="1" applyProtection="1">
      <alignment horizontal="center" vertical="center"/>
      <protection hidden="1"/>
    </xf>
    <xf numFmtId="174" fontId="14" fillId="0" borderId="10" xfId="5" applyNumberFormat="1" applyFont="1" applyFill="1" applyBorder="1" applyAlignment="1" applyProtection="1">
      <alignment horizontal="center" vertical="center"/>
      <protection hidden="1"/>
    </xf>
    <xf numFmtId="0" fontId="14" fillId="8" borderId="10" xfId="0" applyFont="1" applyFill="1" applyBorder="1" applyAlignment="1" applyProtection="1">
      <alignment horizontal="center" vertical="center"/>
      <protection hidden="1"/>
    </xf>
    <xf numFmtId="3" fontId="14" fillId="8" borderId="10" xfId="0" applyNumberFormat="1" applyFont="1" applyFill="1" applyBorder="1" applyAlignment="1" applyProtection="1">
      <alignment horizontal="center" vertical="center"/>
      <protection hidden="1"/>
    </xf>
    <xf numFmtId="3" fontId="14" fillId="0" borderId="10" xfId="4" applyNumberFormat="1" applyFont="1" applyFill="1" applyBorder="1" applyAlignment="1" applyProtection="1">
      <alignment horizontal="center" vertical="center"/>
      <protection hidden="1"/>
    </xf>
    <xf numFmtId="3" fontId="14" fillId="0" borderId="10" xfId="0" applyNumberFormat="1" applyFont="1" applyFill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vertical="center"/>
      <protection hidden="1"/>
    </xf>
    <xf numFmtId="167" fontId="14" fillId="5" borderId="11" xfId="0" applyNumberFormat="1" applyFont="1" applyFill="1" applyBorder="1" applyAlignment="1" applyProtection="1">
      <alignment horizontal="center" vertical="center" wrapText="1"/>
      <protection locked="0" hidden="1"/>
    </xf>
    <xf numFmtId="0" fontId="14" fillId="5" borderId="0" xfId="0" applyFont="1" applyFill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10" fontId="13" fillId="0" borderId="0" xfId="0" applyNumberFormat="1" applyFont="1" applyAlignment="1" applyProtection="1">
      <alignment horizontal="center" vertical="center"/>
      <protection hidden="1"/>
    </xf>
    <xf numFmtId="3" fontId="14" fillId="8" borderId="0" xfId="0" applyNumberFormat="1" applyFont="1" applyFill="1" applyBorder="1" applyAlignment="1" applyProtection="1">
      <alignment horizontal="center" vertical="center"/>
      <protection hidden="1"/>
    </xf>
    <xf numFmtId="3" fontId="14" fillId="0" borderId="0" xfId="4" applyNumberFormat="1" applyFont="1" applyFill="1" applyBorder="1" applyAlignment="1" applyProtection="1">
      <alignment horizontal="center" vertical="center"/>
      <protection hidden="1"/>
    </xf>
    <xf numFmtId="3" fontId="14" fillId="0" borderId="0" xfId="0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Border="1" applyAlignment="1" applyProtection="1">
      <alignment vertical="center"/>
      <protection hidden="1"/>
    </xf>
    <xf numFmtId="167" fontId="14" fillId="8" borderId="10" xfId="0" applyNumberFormat="1" applyFont="1" applyFill="1" applyBorder="1" applyAlignment="1" applyProtection="1">
      <alignment horizontal="center" vertical="center" wrapText="1"/>
      <protection hidden="1"/>
    </xf>
    <xf numFmtId="14" fontId="14" fillId="0" borderId="0" xfId="0" applyNumberFormat="1" applyFont="1" applyAlignment="1" applyProtection="1">
      <alignment vertical="center"/>
      <protection hidden="1"/>
    </xf>
    <xf numFmtId="0" fontId="13" fillId="0" borderId="0" xfId="0" applyFont="1" applyFill="1" applyBorder="1" applyAlignment="1" applyProtection="1">
      <alignment vertical="center"/>
      <protection hidden="1"/>
    </xf>
    <xf numFmtId="3" fontId="14" fillId="2" borderId="10" xfId="0" applyNumberFormat="1" applyFont="1" applyFill="1" applyBorder="1" applyAlignment="1" applyProtection="1">
      <alignment horizontal="center" vertical="center"/>
      <protection hidden="1"/>
    </xf>
    <xf numFmtId="0" fontId="39" fillId="9" borderId="12" xfId="0" applyFont="1" applyFill="1" applyBorder="1" applyAlignment="1" applyProtection="1">
      <alignment horizontal="center" vertical="center"/>
      <protection hidden="1"/>
    </xf>
    <xf numFmtId="0" fontId="39" fillId="9" borderId="13" xfId="0" applyFont="1" applyFill="1" applyBorder="1" applyAlignment="1" applyProtection="1">
      <alignment horizontal="center" vertical="center"/>
      <protection hidden="1"/>
    </xf>
    <xf numFmtId="10" fontId="39" fillId="9" borderId="13" xfId="0" applyNumberFormat="1" applyFont="1" applyFill="1" applyBorder="1" applyAlignment="1" applyProtection="1">
      <alignment horizontal="center" vertical="center"/>
      <protection hidden="1"/>
    </xf>
    <xf numFmtId="2" fontId="11" fillId="10" borderId="14" xfId="0" applyNumberFormat="1" applyFont="1" applyFill="1" applyBorder="1" applyAlignment="1" applyProtection="1">
      <alignment horizontal="center" vertical="center"/>
      <protection hidden="1"/>
    </xf>
    <xf numFmtId="0" fontId="14" fillId="10" borderId="8" xfId="0" applyFont="1" applyFill="1" applyBorder="1" applyAlignment="1" applyProtection="1">
      <alignment horizontal="left" vertical="center"/>
      <protection locked="0" hidden="1"/>
    </xf>
    <xf numFmtId="3" fontId="11" fillId="0" borderId="0" xfId="4" applyNumberFormat="1" applyFont="1" applyFill="1" applyBorder="1" applyAlignment="1" applyProtection="1">
      <alignment horizontal="center" vertical="center"/>
      <protection locked="0" hidden="1"/>
    </xf>
    <xf numFmtId="10" fontId="13" fillId="8" borderId="0" xfId="0" applyNumberFormat="1" applyFont="1" applyFill="1" applyBorder="1" applyAlignment="1" applyProtection="1">
      <alignment horizontal="center" vertical="center"/>
      <protection hidden="1"/>
    </xf>
    <xf numFmtId="2" fontId="11" fillId="8" borderId="0" xfId="0" applyNumberFormat="1" applyFont="1" applyFill="1" applyBorder="1" applyAlignment="1" applyProtection="1">
      <alignment horizontal="center" vertical="center"/>
      <protection hidden="1"/>
    </xf>
    <xf numFmtId="0" fontId="14" fillId="0" borderId="15" xfId="0" applyFont="1" applyFill="1" applyBorder="1" applyAlignment="1" applyProtection="1">
      <alignment horizontal="left" vertical="center"/>
      <protection locked="0" hidden="1"/>
    </xf>
    <xf numFmtId="3" fontId="13" fillId="0" borderId="0" xfId="0" applyNumberFormat="1" applyFont="1" applyAlignment="1" applyProtection="1">
      <alignment vertical="center"/>
      <protection hidden="1"/>
    </xf>
    <xf numFmtId="0" fontId="13" fillId="0" borderId="0" xfId="0" applyFont="1" applyFill="1" applyAlignment="1" applyProtection="1">
      <alignment vertical="center"/>
      <protection hidden="1"/>
    </xf>
    <xf numFmtId="3" fontId="11" fillId="5" borderId="16" xfId="0" applyNumberFormat="1" applyFont="1" applyFill="1" applyBorder="1" applyAlignment="1" applyProtection="1">
      <alignment horizontal="center" vertical="center"/>
      <protection locked="0" hidden="1"/>
    </xf>
    <xf numFmtId="3" fontId="17" fillId="10" borderId="0" xfId="0" applyNumberFormat="1" applyFont="1" applyFill="1" applyBorder="1" applyAlignment="1" applyProtection="1">
      <alignment horizontal="center" vertical="center"/>
      <protection hidden="1"/>
    </xf>
    <xf numFmtId="3" fontId="11" fillId="5" borderId="15" xfId="0" applyNumberFormat="1" applyFont="1" applyFill="1" applyBorder="1" applyAlignment="1" applyProtection="1">
      <alignment horizontal="center" vertical="center"/>
      <protection locked="0" hidden="1"/>
    </xf>
    <xf numFmtId="3" fontId="40" fillId="11" borderId="9" xfId="0" applyNumberFormat="1" applyFont="1" applyFill="1" applyBorder="1" applyAlignment="1" applyProtection="1">
      <alignment horizontal="center" vertical="center"/>
      <protection hidden="1"/>
    </xf>
    <xf numFmtId="3" fontId="40" fillId="11" borderId="8" xfId="0" applyNumberFormat="1" applyFont="1" applyFill="1" applyBorder="1" applyAlignment="1" applyProtection="1">
      <alignment horizontal="center" vertical="center"/>
      <protection hidden="1"/>
    </xf>
    <xf numFmtId="3" fontId="40" fillId="11" borderId="14" xfId="0" applyNumberFormat="1" applyFont="1" applyFill="1" applyBorder="1" applyAlignment="1" applyProtection="1">
      <alignment horizontal="center" vertical="center"/>
      <protection hidden="1"/>
    </xf>
    <xf numFmtId="3" fontId="41" fillId="10" borderId="9" xfId="0" applyNumberFormat="1" applyFont="1" applyFill="1" applyBorder="1" applyAlignment="1" applyProtection="1">
      <alignment horizontal="center" vertical="center"/>
      <protection hidden="1"/>
    </xf>
    <xf numFmtId="10" fontId="40" fillId="9" borderId="8" xfId="0" applyNumberFormat="1" applyFont="1" applyFill="1" applyBorder="1" applyAlignment="1" applyProtection="1">
      <alignment horizontal="center" vertical="center"/>
      <protection hidden="1"/>
    </xf>
    <xf numFmtId="3" fontId="41" fillId="12" borderId="14" xfId="0" applyNumberFormat="1" applyFont="1" applyFill="1" applyBorder="1" applyAlignment="1" applyProtection="1">
      <alignment horizontal="center" vertical="center"/>
      <protection hidden="1"/>
    </xf>
    <xf numFmtId="2" fontId="11" fillId="9" borderId="1" xfId="0" applyNumberFormat="1" applyFont="1" applyFill="1" applyBorder="1" applyAlignment="1" applyProtection="1">
      <alignment horizontal="center" vertical="center"/>
      <protection hidden="1"/>
    </xf>
    <xf numFmtId="0" fontId="39" fillId="9" borderId="8" xfId="0" applyFont="1" applyFill="1" applyBorder="1" applyAlignment="1" applyProtection="1">
      <alignment horizontal="left" vertical="center"/>
      <protection hidden="1"/>
    </xf>
    <xf numFmtId="3" fontId="11" fillId="13" borderId="15" xfId="0" applyNumberFormat="1" applyFont="1" applyFill="1" applyBorder="1" applyAlignment="1" applyProtection="1">
      <alignment horizontal="center" vertical="center"/>
      <protection locked="0" hidden="1"/>
    </xf>
    <xf numFmtId="3" fontId="11" fillId="13" borderId="0" xfId="0" applyNumberFormat="1" applyFont="1" applyFill="1" applyBorder="1" applyAlignment="1" applyProtection="1">
      <alignment horizontal="center" vertical="center"/>
      <protection locked="0" hidden="1"/>
    </xf>
    <xf numFmtId="3" fontId="17" fillId="12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15" xfId="0" applyFont="1" applyBorder="1" applyAlignment="1" applyProtection="1">
      <alignment horizontal="left" vertical="center"/>
      <protection hidden="1"/>
    </xf>
    <xf numFmtId="0" fontId="14" fillId="5" borderId="15" xfId="0" applyFont="1" applyFill="1" applyBorder="1" applyAlignment="1" applyProtection="1">
      <alignment horizontal="left" vertical="center" wrapText="1"/>
      <protection hidden="1"/>
    </xf>
    <xf numFmtId="3" fontId="41" fillId="12" borderId="9" xfId="0" applyNumberFormat="1" applyFont="1" applyFill="1" applyBorder="1" applyAlignment="1" applyProtection="1">
      <alignment horizontal="center" vertical="center"/>
      <protection hidden="1"/>
    </xf>
    <xf numFmtId="3" fontId="41" fillId="10" borderId="14" xfId="0" applyNumberFormat="1" applyFont="1" applyFill="1" applyBorder="1" applyAlignment="1" applyProtection="1">
      <alignment horizontal="center" vertical="center"/>
      <protection hidden="1"/>
    </xf>
    <xf numFmtId="3" fontId="0" fillId="0" borderId="37" xfId="0" applyNumberFormat="1" applyFill="1" applyBorder="1" applyAlignment="1">
      <alignment horizontal="right" vertical="top"/>
    </xf>
    <xf numFmtId="175" fontId="0" fillId="0" borderId="37" xfId="0" applyNumberFormat="1" applyFill="1" applyBorder="1" applyAlignment="1">
      <alignment horizontal="right" vertical="top"/>
    </xf>
    <xf numFmtId="3" fontId="16" fillId="14" borderId="37" xfId="0" applyNumberFormat="1" applyFont="1" applyFill="1" applyBorder="1" applyAlignment="1">
      <alignment horizontal="right" vertical="top"/>
    </xf>
    <xf numFmtId="175" fontId="16" fillId="14" borderId="37" xfId="0" applyNumberFormat="1" applyFont="1" applyFill="1" applyBorder="1" applyAlignment="1">
      <alignment horizontal="right" vertical="top"/>
    </xf>
    <xf numFmtId="0" fontId="16" fillId="14" borderId="37" xfId="0" applyFont="1" applyFill="1" applyBorder="1" applyAlignment="1">
      <alignment horizontal="center" vertical="top" wrapText="1"/>
    </xf>
    <xf numFmtId="3" fontId="0" fillId="15" borderId="37" xfId="0" applyNumberFormat="1" applyFill="1" applyBorder="1" applyAlignment="1">
      <alignment horizontal="right" vertical="top"/>
    </xf>
    <xf numFmtId="175" fontId="0" fillId="15" borderId="37" xfId="0" applyNumberFormat="1" applyFill="1" applyBorder="1" applyAlignment="1">
      <alignment horizontal="right" vertical="top"/>
    </xf>
    <xf numFmtId="0" fontId="0" fillId="16" borderId="37" xfId="0" applyFill="1" applyBorder="1" applyAlignment="1">
      <alignment horizontal="right" vertical="top"/>
    </xf>
    <xf numFmtId="3" fontId="0" fillId="16" borderId="37" xfId="0" applyNumberFormat="1" applyFill="1" applyBorder="1" applyAlignment="1">
      <alignment horizontal="right" vertical="top"/>
    </xf>
    <xf numFmtId="0" fontId="0" fillId="17" borderId="37" xfId="0" applyFill="1" applyBorder="1" applyAlignment="1">
      <alignment horizontal="left" vertical="top" wrapText="1" indent="4"/>
    </xf>
    <xf numFmtId="0" fontId="0" fillId="0" borderId="37" xfId="0" applyFill="1" applyBorder="1" applyAlignment="1">
      <alignment horizontal="left" vertical="top" wrapText="1" indent="4"/>
    </xf>
    <xf numFmtId="0" fontId="0" fillId="16" borderId="38" xfId="0" applyFill="1" applyBorder="1" applyAlignment="1">
      <alignment horizontal="left" vertical="top" wrapText="1" indent="2"/>
    </xf>
    <xf numFmtId="0" fontId="0" fillId="17" borderId="38" xfId="0" applyFill="1" applyBorder="1" applyAlignment="1">
      <alignment horizontal="left" vertical="top" wrapText="1" indent="3"/>
    </xf>
    <xf numFmtId="0" fontId="0" fillId="0" borderId="38" xfId="0" applyFill="1" applyBorder="1" applyAlignment="1">
      <alignment horizontal="left" vertical="top" wrapText="1" indent="3"/>
    </xf>
    <xf numFmtId="3" fontId="16" fillId="0" borderId="39" xfId="0" applyNumberFormat="1" applyFont="1" applyBorder="1" applyAlignment="1">
      <alignment horizontal="right" vertical="top"/>
    </xf>
    <xf numFmtId="175" fontId="16" fillId="0" borderId="39" xfId="0" applyNumberFormat="1" applyFont="1" applyBorder="1" applyAlignment="1">
      <alignment horizontal="right" vertical="top"/>
    </xf>
    <xf numFmtId="0" fontId="16" fillId="14" borderId="40" xfId="0" applyFont="1" applyFill="1" applyBorder="1" applyAlignment="1">
      <alignment horizontal="center" vertical="top" wrapText="1"/>
    </xf>
    <xf numFmtId="0" fontId="16" fillId="14" borderId="41" xfId="0" applyFont="1" applyFill="1" applyBorder="1" applyAlignment="1">
      <alignment horizontal="center" vertical="top" wrapText="1"/>
    </xf>
    <xf numFmtId="3" fontId="0" fillId="0" borderId="40" xfId="0" applyNumberFormat="1" applyFill="1" applyBorder="1" applyAlignment="1">
      <alignment horizontal="right" vertical="top"/>
    </xf>
    <xf numFmtId="175" fontId="0" fillId="0" borderId="41" xfId="0" applyNumberFormat="1" applyFill="1" applyBorder="1" applyAlignment="1">
      <alignment horizontal="right" vertical="top"/>
    </xf>
    <xf numFmtId="3" fontId="16" fillId="14" borderId="40" xfId="0" applyNumberFormat="1" applyFont="1" applyFill="1" applyBorder="1" applyAlignment="1">
      <alignment horizontal="right" vertical="top"/>
    </xf>
    <xf numFmtId="175" fontId="16" fillId="14" borderId="41" xfId="0" applyNumberFormat="1" applyFont="1" applyFill="1" applyBorder="1" applyAlignment="1">
      <alignment horizontal="right" vertical="top"/>
    </xf>
    <xf numFmtId="3" fontId="0" fillId="15" borderId="40" xfId="0" applyNumberFormat="1" applyFill="1" applyBorder="1" applyAlignment="1">
      <alignment horizontal="right" vertical="top"/>
    </xf>
    <xf numFmtId="175" fontId="0" fillId="15" borderId="41" xfId="0" applyNumberFormat="1" applyFill="1" applyBorder="1" applyAlignment="1">
      <alignment horizontal="right" vertical="top"/>
    </xf>
    <xf numFmtId="3" fontId="0" fillId="0" borderId="40" xfId="0" applyNumberFormat="1" applyBorder="1" applyAlignment="1">
      <alignment horizontal="right" vertical="top"/>
    </xf>
    <xf numFmtId="175" fontId="0" fillId="16" borderId="41" xfId="0" applyNumberFormat="1" applyFill="1" applyBorder="1" applyAlignment="1">
      <alignment horizontal="right" vertical="top"/>
    </xf>
    <xf numFmtId="0" fontId="0" fillId="0" borderId="40" xfId="0" applyBorder="1" applyAlignment="1">
      <alignment horizontal="right" vertical="top"/>
    </xf>
    <xf numFmtId="175" fontId="0" fillId="0" borderId="41" xfId="0" applyNumberFormat="1" applyBorder="1" applyAlignment="1">
      <alignment horizontal="right" vertical="top"/>
    </xf>
    <xf numFmtId="3" fontId="0" fillId="0" borderId="42" xfId="0" applyNumberFormat="1" applyBorder="1" applyAlignment="1">
      <alignment horizontal="right" vertical="top"/>
    </xf>
    <xf numFmtId="175" fontId="0" fillId="0" borderId="43" xfId="0" applyNumberFormat="1" applyBorder="1" applyAlignment="1">
      <alignment horizontal="right" vertical="top"/>
    </xf>
    <xf numFmtId="3" fontId="0" fillId="0" borderId="43" xfId="0" applyNumberFormat="1" applyBorder="1" applyAlignment="1">
      <alignment horizontal="right" vertical="top"/>
    </xf>
    <xf numFmtId="3" fontId="0" fillId="16" borderId="43" xfId="0" applyNumberFormat="1" applyFill="1" applyBorder="1" applyAlignment="1">
      <alignment horizontal="right" vertical="top"/>
    </xf>
    <xf numFmtId="175" fontId="0" fillId="16" borderId="44" xfId="0" applyNumberFormat="1" applyFill="1" applyBorder="1" applyAlignment="1">
      <alignment horizontal="right" vertical="top"/>
    </xf>
    <xf numFmtId="10" fontId="40" fillId="9" borderId="14" xfId="0" applyNumberFormat="1" applyFont="1" applyFill="1" applyBorder="1" applyAlignment="1" applyProtection="1">
      <alignment horizontal="center" vertical="center"/>
      <protection hidden="1"/>
    </xf>
    <xf numFmtId="3" fontId="11" fillId="18" borderId="18" xfId="0" applyNumberFormat="1" applyFont="1" applyFill="1" applyBorder="1" applyAlignment="1" applyProtection="1">
      <alignment horizontal="center" vertical="center"/>
      <protection hidden="1"/>
    </xf>
    <xf numFmtId="3" fontId="11" fillId="18" borderId="17" xfId="0" applyNumberFormat="1" applyFont="1" applyFill="1" applyBorder="1" applyAlignment="1" applyProtection="1">
      <alignment horizontal="center" vertical="center"/>
      <protection hidden="1"/>
    </xf>
    <xf numFmtId="3" fontId="11" fillId="18" borderId="0" xfId="0" applyNumberFormat="1" applyFont="1" applyFill="1" applyBorder="1" applyAlignment="1" applyProtection="1">
      <alignment horizontal="center" vertical="center"/>
      <protection hidden="1"/>
    </xf>
    <xf numFmtId="3" fontId="22" fillId="0" borderId="18" xfId="0" applyNumberFormat="1" applyFont="1" applyFill="1" applyBorder="1" applyAlignment="1" applyProtection="1">
      <alignment horizontal="center" vertical="center"/>
      <protection hidden="1"/>
    </xf>
    <xf numFmtId="3" fontId="22" fillId="0" borderId="17" xfId="0" applyNumberFormat="1" applyFont="1" applyFill="1" applyBorder="1" applyAlignment="1" applyProtection="1">
      <alignment horizontal="center" vertical="center"/>
      <protection hidden="1"/>
    </xf>
    <xf numFmtId="3" fontId="11" fillId="19" borderId="17" xfId="0" applyNumberFormat="1" applyFont="1" applyFill="1" applyBorder="1" applyAlignment="1" applyProtection="1">
      <alignment horizontal="center" vertical="center"/>
      <protection hidden="1"/>
    </xf>
    <xf numFmtId="3" fontId="11" fillId="19" borderId="0" xfId="0" applyNumberFormat="1" applyFont="1" applyFill="1" applyBorder="1" applyAlignment="1" applyProtection="1">
      <alignment horizontal="center" vertical="center"/>
      <protection hidden="1"/>
    </xf>
    <xf numFmtId="10" fontId="14" fillId="18" borderId="16" xfId="0" applyNumberFormat="1" applyFont="1" applyFill="1" applyBorder="1" applyAlignment="1" applyProtection="1">
      <alignment horizontal="center" vertical="center"/>
      <protection hidden="1"/>
    </xf>
    <xf numFmtId="10" fontId="14" fillId="18" borderId="15" xfId="0" applyNumberFormat="1" applyFont="1" applyFill="1" applyBorder="1" applyAlignment="1" applyProtection="1">
      <alignment horizontal="center" vertical="center"/>
      <protection hidden="1"/>
    </xf>
    <xf numFmtId="10" fontId="14" fillId="18" borderId="0" xfId="0" applyNumberFormat="1" applyFont="1" applyFill="1" applyBorder="1" applyAlignment="1" applyProtection="1">
      <alignment horizontal="center" vertical="center"/>
      <protection hidden="1"/>
    </xf>
    <xf numFmtId="2" fontId="11" fillId="18" borderId="2" xfId="0" applyNumberFormat="1" applyFont="1" applyFill="1" applyBorder="1" applyAlignment="1" applyProtection="1">
      <alignment horizontal="center" vertical="center"/>
      <protection hidden="1"/>
    </xf>
    <xf numFmtId="2" fontId="11" fillId="18" borderId="19" xfId="0" applyNumberFormat="1" applyFont="1" applyFill="1" applyBorder="1" applyAlignment="1" applyProtection="1">
      <alignment horizontal="center" vertical="center"/>
      <protection hidden="1"/>
    </xf>
    <xf numFmtId="10" fontId="13" fillId="18" borderId="0" xfId="0" applyNumberFormat="1" applyFont="1" applyFill="1" applyBorder="1" applyAlignment="1" applyProtection="1">
      <alignment horizontal="center" vertical="center"/>
      <protection hidden="1"/>
    </xf>
    <xf numFmtId="10" fontId="13" fillId="18" borderId="15" xfId="0" applyNumberFormat="1" applyFont="1" applyFill="1" applyBorder="1" applyAlignment="1" applyProtection="1">
      <alignment horizontal="center" vertical="center"/>
      <protection hidden="1"/>
    </xf>
    <xf numFmtId="3" fontId="11" fillId="10" borderId="18" xfId="0" applyNumberFormat="1" applyFont="1" applyFill="1" applyBorder="1" applyAlignment="1" applyProtection="1">
      <alignment horizontal="center" vertical="center"/>
      <protection hidden="1"/>
    </xf>
    <xf numFmtId="3" fontId="11" fillId="10" borderId="16" xfId="0" applyNumberFormat="1" applyFont="1" applyFill="1" applyBorder="1" applyAlignment="1" applyProtection="1">
      <alignment horizontal="center" vertical="center"/>
      <protection hidden="1"/>
    </xf>
    <xf numFmtId="3" fontId="11" fillId="10" borderId="20" xfId="0" applyNumberFormat="1" applyFont="1" applyFill="1" applyBorder="1" applyAlignment="1" applyProtection="1">
      <alignment horizontal="center" vertical="center"/>
      <protection hidden="1"/>
    </xf>
    <xf numFmtId="174" fontId="21" fillId="10" borderId="7" xfId="5" applyNumberFormat="1" applyFont="1" applyFill="1" applyBorder="1" applyAlignment="1" applyProtection="1">
      <alignment horizontal="center" vertical="center"/>
      <protection hidden="1"/>
    </xf>
    <xf numFmtId="174" fontId="21" fillId="10" borderId="6" xfId="5" applyNumberFormat="1" applyFont="1" applyFill="1" applyBorder="1" applyAlignment="1" applyProtection="1">
      <alignment horizontal="center" vertical="center"/>
      <protection hidden="1"/>
    </xf>
    <xf numFmtId="174" fontId="21" fillId="10" borderId="4" xfId="5" applyNumberFormat="1" applyFont="1" applyFill="1" applyBorder="1" applyAlignment="1" applyProtection="1">
      <alignment horizontal="center" vertical="center"/>
      <protection hidden="1"/>
    </xf>
    <xf numFmtId="3" fontId="20" fillId="0" borderId="14" xfId="4" applyNumberFormat="1" applyFont="1" applyFill="1" applyBorder="1" applyAlignment="1" applyProtection="1">
      <alignment horizontal="center" vertical="center"/>
      <protection locked="0" hidden="1"/>
    </xf>
    <xf numFmtId="3" fontId="20" fillId="0" borderId="14" xfId="0" applyNumberFormat="1" applyFont="1" applyFill="1" applyBorder="1" applyAlignment="1" applyProtection="1">
      <alignment horizontal="center" vertical="center"/>
      <protection locked="0" hidden="1"/>
    </xf>
    <xf numFmtId="0" fontId="27" fillId="0" borderId="2" xfId="0" applyFont="1" applyFill="1" applyBorder="1" applyAlignment="1" applyProtection="1">
      <alignment horizontal="center" vertical="center" wrapText="1"/>
    </xf>
    <xf numFmtId="172" fontId="27" fillId="0" borderId="1" xfId="0" applyNumberFormat="1" applyFont="1" applyFill="1" applyBorder="1" applyProtection="1"/>
    <xf numFmtId="172" fontId="27" fillId="0" borderId="2" xfId="0" applyNumberFormat="1" applyFont="1" applyFill="1" applyBorder="1" applyProtection="1"/>
    <xf numFmtId="3" fontId="18" fillId="17" borderId="40" xfId="0" applyNumberFormat="1" applyFont="1" applyFill="1" applyBorder="1" applyAlignment="1">
      <alignment horizontal="right" vertical="top"/>
    </xf>
    <xf numFmtId="175" fontId="18" fillId="17" borderId="37" xfId="0" applyNumberFormat="1" applyFont="1" applyFill="1" applyBorder="1" applyAlignment="1">
      <alignment horizontal="right" vertical="top"/>
    </xf>
    <xf numFmtId="3" fontId="18" fillId="17" borderId="37" xfId="0" applyNumberFormat="1" applyFont="1" applyFill="1" applyBorder="1" applyAlignment="1">
      <alignment horizontal="right" vertical="top"/>
    </xf>
    <xf numFmtId="175" fontId="18" fillId="17" borderId="41" xfId="0" applyNumberFormat="1" applyFont="1" applyFill="1" applyBorder="1" applyAlignment="1">
      <alignment horizontal="right" vertical="top"/>
    </xf>
    <xf numFmtId="3" fontId="16" fillId="17" borderId="40" xfId="0" applyNumberFormat="1" applyFont="1" applyFill="1" applyBorder="1" applyAlignment="1">
      <alignment horizontal="right" vertical="top"/>
    </xf>
    <xf numFmtId="175" fontId="16" fillId="17" borderId="37" xfId="0" applyNumberFormat="1" applyFont="1" applyFill="1" applyBorder="1" applyAlignment="1">
      <alignment horizontal="right" vertical="top"/>
    </xf>
    <xf numFmtId="3" fontId="16" fillId="17" borderId="37" xfId="0" applyNumberFormat="1" applyFont="1" applyFill="1" applyBorder="1" applyAlignment="1">
      <alignment horizontal="right" vertical="top"/>
    </xf>
    <xf numFmtId="175" fontId="16" fillId="17" borderId="41" xfId="0" applyNumberFormat="1" applyFont="1" applyFill="1" applyBorder="1" applyAlignment="1">
      <alignment horizontal="right" vertical="top"/>
    </xf>
    <xf numFmtId="0" fontId="27" fillId="23" borderId="4" xfId="0" applyFont="1" applyFill="1" applyBorder="1" applyAlignment="1" applyProtection="1">
      <alignment horizontal="center"/>
    </xf>
    <xf numFmtId="0" fontId="27" fillId="23" borderId="1" xfId="0" applyFont="1" applyFill="1" applyBorder="1" applyAlignment="1" applyProtection="1">
      <alignment horizontal="center" vertical="center"/>
    </xf>
    <xf numFmtId="0" fontId="25" fillId="23" borderId="1" xfId="0" applyFont="1" applyFill="1" applyBorder="1" applyAlignment="1" applyProtection="1">
      <alignment horizontal="left" indent="1"/>
    </xf>
    <xf numFmtId="0" fontId="25" fillId="23" borderId="8" xfId="0" applyFont="1" applyFill="1" applyBorder="1" applyAlignment="1" applyProtection="1">
      <alignment horizontal="left" indent="1"/>
    </xf>
    <xf numFmtId="172" fontId="25" fillId="23" borderId="1" xfId="0" applyNumberFormat="1" applyFont="1" applyFill="1" applyBorder="1" applyProtection="1">
      <protection locked="0"/>
    </xf>
    <xf numFmtId="0" fontId="27" fillId="23" borderId="1" xfId="0" applyFont="1" applyFill="1" applyBorder="1" applyAlignment="1" applyProtection="1">
      <alignment vertical="center"/>
    </xf>
    <xf numFmtId="0" fontId="27" fillId="23" borderId="8" xfId="0" applyFont="1" applyFill="1" applyBorder="1" applyAlignment="1" applyProtection="1">
      <alignment horizontal="right"/>
    </xf>
    <xf numFmtId="172" fontId="27" fillId="23" borderId="1" xfId="0" applyNumberFormat="1" applyFont="1" applyFill="1" applyBorder="1" applyProtection="1"/>
    <xf numFmtId="172" fontId="36" fillId="23" borderId="9" xfId="0" applyNumberFormat="1" applyFont="1" applyFill="1" applyBorder="1" applyAlignment="1" applyProtection="1">
      <alignment vertical="center"/>
    </xf>
    <xf numFmtId="172" fontId="28" fillId="23" borderId="1" xfId="0" applyNumberFormat="1" applyFont="1" applyFill="1" applyBorder="1" applyProtection="1">
      <protection locked="0"/>
    </xf>
    <xf numFmtId="172" fontId="27" fillId="23" borderId="1" xfId="0" applyNumberFormat="1" applyFont="1" applyFill="1" applyBorder="1" applyProtection="1">
      <protection locked="0"/>
    </xf>
    <xf numFmtId="0" fontId="27" fillId="23" borderId="1" xfId="0" applyFont="1" applyFill="1" applyBorder="1" applyAlignment="1" applyProtection="1">
      <alignment horizontal="right"/>
    </xf>
    <xf numFmtId="0" fontId="25" fillId="23" borderId="1" xfId="0" applyFont="1" applyFill="1" applyBorder="1" applyAlignment="1" applyProtection="1">
      <alignment horizontal="center"/>
      <protection locked="0"/>
    </xf>
    <xf numFmtId="0" fontId="27" fillId="23" borderId="1" xfId="0" applyFont="1" applyFill="1" applyBorder="1" applyAlignment="1" applyProtection="1">
      <alignment horizontal="center"/>
      <protection locked="0"/>
    </xf>
    <xf numFmtId="0" fontId="13" fillId="23" borderId="0" xfId="0" applyFont="1" applyFill="1" applyAlignment="1" applyProtection="1">
      <alignment horizontal="right" vertical="center"/>
      <protection hidden="1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 applyProtection="1">
      <alignment horizontal="center"/>
      <protection locked="0"/>
    </xf>
    <xf numFmtId="0" fontId="14" fillId="10" borderId="17" xfId="0" applyFont="1" applyFill="1" applyBorder="1" applyAlignment="1" applyProtection="1">
      <alignment horizontal="left" vertical="center" indent="1"/>
      <protection hidden="1"/>
    </xf>
    <xf numFmtId="0" fontId="14" fillId="10" borderId="0" xfId="0" applyFont="1" applyFill="1" applyBorder="1" applyAlignment="1" applyProtection="1">
      <alignment horizontal="left" vertical="center" indent="1"/>
      <protection hidden="1"/>
    </xf>
    <xf numFmtId="0" fontId="14" fillId="8" borderId="17" xfId="0" applyFont="1" applyFill="1" applyBorder="1" applyAlignment="1" applyProtection="1">
      <alignment horizontal="left" vertical="center"/>
      <protection hidden="1"/>
    </xf>
    <xf numFmtId="0" fontId="14" fillId="8" borderId="0" xfId="0" applyFont="1" applyFill="1" applyBorder="1" applyAlignment="1" applyProtection="1">
      <alignment horizontal="left" vertical="center"/>
      <protection hidden="1"/>
    </xf>
    <xf numFmtId="3" fontId="11" fillId="0" borderId="0" xfId="0" applyNumberFormat="1" applyFont="1" applyFill="1" applyBorder="1" applyAlignment="1" applyProtection="1">
      <alignment horizontal="center" vertical="center"/>
      <protection locked="0" hidden="1"/>
    </xf>
    <xf numFmtId="3" fontId="11" fillId="8" borderId="0" xfId="0" applyNumberFormat="1" applyFont="1" applyFill="1" applyBorder="1" applyAlignment="1" applyProtection="1">
      <alignment horizontal="center" vertical="center"/>
      <protection hidden="1"/>
    </xf>
    <xf numFmtId="3" fontId="11" fillId="5" borderId="0" xfId="0" applyNumberFormat="1" applyFont="1" applyFill="1" applyBorder="1" applyAlignment="1" applyProtection="1">
      <alignment horizontal="center" vertical="center"/>
      <protection locked="0" hidden="1"/>
    </xf>
    <xf numFmtId="3" fontId="13" fillId="8" borderId="0" xfId="0" applyNumberFormat="1" applyFont="1" applyFill="1" applyBorder="1" applyAlignment="1" applyProtection="1">
      <alignment horizontal="center" vertical="center"/>
      <protection hidden="1"/>
    </xf>
    <xf numFmtId="0" fontId="0" fillId="16" borderId="37" xfId="0" applyFill="1" applyBorder="1" applyAlignment="1">
      <alignment horizontal="left" vertical="top" wrapText="1" indent="4"/>
    </xf>
    <xf numFmtId="0" fontId="0" fillId="0" borderId="38" xfId="0" applyFill="1" applyBorder="1" applyAlignment="1">
      <alignment horizontal="left" vertical="top" wrapText="1" indent="4"/>
    </xf>
    <xf numFmtId="0" fontId="24" fillId="0" borderId="0" xfId="0" applyFont="1" applyAlignment="1">
      <alignment horizontal="center"/>
    </xf>
    <xf numFmtId="0" fontId="24" fillId="20" borderId="0" xfId="0" applyFont="1" applyFill="1" applyAlignment="1">
      <alignment horizontal="center"/>
    </xf>
    <xf numFmtId="0" fontId="27" fillId="9" borderId="2" xfId="0" applyFont="1" applyFill="1" applyBorder="1" applyAlignment="1" applyProtection="1">
      <alignment horizontal="center" vertical="center" wrapText="1"/>
    </xf>
    <xf numFmtId="0" fontId="27" fillId="9" borderId="19" xfId="0" applyFont="1" applyFill="1" applyBorder="1" applyAlignment="1" applyProtection="1">
      <alignment horizontal="center" vertical="center" wrapText="1"/>
    </xf>
    <xf numFmtId="0" fontId="27" fillId="9" borderId="5" xfId="0" applyFont="1" applyFill="1" applyBorder="1" applyAlignment="1" applyProtection="1">
      <alignment horizontal="center" vertical="center" wrapText="1"/>
    </xf>
    <xf numFmtId="0" fontId="27" fillId="23" borderId="2" xfId="0" applyFont="1" applyFill="1" applyBorder="1" applyAlignment="1" applyProtection="1">
      <alignment horizontal="left" vertical="center"/>
    </xf>
    <xf numFmtId="0" fontId="27" fillId="23" borderId="19" xfId="0" applyFont="1" applyFill="1" applyBorder="1" applyAlignment="1" applyProtection="1">
      <alignment horizontal="left" vertical="center"/>
    </xf>
    <xf numFmtId="0" fontId="27" fillId="23" borderId="5" xfId="0" applyFont="1" applyFill="1" applyBorder="1" applyAlignment="1" applyProtection="1">
      <alignment horizontal="left" vertical="center"/>
    </xf>
    <xf numFmtId="172" fontId="27" fillId="0" borderId="2" xfId="0" applyNumberFormat="1" applyFont="1" applyFill="1" applyBorder="1" applyAlignment="1" applyProtection="1">
      <alignment horizontal="center" vertical="center"/>
    </xf>
    <xf numFmtId="172" fontId="27" fillId="0" borderId="19" xfId="0" applyNumberFormat="1" applyFont="1" applyFill="1" applyBorder="1" applyAlignment="1" applyProtection="1">
      <alignment horizontal="center" vertical="center"/>
    </xf>
    <xf numFmtId="172" fontId="27" fillId="0" borderId="5" xfId="0" applyNumberFormat="1" applyFont="1" applyFill="1" applyBorder="1" applyAlignment="1" applyProtection="1">
      <alignment horizontal="center" vertical="center"/>
    </xf>
    <xf numFmtId="0" fontId="27" fillId="23" borderId="1" xfId="0" applyFont="1" applyFill="1" applyBorder="1" applyAlignment="1" applyProtection="1">
      <alignment horizontal="center" vertical="center" wrapText="1"/>
    </xf>
    <xf numFmtId="0" fontId="27" fillId="23" borderId="2" xfId="0" applyFont="1" applyFill="1" applyBorder="1" applyAlignment="1" applyProtection="1">
      <alignment horizontal="center" vertical="center" wrapText="1"/>
    </xf>
    <xf numFmtId="0" fontId="27" fillId="23" borderId="19" xfId="0" applyFont="1" applyFill="1" applyBorder="1" applyAlignment="1" applyProtection="1">
      <alignment horizontal="center" vertical="center" wrapText="1"/>
    </xf>
    <xf numFmtId="0" fontId="27" fillId="23" borderId="5" xfId="0" applyFont="1" applyFill="1" applyBorder="1" applyAlignment="1" applyProtection="1">
      <alignment horizontal="center" vertical="center" wrapText="1"/>
    </xf>
    <xf numFmtId="172" fontId="27" fillId="0" borderId="2" xfId="0" applyNumberFormat="1" applyFont="1" applyFill="1" applyBorder="1" applyAlignment="1" applyProtection="1">
      <alignment horizontal="center"/>
    </xf>
    <xf numFmtId="172" fontId="27" fillId="0" borderId="19" xfId="0" applyNumberFormat="1" applyFont="1" applyFill="1" applyBorder="1" applyAlignment="1" applyProtection="1">
      <alignment horizontal="center"/>
    </xf>
    <xf numFmtId="172" fontId="27" fillId="0" borderId="5" xfId="0" applyNumberFormat="1" applyFont="1" applyFill="1" applyBorder="1" applyAlignment="1" applyProtection="1">
      <alignment horizontal="center"/>
    </xf>
    <xf numFmtId="0" fontId="27" fillId="0" borderId="14" xfId="0" applyFont="1" applyFill="1" applyBorder="1" applyAlignment="1" applyProtection="1">
      <alignment horizontal="right"/>
    </xf>
    <xf numFmtId="0" fontId="27" fillId="0" borderId="8" xfId="0" applyFont="1" applyFill="1" applyBorder="1" applyAlignment="1" applyProtection="1">
      <alignment horizontal="right"/>
    </xf>
    <xf numFmtId="0" fontId="27" fillId="23" borderId="16" xfId="0" applyFont="1" applyFill="1" applyBorder="1" applyAlignment="1" applyProtection="1">
      <alignment horizontal="left" vertical="center" wrapText="1"/>
    </xf>
    <xf numFmtId="0" fontId="27" fillId="23" borderId="15" xfId="0" applyFont="1" applyFill="1" applyBorder="1" applyAlignment="1" applyProtection="1">
      <alignment horizontal="left" vertical="center" wrapText="1"/>
    </xf>
    <xf numFmtId="0" fontId="27" fillId="23" borderId="6" xfId="0" applyFont="1" applyFill="1" applyBorder="1" applyAlignment="1" applyProtection="1">
      <alignment horizontal="left" vertical="center" wrapText="1"/>
    </xf>
    <xf numFmtId="0" fontId="27" fillId="23" borderId="16" xfId="0" applyFont="1" applyFill="1" applyBorder="1" applyAlignment="1" applyProtection="1">
      <alignment horizontal="left" vertical="center"/>
    </xf>
    <xf numFmtId="0" fontId="27" fillId="23" borderId="15" xfId="0" applyFont="1" applyFill="1" applyBorder="1" applyAlignment="1" applyProtection="1">
      <alignment horizontal="left" vertical="center"/>
    </xf>
    <xf numFmtId="0" fontId="27" fillId="23" borderId="6" xfId="0" applyFont="1" applyFill="1" applyBorder="1" applyAlignment="1" applyProtection="1">
      <alignment horizontal="left" vertical="center"/>
    </xf>
    <xf numFmtId="0" fontId="27" fillId="23" borderId="2" xfId="0" applyFont="1" applyFill="1" applyBorder="1" applyAlignment="1" applyProtection="1">
      <alignment horizontal="left" vertical="center" wrapText="1"/>
    </xf>
    <xf numFmtId="0" fontId="27" fillId="23" borderId="19" xfId="0" applyFont="1" applyFill="1" applyBorder="1" applyAlignment="1" applyProtection="1">
      <alignment horizontal="left" vertical="center" wrapText="1"/>
    </xf>
    <xf numFmtId="0" fontId="27" fillId="23" borderId="5" xfId="0" applyFont="1" applyFill="1" applyBorder="1" applyAlignment="1" applyProtection="1">
      <alignment horizontal="left" vertical="center" wrapText="1"/>
    </xf>
    <xf numFmtId="0" fontId="27" fillId="6" borderId="18" xfId="0" applyFont="1" applyFill="1" applyBorder="1" applyAlignment="1" applyProtection="1">
      <alignment horizontal="center" vertical="center"/>
    </xf>
    <xf numFmtId="0" fontId="27" fillId="6" borderId="17" xfId="0" applyFont="1" applyFill="1" applyBorder="1" applyAlignment="1" applyProtection="1">
      <alignment horizontal="center" vertical="center"/>
    </xf>
    <xf numFmtId="0" fontId="27" fillId="6" borderId="7" xfId="0" applyFont="1" applyFill="1" applyBorder="1" applyAlignment="1" applyProtection="1">
      <alignment horizontal="center" vertical="center"/>
    </xf>
    <xf numFmtId="0" fontId="27" fillId="7" borderId="1" xfId="0" applyFont="1" applyFill="1" applyBorder="1" applyAlignment="1" applyProtection="1">
      <alignment horizontal="center" vertical="center"/>
    </xf>
    <xf numFmtId="0" fontId="27" fillId="22" borderId="2" xfId="0" applyFont="1" applyFill="1" applyBorder="1" applyAlignment="1" applyProtection="1">
      <alignment horizontal="center" vertical="center" wrapText="1"/>
    </xf>
    <xf numFmtId="0" fontId="27" fillId="22" borderId="19" xfId="0" applyFont="1" applyFill="1" applyBorder="1" applyAlignment="1" applyProtection="1">
      <alignment horizontal="center" vertical="center" wrapText="1"/>
    </xf>
    <xf numFmtId="0" fontId="27" fillId="22" borderId="5" xfId="0" applyFont="1" applyFill="1" applyBorder="1" applyAlignment="1" applyProtection="1">
      <alignment horizontal="center" vertical="center" wrapText="1"/>
    </xf>
    <xf numFmtId="0" fontId="35" fillId="0" borderId="17" xfId="0" applyFont="1" applyFill="1" applyBorder="1" applyAlignment="1" applyProtection="1">
      <alignment horizontal="center" vertical="center"/>
    </xf>
    <xf numFmtId="0" fontId="35" fillId="0" borderId="0" xfId="0" applyFont="1" applyFill="1" applyBorder="1" applyAlignment="1" applyProtection="1">
      <alignment horizontal="center" vertical="center"/>
    </xf>
    <xf numFmtId="0" fontId="35" fillId="0" borderId="7" xfId="0" applyFont="1" applyFill="1" applyBorder="1" applyAlignment="1" applyProtection="1">
      <alignment horizontal="center" vertical="center"/>
    </xf>
    <xf numFmtId="0" fontId="35" fillId="0" borderId="4" xfId="0" applyFont="1" applyFill="1" applyBorder="1" applyAlignment="1" applyProtection="1">
      <alignment horizontal="center" vertical="center"/>
    </xf>
    <xf numFmtId="172" fontId="36" fillId="0" borderId="2" xfId="0" applyNumberFormat="1" applyFont="1" applyFill="1" applyBorder="1" applyAlignment="1" applyProtection="1">
      <alignment horizontal="center" vertical="center"/>
    </xf>
    <xf numFmtId="172" fontId="36" fillId="0" borderId="19" xfId="0" applyNumberFormat="1" applyFont="1" applyFill="1" applyBorder="1" applyAlignment="1" applyProtection="1">
      <alignment horizontal="center" vertical="center"/>
    </xf>
    <xf numFmtId="172" fontId="36" fillId="0" borderId="5" xfId="0" applyNumberFormat="1" applyFont="1" applyFill="1" applyBorder="1" applyAlignment="1" applyProtection="1">
      <alignment horizontal="center" vertical="center"/>
    </xf>
    <xf numFmtId="0" fontId="27" fillId="21" borderId="2" xfId="0" applyFont="1" applyFill="1" applyBorder="1" applyAlignment="1" applyProtection="1">
      <alignment horizontal="center" vertical="center" wrapText="1"/>
    </xf>
    <xf numFmtId="0" fontId="27" fillId="21" borderId="19" xfId="0" applyFont="1" applyFill="1" applyBorder="1" applyAlignment="1" applyProtection="1">
      <alignment horizontal="center" vertical="center" wrapText="1"/>
    </xf>
    <xf numFmtId="0" fontId="27" fillId="21" borderId="5" xfId="0" applyFont="1" applyFill="1" applyBorder="1" applyAlignment="1" applyProtection="1">
      <alignment horizontal="center" vertical="center" wrapText="1"/>
    </xf>
    <xf numFmtId="0" fontId="27" fillId="6" borderId="2" xfId="0" applyFont="1" applyFill="1" applyBorder="1" applyAlignment="1" applyProtection="1">
      <alignment horizontal="center" vertical="center" wrapText="1"/>
    </xf>
    <xf numFmtId="0" fontId="27" fillId="6" borderId="19" xfId="0" applyFont="1" applyFill="1" applyBorder="1" applyAlignment="1" applyProtection="1">
      <alignment horizontal="center" vertical="center" wrapText="1"/>
    </xf>
    <xf numFmtId="0" fontId="27" fillId="6" borderId="5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 applyProtection="1">
      <alignment horizontal="center"/>
      <protection locked="0"/>
    </xf>
    <xf numFmtId="0" fontId="33" fillId="0" borderId="0" xfId="0" applyFont="1" applyFill="1" applyBorder="1" applyAlignment="1">
      <alignment horizontal="center" wrapText="1"/>
    </xf>
    <xf numFmtId="0" fontId="14" fillId="8" borderId="10" xfId="0" applyFont="1" applyFill="1" applyBorder="1" applyAlignment="1" applyProtection="1">
      <alignment horizontal="right" vertical="center" wrapText="1"/>
      <protection hidden="1"/>
    </xf>
    <xf numFmtId="0" fontId="14" fillId="8" borderId="31" xfId="0" applyFont="1" applyFill="1" applyBorder="1" applyAlignment="1" applyProtection="1">
      <alignment horizontal="right" vertical="center" wrapText="1"/>
      <protection hidden="1"/>
    </xf>
    <xf numFmtId="0" fontId="14" fillId="8" borderId="32" xfId="0" applyFont="1" applyFill="1" applyBorder="1" applyAlignment="1" applyProtection="1">
      <alignment horizontal="right" vertical="center" wrapText="1"/>
      <protection hidden="1"/>
    </xf>
    <xf numFmtId="2" fontId="39" fillId="9" borderId="27" xfId="0" applyNumberFormat="1" applyFont="1" applyFill="1" applyBorder="1" applyAlignment="1" applyProtection="1">
      <alignment horizontal="center" vertical="center"/>
      <protection hidden="1"/>
    </xf>
    <xf numFmtId="2" fontId="39" fillId="9" borderId="10" xfId="0" applyNumberFormat="1" applyFont="1" applyFill="1" applyBorder="1" applyAlignment="1" applyProtection="1">
      <alignment horizontal="center" vertical="center"/>
      <protection hidden="1"/>
    </xf>
    <xf numFmtId="2" fontId="39" fillId="9" borderId="11" xfId="0" applyNumberFormat="1" applyFont="1" applyFill="1" applyBorder="1" applyAlignment="1" applyProtection="1">
      <alignment horizontal="center" vertical="center"/>
      <protection hidden="1"/>
    </xf>
    <xf numFmtId="0" fontId="39" fillId="9" borderId="28" xfId="0" applyFont="1" applyFill="1" applyBorder="1" applyAlignment="1" applyProtection="1">
      <alignment horizontal="center" vertical="top"/>
      <protection hidden="1"/>
    </xf>
    <xf numFmtId="0" fontId="39" fillId="9" borderId="29" xfId="0" applyFont="1" applyFill="1" applyBorder="1" applyAlignment="1" applyProtection="1">
      <alignment horizontal="center" vertical="top"/>
      <protection hidden="1"/>
    </xf>
    <xf numFmtId="0" fontId="39" fillId="9" borderId="30" xfId="0" applyFont="1" applyFill="1" applyBorder="1" applyAlignment="1" applyProtection="1">
      <alignment horizontal="right" vertical="center"/>
      <protection hidden="1"/>
    </xf>
    <xf numFmtId="0" fontId="39" fillId="9" borderId="10" xfId="0" applyFont="1" applyFill="1" applyBorder="1" applyAlignment="1" applyProtection="1">
      <alignment horizontal="right" vertical="center"/>
      <protection hidden="1"/>
    </xf>
    <xf numFmtId="0" fontId="14" fillId="0" borderId="12" xfId="0" applyFont="1" applyFill="1" applyBorder="1" applyAlignment="1" applyProtection="1">
      <alignment horizontal="center" vertical="center"/>
      <protection locked="0" hidden="1"/>
    </xf>
    <xf numFmtId="14" fontId="14" fillId="0" borderId="13" xfId="0" applyNumberFormat="1" applyFont="1" applyFill="1" applyBorder="1" applyAlignment="1" applyProtection="1">
      <alignment horizontal="center" vertical="center"/>
      <protection locked="0" hidden="1"/>
    </xf>
    <xf numFmtId="0" fontId="14" fillId="0" borderId="13" xfId="0" applyFont="1" applyFill="1" applyBorder="1" applyAlignment="1" applyProtection="1">
      <alignment horizontal="center" vertical="center"/>
      <protection locked="0" hidden="1"/>
    </xf>
    <xf numFmtId="0" fontId="39" fillId="9" borderId="26" xfId="0" applyFont="1" applyFill="1" applyBorder="1" applyAlignment="1" applyProtection="1">
      <alignment horizontal="center" vertical="center"/>
      <protection hidden="1"/>
    </xf>
    <xf numFmtId="0" fontId="39" fillId="9" borderId="33" xfId="0" applyFont="1" applyFill="1" applyBorder="1" applyAlignment="1" applyProtection="1">
      <alignment horizontal="right" vertical="center"/>
      <protection hidden="1"/>
    </xf>
    <xf numFmtId="0" fontId="39" fillId="9" borderId="34" xfId="0" applyFont="1" applyFill="1" applyBorder="1" applyAlignment="1" applyProtection="1">
      <alignment horizontal="right" vertical="center"/>
      <protection hidden="1"/>
    </xf>
    <xf numFmtId="0" fontId="39" fillId="9" borderId="35" xfId="0" applyFont="1" applyFill="1" applyBorder="1" applyAlignment="1" applyProtection="1">
      <alignment horizontal="right" vertical="center"/>
      <protection hidden="1"/>
    </xf>
    <xf numFmtId="0" fontId="39" fillId="9" borderId="21" xfId="0" applyFont="1" applyFill="1" applyBorder="1" applyAlignment="1" applyProtection="1">
      <alignment horizontal="center" vertical="center"/>
      <protection hidden="1"/>
    </xf>
    <xf numFmtId="0" fontId="39" fillId="9" borderId="22" xfId="0" applyFont="1" applyFill="1" applyBorder="1" applyAlignment="1" applyProtection="1">
      <alignment horizontal="center" vertical="center"/>
      <protection hidden="1"/>
    </xf>
    <xf numFmtId="0" fontId="39" fillId="9" borderId="23" xfId="0" applyFont="1" applyFill="1" applyBorder="1" applyAlignment="1" applyProtection="1">
      <alignment horizontal="center" vertical="center"/>
      <protection hidden="1"/>
    </xf>
    <xf numFmtId="0" fontId="39" fillId="9" borderId="24" xfId="0" applyFont="1" applyFill="1" applyBorder="1" applyAlignment="1" applyProtection="1">
      <alignment horizontal="center" vertical="top"/>
      <protection hidden="1"/>
    </xf>
    <xf numFmtId="0" fontId="39" fillId="9" borderId="25" xfId="0" applyFont="1" applyFill="1" applyBorder="1" applyAlignment="1" applyProtection="1">
      <alignment horizontal="center" vertical="top"/>
      <protection hidden="1"/>
    </xf>
    <xf numFmtId="0" fontId="39" fillId="9" borderId="12" xfId="0" applyFont="1" applyFill="1" applyBorder="1" applyAlignment="1" applyProtection="1">
      <alignment horizontal="center" vertical="top"/>
      <protection hidden="1"/>
    </xf>
    <xf numFmtId="0" fontId="39" fillId="9" borderId="13" xfId="0" applyFont="1" applyFill="1" applyBorder="1" applyAlignment="1" applyProtection="1">
      <alignment horizontal="center" vertical="top"/>
      <protection hidden="1"/>
    </xf>
    <xf numFmtId="0" fontId="14" fillId="10" borderId="9" xfId="0" applyFont="1" applyFill="1" applyBorder="1" applyAlignment="1" applyProtection="1">
      <alignment horizontal="left" vertical="center"/>
      <protection hidden="1"/>
    </xf>
    <xf numFmtId="0" fontId="14" fillId="10" borderId="14" xfId="0" applyFont="1" applyFill="1" applyBorder="1" applyAlignment="1" applyProtection="1">
      <alignment horizontal="left" vertical="center"/>
      <protection hidden="1"/>
    </xf>
    <xf numFmtId="3" fontId="13" fillId="10" borderId="14" xfId="0" applyNumberFormat="1" applyFont="1" applyFill="1" applyBorder="1" applyAlignment="1" applyProtection="1">
      <alignment horizontal="center" vertical="center"/>
      <protection hidden="1"/>
    </xf>
    <xf numFmtId="3" fontId="13" fillId="8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14" fillId="8" borderId="17" xfId="0" applyFont="1" applyFill="1" applyBorder="1" applyAlignment="1" applyProtection="1">
      <alignment horizontal="left" vertical="center"/>
      <protection hidden="1"/>
    </xf>
    <xf numFmtId="0" fontId="14" fillId="8" borderId="0" xfId="0" applyFont="1" applyFill="1" applyBorder="1" applyAlignment="1" applyProtection="1">
      <alignment horizontal="left" vertical="center"/>
      <protection hidden="1"/>
    </xf>
    <xf numFmtId="3" fontId="11" fillId="8" borderId="0" xfId="0" applyNumberFormat="1" applyFont="1" applyFill="1" applyBorder="1" applyAlignment="1" applyProtection="1">
      <alignment horizontal="center" vertical="center"/>
      <protection hidden="1"/>
    </xf>
    <xf numFmtId="3" fontId="11" fillId="5" borderId="0" xfId="0" applyNumberFormat="1" applyFont="1" applyFill="1" applyBorder="1" applyAlignment="1" applyProtection="1">
      <alignment horizontal="center" vertical="center"/>
      <protection locked="0" hidden="1"/>
    </xf>
    <xf numFmtId="3" fontId="11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4" fillId="10" borderId="17" xfId="0" applyFont="1" applyFill="1" applyBorder="1" applyAlignment="1" applyProtection="1">
      <alignment horizontal="left" vertical="center" indent="1"/>
      <protection hidden="1"/>
    </xf>
    <xf numFmtId="0" fontId="14" fillId="10" borderId="0" xfId="0" applyFont="1" applyFill="1" applyBorder="1" applyAlignment="1" applyProtection="1">
      <alignment horizontal="left" vertical="center" indent="1"/>
      <protection hidden="1"/>
    </xf>
    <xf numFmtId="0" fontId="13" fillId="0" borderId="17" xfId="0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Alignment="1" applyProtection="1">
      <alignment horizontal="center" vertical="center"/>
      <protection hidden="1"/>
    </xf>
    <xf numFmtId="0" fontId="13" fillId="0" borderId="15" xfId="0" applyFont="1" applyFill="1" applyBorder="1" applyAlignment="1" applyProtection="1">
      <alignment horizontal="center" vertical="center"/>
      <protection hidden="1"/>
    </xf>
    <xf numFmtId="0" fontId="42" fillId="9" borderId="9" xfId="0" applyFont="1" applyFill="1" applyBorder="1" applyAlignment="1" applyProtection="1">
      <alignment horizontal="left" vertical="center"/>
      <protection hidden="1"/>
    </xf>
    <xf numFmtId="0" fontId="42" fillId="9" borderId="14" xfId="0" applyFont="1" applyFill="1" applyBorder="1" applyAlignment="1" applyProtection="1">
      <alignment horizontal="left" vertical="center"/>
      <protection hidden="1"/>
    </xf>
    <xf numFmtId="10" fontId="21" fillId="10" borderId="20" xfId="0" applyNumberFormat="1" applyFont="1" applyFill="1" applyBorder="1" applyAlignment="1" applyProtection="1">
      <alignment horizontal="center" vertical="center"/>
      <protection hidden="1"/>
    </xf>
    <xf numFmtId="10" fontId="21" fillId="10" borderId="4" xfId="0" applyNumberFormat="1" applyFont="1" applyFill="1" applyBorder="1" applyAlignment="1" applyProtection="1">
      <alignment horizontal="center" vertical="center"/>
      <protection hidden="1"/>
    </xf>
    <xf numFmtId="2" fontId="21" fillId="10" borderId="2" xfId="0" applyNumberFormat="1" applyFont="1" applyFill="1" applyBorder="1" applyAlignment="1" applyProtection="1">
      <alignment horizontal="center" vertical="center"/>
      <protection hidden="1"/>
    </xf>
    <xf numFmtId="2" fontId="21" fillId="10" borderId="5" xfId="0" applyNumberFormat="1" applyFont="1" applyFill="1" applyBorder="1" applyAlignment="1" applyProtection="1">
      <alignment horizontal="center" vertical="center"/>
      <protection hidden="1"/>
    </xf>
    <xf numFmtId="0" fontId="39" fillId="10" borderId="16" xfId="0" applyFont="1" applyFill="1" applyBorder="1" applyAlignment="1" applyProtection="1">
      <alignment horizontal="left" vertical="center"/>
      <protection hidden="1"/>
    </xf>
    <xf numFmtId="0" fontId="39" fillId="10" borderId="6" xfId="0" applyFont="1" applyFill="1" applyBorder="1" applyAlignment="1" applyProtection="1">
      <alignment horizontal="left" vertical="center"/>
      <protection hidden="1"/>
    </xf>
    <xf numFmtId="0" fontId="23" fillId="10" borderId="18" xfId="0" applyFont="1" applyFill="1" applyBorder="1" applyAlignment="1" applyProtection="1">
      <alignment horizontal="left" vertical="center"/>
      <protection hidden="1"/>
    </xf>
    <xf numFmtId="0" fontId="23" fillId="10" borderId="20" xfId="0" applyFont="1" applyFill="1" applyBorder="1" applyAlignment="1" applyProtection="1">
      <alignment horizontal="left" vertical="center"/>
      <protection hidden="1"/>
    </xf>
    <xf numFmtId="0" fontId="23" fillId="10" borderId="7" xfId="0" applyFont="1" applyFill="1" applyBorder="1" applyAlignment="1" applyProtection="1">
      <alignment horizontal="left" vertical="center"/>
      <protection hidden="1"/>
    </xf>
    <xf numFmtId="0" fontId="23" fillId="10" borderId="4" xfId="0" applyFont="1" applyFill="1" applyBorder="1" applyAlignment="1" applyProtection="1">
      <alignment horizontal="left" vertical="center"/>
      <protection hidden="1"/>
    </xf>
    <xf numFmtId="3" fontId="14" fillId="10" borderId="18" xfId="0" applyNumberFormat="1" applyFont="1" applyFill="1" applyBorder="1" applyAlignment="1" applyProtection="1">
      <alignment horizontal="center" vertical="center"/>
      <protection hidden="1"/>
    </xf>
    <xf numFmtId="3" fontId="14" fillId="10" borderId="7" xfId="0" applyNumberFormat="1" applyFont="1" applyFill="1" applyBorder="1" applyAlignment="1" applyProtection="1">
      <alignment horizontal="center" vertical="center"/>
      <protection hidden="1"/>
    </xf>
    <xf numFmtId="10" fontId="23" fillId="10" borderId="16" xfId="0" applyNumberFormat="1" applyFont="1" applyFill="1" applyBorder="1" applyAlignment="1" applyProtection="1">
      <alignment horizontal="center" vertical="center"/>
      <protection hidden="1"/>
    </xf>
    <xf numFmtId="10" fontId="23" fillId="10" borderId="6" xfId="0" applyNumberFormat="1" applyFont="1" applyFill="1" applyBorder="1" applyAlignment="1" applyProtection="1">
      <alignment horizontal="center" vertical="center"/>
      <protection hidden="1"/>
    </xf>
    <xf numFmtId="3" fontId="14" fillId="10" borderId="20" xfId="0" applyNumberFormat="1" applyFont="1" applyFill="1" applyBorder="1" applyAlignment="1" applyProtection="1">
      <alignment horizontal="center" vertical="center"/>
      <protection hidden="1"/>
    </xf>
    <xf numFmtId="3" fontId="14" fillId="10" borderId="4" xfId="0" applyNumberFormat="1" applyFont="1" applyFill="1" applyBorder="1" applyAlignment="1" applyProtection="1">
      <alignment horizontal="center" vertical="center"/>
      <protection hidden="1"/>
    </xf>
    <xf numFmtId="0" fontId="0" fillId="16" borderId="37" xfId="0" applyFill="1" applyBorder="1" applyAlignment="1">
      <alignment horizontal="left" vertical="top" wrapText="1" indent="4"/>
    </xf>
    <xf numFmtId="0" fontId="0" fillId="16" borderId="38" xfId="0" applyFill="1" applyBorder="1" applyAlignment="1">
      <alignment horizontal="left" vertical="top" wrapText="1" indent="4"/>
    </xf>
    <xf numFmtId="0" fontId="15" fillId="14" borderId="47" xfId="0" applyFont="1" applyFill="1" applyBorder="1" applyAlignment="1">
      <alignment horizontal="center" vertical="center" wrapText="1"/>
    </xf>
    <xf numFmtId="0" fontId="15" fillId="14" borderId="36" xfId="0" applyFont="1" applyFill="1" applyBorder="1" applyAlignment="1">
      <alignment horizontal="center" vertical="center" wrapText="1"/>
    </xf>
    <xf numFmtId="0" fontId="15" fillId="14" borderId="48" xfId="0" applyFont="1" applyFill="1" applyBorder="1" applyAlignment="1">
      <alignment horizontal="center" vertical="center" wrapText="1"/>
    </xf>
    <xf numFmtId="0" fontId="15" fillId="14" borderId="49" xfId="0" applyFont="1" applyFill="1" applyBorder="1" applyAlignment="1">
      <alignment horizontal="center" vertical="center" wrapText="1"/>
    </xf>
    <xf numFmtId="0" fontId="15" fillId="14" borderId="50" xfId="0" applyFont="1" applyFill="1" applyBorder="1" applyAlignment="1">
      <alignment horizontal="center" vertical="top" wrapText="1"/>
    </xf>
    <xf numFmtId="0" fontId="15" fillId="14" borderId="51" xfId="0" applyFont="1" applyFill="1" applyBorder="1" applyAlignment="1">
      <alignment horizontal="center" vertical="top" wrapText="1"/>
    </xf>
    <xf numFmtId="0" fontId="15" fillId="14" borderId="38" xfId="0" applyFont="1" applyFill="1" applyBorder="1" applyAlignment="1">
      <alignment horizontal="center" vertical="top" wrapText="1"/>
    </xf>
    <xf numFmtId="0" fontId="18" fillId="0" borderId="37" xfId="0" applyFont="1" applyFill="1" applyBorder="1" applyAlignment="1">
      <alignment horizontal="left" vertical="top" wrapText="1"/>
    </xf>
    <xf numFmtId="0" fontId="18" fillId="0" borderId="38" xfId="0" applyFont="1" applyFill="1" applyBorder="1" applyAlignment="1">
      <alignment horizontal="left" vertical="top" wrapText="1"/>
    </xf>
    <xf numFmtId="0" fontId="2" fillId="14" borderId="54" xfId="0" applyFont="1" applyFill="1" applyBorder="1" applyAlignment="1">
      <alignment horizontal="left" vertical="top" wrapText="1"/>
    </xf>
    <xf numFmtId="0" fontId="2" fillId="14" borderId="55" xfId="0" applyFont="1" applyFill="1" applyBorder="1" applyAlignment="1">
      <alignment horizontal="left" vertical="top" wrapText="1"/>
    </xf>
    <xf numFmtId="0" fontId="2" fillId="14" borderId="56" xfId="0" applyFont="1" applyFill="1" applyBorder="1" applyAlignment="1">
      <alignment horizontal="left" vertical="top" wrapText="1"/>
    </xf>
    <xf numFmtId="0" fontId="2" fillId="14" borderId="0" xfId="0" applyFont="1" applyFill="1" applyBorder="1" applyAlignment="1">
      <alignment horizontal="left" vertical="top" wrapText="1"/>
    </xf>
    <xf numFmtId="0" fontId="2" fillId="14" borderId="48" xfId="0" applyFont="1" applyFill="1" applyBorder="1" applyAlignment="1">
      <alignment horizontal="left" vertical="top" wrapText="1"/>
    </xf>
    <xf numFmtId="0" fontId="2" fillId="14" borderId="57" xfId="0" applyFont="1" applyFill="1" applyBorder="1" applyAlignment="1">
      <alignment horizontal="left" vertical="top" wrapText="1"/>
    </xf>
    <xf numFmtId="0" fontId="2" fillId="14" borderId="52" xfId="0" applyFont="1" applyFill="1" applyBorder="1" applyAlignment="1">
      <alignment horizontal="center" vertical="top" wrapText="1"/>
    </xf>
    <xf numFmtId="0" fontId="2" fillId="14" borderId="46" xfId="0" applyFont="1" applyFill="1" applyBorder="1" applyAlignment="1">
      <alignment horizontal="center" vertical="top" wrapText="1"/>
    </xf>
    <xf numFmtId="0" fontId="2" fillId="14" borderId="45" xfId="0" applyFont="1" applyFill="1" applyBorder="1" applyAlignment="1">
      <alignment horizontal="center" vertical="top" wrapText="1"/>
    </xf>
    <xf numFmtId="0" fontId="16" fillId="14" borderId="37" xfId="0" applyFont="1" applyFill="1" applyBorder="1" applyAlignment="1">
      <alignment horizontal="left" vertical="top" wrapText="1" indent="2"/>
    </xf>
    <xf numFmtId="0" fontId="16" fillId="14" borderId="38" xfId="0" applyFont="1" applyFill="1" applyBorder="1" applyAlignment="1">
      <alignment horizontal="left" vertical="top" wrapText="1" indent="2"/>
    </xf>
    <xf numFmtId="0" fontId="0" fillId="15" borderId="37" xfId="0" applyFill="1" applyBorder="1" applyAlignment="1">
      <alignment horizontal="left" vertical="top" wrapText="1" indent="2"/>
    </xf>
    <xf numFmtId="0" fontId="0" fillId="15" borderId="38" xfId="0" applyFill="1" applyBorder="1" applyAlignment="1">
      <alignment horizontal="left" vertical="top" wrapText="1" indent="2"/>
    </xf>
    <xf numFmtId="0" fontId="16" fillId="0" borderId="38" xfId="0" applyFont="1" applyFill="1" applyBorder="1" applyAlignment="1">
      <alignment horizontal="left" vertical="top" wrapText="1" indent="2"/>
    </xf>
    <xf numFmtId="0" fontId="16" fillId="0" borderId="53" xfId="0" applyFont="1" applyFill="1" applyBorder="1" applyAlignment="1">
      <alignment horizontal="left" vertical="top" wrapText="1" indent="2"/>
    </xf>
    <xf numFmtId="0" fontId="0" fillId="16" borderId="53" xfId="0" applyFill="1" applyBorder="1" applyAlignment="1">
      <alignment horizontal="left" vertical="top" wrapText="1" indent="4"/>
    </xf>
    <xf numFmtId="0" fontId="16" fillId="0" borderId="37" xfId="0" applyFont="1" applyBorder="1" applyAlignment="1">
      <alignment horizontal="left" vertical="top" wrapText="1" indent="2"/>
    </xf>
    <xf numFmtId="0" fontId="0" fillId="0" borderId="38" xfId="0" applyFill="1" applyBorder="1" applyAlignment="1">
      <alignment horizontal="left" vertical="top" wrapText="1" indent="4"/>
    </xf>
    <xf numFmtId="0" fontId="0" fillId="0" borderId="53" xfId="0" applyFill="1" applyBorder="1" applyAlignment="1">
      <alignment horizontal="left" vertical="top" wrapText="1" indent="4"/>
    </xf>
    <xf numFmtId="0" fontId="19" fillId="16" borderId="37" xfId="0" applyFont="1" applyFill="1" applyBorder="1" applyAlignment="1">
      <alignment horizontal="left" vertical="top" wrapText="1" indent="4"/>
    </xf>
    <xf numFmtId="0" fontId="19" fillId="16" borderId="38" xfId="0" applyFont="1" applyFill="1" applyBorder="1" applyAlignment="1">
      <alignment horizontal="left" vertical="top" wrapText="1" indent="4"/>
    </xf>
    <xf numFmtId="0" fontId="19" fillId="15" borderId="37" xfId="0" applyFont="1" applyFill="1" applyBorder="1" applyAlignment="1">
      <alignment horizontal="left" vertical="top" wrapText="1" indent="2"/>
    </xf>
    <xf numFmtId="0" fontId="19" fillId="15" borderId="38" xfId="0" applyFont="1" applyFill="1" applyBorder="1" applyAlignment="1">
      <alignment horizontal="left" vertical="top" wrapText="1" indent="2"/>
    </xf>
    <xf numFmtId="0" fontId="35" fillId="0" borderId="0" xfId="0" applyFont="1" applyBorder="1" applyAlignment="1">
      <alignment horizontal="center" vertical="center"/>
    </xf>
  </cellXfs>
  <cellStyles count="6">
    <cellStyle name="Currency" xfId="3" builtinId="4"/>
    <cellStyle name="Hyperlink" xfId="2" builtinId="8"/>
    <cellStyle name="Normal" xfId="0" builtinId="0"/>
    <cellStyle name="Normal_FRS -RAPORT_1" xfId="1" xr:uid="{00000000-0005-0000-0000-000000000000}"/>
    <cellStyle name="Percent" xfId="5" builtinId="5"/>
    <cellStyle name="Обычный 2" xfId="4" xr:uid="{00000000-0005-0000-0000-000004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N38"/>
  <sheetViews>
    <sheetView showGridLines="0" tabSelected="1" zoomScale="90" workbookViewId="0">
      <selection activeCell="A7" sqref="A7"/>
    </sheetView>
  </sheetViews>
  <sheetFormatPr defaultColWidth="9.140625" defaultRowHeight="12.95"/>
  <cols>
    <col min="1" max="10" width="9.140625" style="36"/>
    <col min="11" max="11" width="5.5703125" style="36" customWidth="1"/>
    <col min="12" max="16384" width="9.140625" style="36"/>
  </cols>
  <sheetData>
    <row r="1" spans="1:14">
      <c r="A1" s="239" t="s"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</row>
    <row r="3" spans="1:14">
      <c r="A3" s="240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</row>
    <row r="5" spans="1:14">
      <c r="A5" s="36" t="s">
        <v>1</v>
      </c>
    </row>
    <row r="6" spans="1:14">
      <c r="A6" s="36" t="s">
        <v>2</v>
      </c>
    </row>
    <row r="7" spans="1:14">
      <c r="A7" s="36" t="s">
        <v>3</v>
      </c>
    </row>
    <row r="9" spans="1:14">
      <c r="A9" s="37" t="s">
        <v>4</v>
      </c>
    </row>
    <row r="10" spans="1:14">
      <c r="A10" s="36" t="s">
        <v>5</v>
      </c>
    </row>
    <row r="11" spans="1:14">
      <c r="A11" s="36" t="s">
        <v>6</v>
      </c>
    </row>
    <row r="13" spans="1:14">
      <c r="A13" s="37" t="s">
        <v>7</v>
      </c>
    </row>
    <row r="14" spans="1:14">
      <c r="A14" s="36" t="s">
        <v>8</v>
      </c>
    </row>
    <row r="15" spans="1:14">
      <c r="A15" s="36" t="s">
        <v>9</v>
      </c>
    </row>
    <row r="16" spans="1:14">
      <c r="A16" s="36" t="s">
        <v>10</v>
      </c>
    </row>
    <row r="17" spans="1:1">
      <c r="A17" s="36" t="s">
        <v>11</v>
      </c>
    </row>
    <row r="18" spans="1:1">
      <c r="A18" s="36" t="s">
        <v>12</v>
      </c>
    </row>
    <row r="19" spans="1:1">
      <c r="A19" s="36" t="s">
        <v>13</v>
      </c>
    </row>
    <row r="20" spans="1:1">
      <c r="A20" s="36" t="s">
        <v>14</v>
      </c>
    </row>
    <row r="21" spans="1:1">
      <c r="A21" s="36" t="s">
        <v>15</v>
      </c>
    </row>
    <row r="22" spans="1:1">
      <c r="A22" s="36" t="s">
        <v>16</v>
      </c>
    </row>
    <row r="23" spans="1:1">
      <c r="A23" s="36" t="s">
        <v>17</v>
      </c>
    </row>
    <row r="24" spans="1:1">
      <c r="A24" s="37" t="s">
        <v>18</v>
      </c>
    </row>
    <row r="25" spans="1:1">
      <c r="A25" s="36" t="s">
        <v>19</v>
      </c>
    </row>
    <row r="26" spans="1:1">
      <c r="A26" s="36" t="s">
        <v>20</v>
      </c>
    </row>
    <row r="28" spans="1:1">
      <c r="A28" s="37" t="s">
        <v>21</v>
      </c>
    </row>
    <row r="29" spans="1:1">
      <c r="A29" s="36" t="s">
        <v>22</v>
      </c>
    </row>
    <row r="31" spans="1:1">
      <c r="A31" s="37" t="s">
        <v>23</v>
      </c>
    </row>
    <row r="32" spans="1:1">
      <c r="A32" s="36" t="s">
        <v>24</v>
      </c>
    </row>
    <row r="36" spans="11:12">
      <c r="K36" s="63"/>
    </row>
    <row r="37" spans="11:12">
      <c r="K37" s="63"/>
    </row>
    <row r="38" spans="11:12">
      <c r="K38" s="65"/>
      <c r="L38" s="64"/>
    </row>
  </sheetData>
  <mergeCells count="2">
    <mergeCell ref="A1:N1"/>
    <mergeCell ref="A3:N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portrait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13">
    <pageSetUpPr fitToPage="1"/>
  </sheetPr>
  <dimension ref="A1:E107"/>
  <sheetViews>
    <sheetView zoomScale="70" zoomScaleNormal="70" workbookViewId="0">
      <selection activeCell="B3" sqref="B3:D101"/>
    </sheetView>
  </sheetViews>
  <sheetFormatPr defaultColWidth="9.140625" defaultRowHeight="15.6"/>
  <cols>
    <col min="1" max="1" width="31.42578125" style="72" customWidth="1"/>
    <col min="2" max="2" width="34.85546875" style="35" customWidth="1"/>
    <col min="3" max="3" width="29.140625" style="35" customWidth="1"/>
    <col min="4" max="4" width="28" style="35" customWidth="1"/>
    <col min="5" max="5" width="22.5703125" style="35" customWidth="1"/>
    <col min="6" max="6" width="9.140625" style="72"/>
    <col min="7" max="7" width="18" style="72" customWidth="1"/>
    <col min="8" max="16384" width="9.140625" style="72"/>
  </cols>
  <sheetData>
    <row r="1" spans="1:5" ht="12.75" customHeight="1">
      <c r="B1" s="275" t="s">
        <v>25</v>
      </c>
      <c r="C1" s="276"/>
      <c r="D1" s="276"/>
      <c r="E1" s="276"/>
    </row>
    <row r="2" spans="1:5" ht="12.75" customHeight="1">
      <c r="B2" s="277"/>
      <c r="C2" s="278"/>
      <c r="D2" s="278"/>
      <c r="E2" s="278"/>
    </row>
    <row r="3" spans="1:5" ht="16.5" customHeight="1">
      <c r="A3" s="73"/>
      <c r="B3" s="212" t="s">
        <v>26</v>
      </c>
      <c r="C3" s="213" t="s">
        <v>27</v>
      </c>
      <c r="D3" s="213" t="s">
        <v>28</v>
      </c>
      <c r="E3" s="201" t="s">
        <v>29</v>
      </c>
    </row>
    <row r="4" spans="1:5" ht="16.5" customHeight="1">
      <c r="A4" s="268" t="s">
        <v>30</v>
      </c>
      <c r="B4" s="214" t="s">
        <v>31</v>
      </c>
      <c r="C4" s="215"/>
      <c r="D4" s="216"/>
      <c r="E4" s="202">
        <f t="shared" ref="E4:E9" si="0">D4</f>
        <v>0</v>
      </c>
    </row>
    <row r="5" spans="1:5" ht="16.5" customHeight="1">
      <c r="A5" s="269"/>
      <c r="B5" s="214" t="s">
        <v>32</v>
      </c>
      <c r="C5" s="215"/>
      <c r="D5" s="216"/>
      <c r="E5" s="202">
        <f t="shared" si="0"/>
        <v>0</v>
      </c>
    </row>
    <row r="6" spans="1:5" ht="16.5" customHeight="1">
      <c r="A6" s="269"/>
      <c r="B6" s="214" t="s">
        <v>33</v>
      </c>
      <c r="C6" s="215"/>
      <c r="D6" s="216"/>
      <c r="E6" s="202">
        <f t="shared" si="0"/>
        <v>0</v>
      </c>
    </row>
    <row r="7" spans="1:5" ht="16.5" customHeight="1">
      <c r="A7" s="269"/>
      <c r="B7" s="214" t="s">
        <v>34</v>
      </c>
      <c r="C7" s="215"/>
      <c r="D7" s="216"/>
      <c r="E7" s="202">
        <f t="shared" si="0"/>
        <v>0</v>
      </c>
    </row>
    <row r="8" spans="1:5" ht="16.5" customHeight="1">
      <c r="A8" s="269"/>
      <c r="B8" s="214" t="s">
        <v>35</v>
      </c>
      <c r="C8" s="215"/>
      <c r="D8" s="216"/>
      <c r="E8" s="202">
        <f t="shared" si="0"/>
        <v>0</v>
      </c>
    </row>
    <row r="9" spans="1:5" ht="16.5" customHeight="1">
      <c r="A9" s="269"/>
      <c r="B9" s="214" t="s">
        <v>36</v>
      </c>
      <c r="C9" s="215"/>
      <c r="D9" s="216"/>
      <c r="E9" s="202">
        <f t="shared" si="0"/>
        <v>0</v>
      </c>
    </row>
    <row r="10" spans="1:5" ht="16.5" customHeight="1">
      <c r="A10" s="270"/>
      <c r="B10" s="217"/>
      <c r="C10" s="218" t="s">
        <v>37</v>
      </c>
      <c r="D10" s="219">
        <f>SUM(D4:D9)</f>
        <v>0</v>
      </c>
      <c r="E10" s="202">
        <f>SUM(E4:E9)</f>
        <v>0</v>
      </c>
    </row>
    <row r="11" spans="1:5" ht="16.5" customHeight="1">
      <c r="A11" s="271" t="s">
        <v>38</v>
      </c>
      <c r="B11" s="217" t="s">
        <v>39</v>
      </c>
      <c r="C11" s="220"/>
      <c r="D11" s="221"/>
      <c r="E11" s="279">
        <f>D11+D12+D13+D14+D15+D16+D17</f>
        <v>0</v>
      </c>
    </row>
    <row r="12" spans="1:5" ht="16.5" customHeight="1">
      <c r="A12" s="271"/>
      <c r="B12" s="217" t="s">
        <v>40</v>
      </c>
      <c r="C12" s="220"/>
      <c r="D12" s="216"/>
      <c r="E12" s="280"/>
    </row>
    <row r="13" spans="1:5" ht="16.5" customHeight="1">
      <c r="A13" s="271"/>
      <c r="B13" s="217" t="s">
        <v>41</v>
      </c>
      <c r="C13" s="220"/>
      <c r="D13" s="216"/>
      <c r="E13" s="280"/>
    </row>
    <row r="14" spans="1:5" ht="16.5" customHeight="1">
      <c r="A14" s="271"/>
      <c r="B14" s="217" t="s">
        <v>42</v>
      </c>
      <c r="C14" s="220"/>
      <c r="D14" s="216"/>
      <c r="E14" s="280"/>
    </row>
    <row r="15" spans="1:5" ht="16.5" customHeight="1">
      <c r="A15" s="271"/>
      <c r="B15" s="217" t="s">
        <v>43</v>
      </c>
      <c r="C15" s="220"/>
      <c r="D15" s="216"/>
      <c r="E15" s="280"/>
    </row>
    <row r="16" spans="1:5" ht="16.5" customHeight="1">
      <c r="A16" s="271"/>
      <c r="B16" s="217" t="s">
        <v>44</v>
      </c>
      <c r="C16" s="222"/>
      <c r="D16" s="216"/>
      <c r="E16" s="280"/>
    </row>
    <row r="17" spans="1:5" ht="16.5" hidden="1" customHeight="1">
      <c r="A17" s="271"/>
      <c r="B17" s="217"/>
      <c r="C17" s="216"/>
      <c r="D17" s="216"/>
      <c r="E17" s="280"/>
    </row>
    <row r="18" spans="1:5" ht="16.5" hidden="1" customHeight="1">
      <c r="A18" s="271"/>
      <c r="B18" s="217"/>
      <c r="C18" s="216"/>
      <c r="D18" s="216"/>
      <c r="E18" s="280"/>
    </row>
    <row r="19" spans="1:5" ht="16.5" hidden="1" customHeight="1">
      <c r="A19" s="271"/>
      <c r="B19" s="217"/>
      <c r="C19" s="216"/>
      <c r="D19" s="216"/>
      <c r="E19" s="280"/>
    </row>
    <row r="20" spans="1:5" ht="16.5" hidden="1" customHeight="1">
      <c r="A20" s="271"/>
      <c r="B20" s="217"/>
      <c r="C20" s="216"/>
      <c r="D20" s="216"/>
      <c r="E20" s="280"/>
    </row>
    <row r="21" spans="1:5" ht="16.5" hidden="1" customHeight="1">
      <c r="A21" s="271"/>
      <c r="B21" s="217"/>
      <c r="C21" s="216"/>
      <c r="D21" s="216"/>
      <c r="E21" s="280"/>
    </row>
    <row r="22" spans="1:5" ht="16.5" hidden="1" customHeight="1">
      <c r="A22" s="271"/>
      <c r="B22" s="217"/>
      <c r="C22" s="216"/>
      <c r="D22" s="216"/>
      <c r="E22" s="280"/>
    </row>
    <row r="23" spans="1:5" ht="16.5" hidden="1" customHeight="1">
      <c r="A23" s="271"/>
      <c r="B23" s="217"/>
      <c r="C23" s="216"/>
      <c r="D23" s="216"/>
      <c r="E23" s="281"/>
    </row>
    <row r="24" spans="1:5" ht="16.5" customHeight="1">
      <c r="A24" s="271"/>
      <c r="B24" s="217"/>
      <c r="C24" s="223" t="s">
        <v>37</v>
      </c>
      <c r="D24" s="219">
        <f>SUM(D11:D23)</f>
        <v>0</v>
      </c>
      <c r="E24" s="202">
        <f>E11</f>
        <v>0</v>
      </c>
    </row>
    <row r="25" spans="1:5" ht="16.5" customHeight="1">
      <c r="A25" s="272" t="s">
        <v>45</v>
      </c>
      <c r="B25" s="259" t="s">
        <v>46</v>
      </c>
      <c r="C25" s="224"/>
      <c r="D25" s="216"/>
      <c r="E25" s="247">
        <f>D25</f>
        <v>0</v>
      </c>
    </row>
    <row r="26" spans="1:5" ht="16.5" customHeight="1">
      <c r="A26" s="273"/>
      <c r="B26" s="260"/>
      <c r="C26" s="224"/>
      <c r="D26" s="216"/>
      <c r="E26" s="248"/>
    </row>
    <row r="27" spans="1:5" ht="16.5" customHeight="1">
      <c r="A27" s="273"/>
      <c r="B27" s="260"/>
      <c r="C27" s="224"/>
      <c r="D27" s="216"/>
      <c r="E27" s="249"/>
    </row>
    <row r="28" spans="1:5" ht="16.5" customHeight="1">
      <c r="A28" s="273"/>
      <c r="B28" s="261"/>
      <c r="C28" s="223" t="s">
        <v>37</v>
      </c>
      <c r="D28" s="219">
        <f>SUM(D25:D27)</f>
        <v>0</v>
      </c>
      <c r="E28" s="202">
        <f>E25</f>
        <v>0</v>
      </c>
    </row>
    <row r="29" spans="1:5" ht="16.5" customHeight="1">
      <c r="A29" s="273"/>
      <c r="B29" s="259" t="s">
        <v>47</v>
      </c>
      <c r="C29" s="224"/>
      <c r="D29" s="216"/>
      <c r="E29" s="247">
        <f>D29+D30+D31</f>
        <v>0</v>
      </c>
    </row>
    <row r="30" spans="1:5" ht="16.5" customHeight="1">
      <c r="A30" s="273"/>
      <c r="B30" s="260"/>
      <c r="C30" s="224"/>
      <c r="D30" s="216"/>
      <c r="E30" s="248"/>
    </row>
    <row r="31" spans="1:5" ht="16.5" customHeight="1">
      <c r="A31" s="273"/>
      <c r="B31" s="260"/>
      <c r="C31" s="224"/>
      <c r="D31" s="216"/>
      <c r="E31" s="249"/>
    </row>
    <row r="32" spans="1:5" ht="16.5" customHeight="1">
      <c r="A32" s="273"/>
      <c r="B32" s="261"/>
      <c r="C32" s="223" t="s">
        <v>37</v>
      </c>
      <c r="D32" s="219">
        <f>SUM(D29:D31)</f>
        <v>0</v>
      </c>
      <c r="E32" s="202">
        <f>E29</f>
        <v>0</v>
      </c>
    </row>
    <row r="33" spans="1:5" ht="16.5" customHeight="1">
      <c r="A33" s="273"/>
      <c r="B33" s="259" t="s">
        <v>48</v>
      </c>
      <c r="C33" s="224"/>
      <c r="D33" s="216"/>
      <c r="E33" s="247">
        <f>D33+D34+D35</f>
        <v>0</v>
      </c>
    </row>
    <row r="34" spans="1:5" ht="16.5" customHeight="1">
      <c r="A34" s="273"/>
      <c r="B34" s="260"/>
      <c r="C34" s="224"/>
      <c r="D34" s="216"/>
      <c r="E34" s="248"/>
    </row>
    <row r="35" spans="1:5" ht="16.5" customHeight="1">
      <c r="A35" s="273"/>
      <c r="B35" s="260"/>
      <c r="C35" s="224"/>
      <c r="D35" s="216"/>
      <c r="E35" s="248"/>
    </row>
    <row r="36" spans="1:5" ht="16.5" customHeight="1">
      <c r="A36" s="273"/>
      <c r="B36" s="261"/>
      <c r="C36" s="223" t="s">
        <v>37</v>
      </c>
      <c r="D36" s="219">
        <f>SUM(D33:D35)</f>
        <v>0</v>
      </c>
      <c r="E36" s="202">
        <f>E33</f>
        <v>0</v>
      </c>
    </row>
    <row r="37" spans="1:5" ht="16.5" customHeight="1">
      <c r="A37" s="273"/>
      <c r="B37" s="259" t="s">
        <v>49</v>
      </c>
      <c r="C37" s="224"/>
      <c r="D37" s="216"/>
      <c r="E37" s="247">
        <f>D37+D38+D39+D40+D41</f>
        <v>0</v>
      </c>
    </row>
    <row r="38" spans="1:5" ht="16.5" customHeight="1">
      <c r="A38" s="273"/>
      <c r="B38" s="260"/>
      <c r="C38" s="224"/>
      <c r="D38" s="216"/>
      <c r="E38" s="248"/>
    </row>
    <row r="39" spans="1:5" ht="16.5" customHeight="1">
      <c r="A39" s="273"/>
      <c r="B39" s="260"/>
      <c r="C39" s="224"/>
      <c r="D39" s="216"/>
      <c r="E39" s="248"/>
    </row>
    <row r="40" spans="1:5" ht="16.5" customHeight="1">
      <c r="A40" s="273"/>
      <c r="B40" s="260"/>
      <c r="C40" s="224"/>
      <c r="D40" s="216"/>
      <c r="E40" s="248"/>
    </row>
    <row r="41" spans="1:5" ht="16.5" customHeight="1">
      <c r="A41" s="273"/>
      <c r="B41" s="260"/>
      <c r="C41" s="224"/>
      <c r="D41" s="216"/>
      <c r="E41" s="249"/>
    </row>
    <row r="42" spans="1:5" ht="16.5" customHeight="1">
      <c r="A42" s="273"/>
      <c r="B42" s="261"/>
      <c r="C42" s="223" t="s">
        <v>37</v>
      </c>
      <c r="D42" s="219">
        <f>SUM(D37:D41)</f>
        <v>0</v>
      </c>
      <c r="E42" s="202">
        <f>E37</f>
        <v>0</v>
      </c>
    </row>
    <row r="43" spans="1:5" ht="16.5" customHeight="1">
      <c r="A43" s="273"/>
      <c r="B43" s="259" t="s">
        <v>50</v>
      </c>
      <c r="C43" s="224"/>
      <c r="D43" s="216"/>
      <c r="E43" s="254">
        <f>D43+D44+D45+D47</f>
        <v>0</v>
      </c>
    </row>
    <row r="44" spans="1:5" ht="16.5" customHeight="1">
      <c r="A44" s="273"/>
      <c r="B44" s="260"/>
      <c r="C44" s="224"/>
      <c r="D44" s="216"/>
      <c r="E44" s="255"/>
    </row>
    <row r="45" spans="1:5" ht="16.5" customHeight="1">
      <c r="A45" s="273"/>
      <c r="B45" s="260"/>
      <c r="C45" s="224"/>
      <c r="D45" s="216"/>
      <c r="E45" s="255"/>
    </row>
    <row r="46" spans="1:5" ht="16.5" customHeight="1">
      <c r="A46" s="273"/>
      <c r="B46" s="260"/>
      <c r="C46" s="224"/>
      <c r="D46" s="216"/>
      <c r="E46" s="255"/>
    </row>
    <row r="47" spans="1:5" ht="16.5" customHeight="1">
      <c r="A47" s="273"/>
      <c r="B47" s="260"/>
      <c r="C47" s="224"/>
      <c r="D47" s="216"/>
      <c r="E47" s="256"/>
    </row>
    <row r="48" spans="1:5" ht="16.5" customHeight="1">
      <c r="A48" s="273"/>
      <c r="B48" s="261"/>
      <c r="C48" s="223" t="s">
        <v>37</v>
      </c>
      <c r="D48" s="219">
        <f>SUM(D43:D47)</f>
        <v>0</v>
      </c>
      <c r="E48" s="202">
        <f>E43</f>
        <v>0</v>
      </c>
    </row>
    <row r="49" spans="1:5" ht="16.5" customHeight="1">
      <c r="A49" s="273"/>
      <c r="B49" s="259" t="s">
        <v>51</v>
      </c>
      <c r="C49" s="224"/>
      <c r="D49" s="216"/>
      <c r="E49" s="247">
        <f>D49+D50+D51</f>
        <v>0</v>
      </c>
    </row>
    <row r="50" spans="1:5" ht="16.5" customHeight="1">
      <c r="A50" s="273"/>
      <c r="B50" s="260"/>
      <c r="C50" s="224"/>
      <c r="D50" s="216"/>
      <c r="E50" s="248"/>
    </row>
    <row r="51" spans="1:5" ht="16.5" customHeight="1">
      <c r="A51" s="273"/>
      <c r="B51" s="260"/>
      <c r="C51" s="224"/>
      <c r="D51" s="216"/>
      <c r="E51" s="248"/>
    </row>
    <row r="52" spans="1:5" ht="16.5" customHeight="1">
      <c r="A52" s="273"/>
      <c r="B52" s="261"/>
      <c r="C52" s="223" t="s">
        <v>37</v>
      </c>
      <c r="D52" s="219">
        <f>SUM(D49:D51)</f>
        <v>0</v>
      </c>
      <c r="E52" s="202">
        <f>E49</f>
        <v>0</v>
      </c>
    </row>
    <row r="53" spans="1:5" ht="16.5" customHeight="1">
      <c r="A53" s="273"/>
      <c r="B53" s="259" t="s">
        <v>52</v>
      </c>
      <c r="C53" s="224"/>
      <c r="D53" s="216"/>
      <c r="E53" s="247">
        <f>D53+D54+D55</f>
        <v>0</v>
      </c>
    </row>
    <row r="54" spans="1:5" ht="16.5" customHeight="1">
      <c r="A54" s="273"/>
      <c r="B54" s="260"/>
      <c r="C54" s="224"/>
      <c r="D54" s="216"/>
      <c r="E54" s="248"/>
    </row>
    <row r="55" spans="1:5" ht="16.5" customHeight="1">
      <c r="A55" s="273"/>
      <c r="B55" s="260"/>
      <c r="C55" s="225"/>
      <c r="D55" s="216"/>
      <c r="E55" s="249"/>
    </row>
    <row r="56" spans="1:5" ht="16.5" customHeight="1">
      <c r="A56" s="273"/>
      <c r="B56" s="261"/>
      <c r="C56" s="223" t="s">
        <v>37</v>
      </c>
      <c r="D56" s="219">
        <f>D53+D54+D55</f>
        <v>0</v>
      </c>
      <c r="E56" s="202">
        <f>E53</f>
        <v>0</v>
      </c>
    </row>
    <row r="57" spans="1:5" ht="16.5" customHeight="1">
      <c r="A57" s="273"/>
      <c r="B57" s="262" t="s">
        <v>53</v>
      </c>
      <c r="C57" s="225"/>
      <c r="D57" s="216"/>
      <c r="E57" s="247">
        <f>D59</f>
        <v>0</v>
      </c>
    </row>
    <row r="58" spans="1:5" ht="16.5" customHeight="1">
      <c r="A58" s="273"/>
      <c r="B58" s="263"/>
      <c r="C58" s="225"/>
      <c r="D58" s="216"/>
      <c r="E58" s="248"/>
    </row>
    <row r="59" spans="1:5" ht="16.5" customHeight="1">
      <c r="A59" s="273"/>
      <c r="B59" s="264"/>
      <c r="C59" s="223" t="s">
        <v>37</v>
      </c>
      <c r="D59" s="219">
        <f>D57+D58</f>
        <v>0</v>
      </c>
      <c r="E59" s="202">
        <f>E57</f>
        <v>0</v>
      </c>
    </row>
    <row r="60" spans="1:5" ht="16.5" customHeight="1">
      <c r="A60" s="273"/>
      <c r="B60" s="265" t="s">
        <v>54</v>
      </c>
      <c r="C60" s="224"/>
      <c r="D60" s="216"/>
      <c r="E60" s="247">
        <f>D60</f>
        <v>0</v>
      </c>
    </row>
    <row r="61" spans="1:5" ht="16.5" customHeight="1">
      <c r="A61" s="273"/>
      <c r="B61" s="266"/>
      <c r="C61" s="224"/>
      <c r="D61" s="216"/>
      <c r="E61" s="249"/>
    </row>
    <row r="62" spans="1:5" ht="16.5" customHeight="1">
      <c r="A62" s="273"/>
      <c r="B62" s="267"/>
      <c r="C62" s="223" t="s">
        <v>37</v>
      </c>
      <c r="D62" s="219">
        <f>SUM(D60:D61)</f>
        <v>0</v>
      </c>
      <c r="E62" s="202">
        <f>E60</f>
        <v>0</v>
      </c>
    </row>
    <row r="63" spans="1:5" ht="16.5" customHeight="1">
      <c r="A63" s="273"/>
      <c r="B63" s="265" t="s">
        <v>55</v>
      </c>
      <c r="C63" s="224"/>
      <c r="D63" s="216"/>
      <c r="E63" s="247">
        <f>D64+D63</f>
        <v>0</v>
      </c>
    </row>
    <row r="64" spans="1:5" ht="16.5" customHeight="1">
      <c r="A64" s="273"/>
      <c r="B64" s="266"/>
      <c r="C64" s="224"/>
      <c r="D64" s="216"/>
      <c r="E64" s="248"/>
    </row>
    <row r="65" spans="1:5" ht="16.5" customHeight="1">
      <c r="A65" s="273"/>
      <c r="B65" s="266"/>
      <c r="C65" s="224"/>
      <c r="D65" s="216"/>
      <c r="E65" s="249"/>
    </row>
    <row r="66" spans="1:5" ht="16.5" customHeight="1">
      <c r="A66" s="273"/>
      <c r="B66" s="267"/>
      <c r="C66" s="223" t="s">
        <v>37</v>
      </c>
      <c r="D66" s="219">
        <f>D63+D64+D65</f>
        <v>0</v>
      </c>
      <c r="E66" s="202">
        <f>E63</f>
        <v>0</v>
      </c>
    </row>
    <row r="67" spans="1:5" ht="16.5" customHeight="1">
      <c r="A67" s="273"/>
      <c r="B67" s="262" t="s">
        <v>56</v>
      </c>
      <c r="C67" s="224"/>
      <c r="D67" s="216"/>
      <c r="E67" s="247">
        <f>D67+D68+D69</f>
        <v>0</v>
      </c>
    </row>
    <row r="68" spans="1:5" ht="16.5" customHeight="1">
      <c r="A68" s="273"/>
      <c r="B68" s="263"/>
      <c r="C68" s="224"/>
      <c r="D68" s="216"/>
      <c r="E68" s="248"/>
    </row>
    <row r="69" spans="1:5" ht="16.5" customHeight="1">
      <c r="A69" s="273"/>
      <c r="B69" s="263"/>
      <c r="C69" s="224"/>
      <c r="D69" s="216"/>
      <c r="E69" s="249"/>
    </row>
    <row r="70" spans="1:5" ht="16.5" customHeight="1">
      <c r="A70" s="274"/>
      <c r="B70" s="264"/>
      <c r="C70" s="223" t="s">
        <v>37</v>
      </c>
      <c r="D70" s="219">
        <f>D67+D68+D69</f>
        <v>0</v>
      </c>
      <c r="E70" s="202">
        <f>E67</f>
        <v>0</v>
      </c>
    </row>
    <row r="71" spans="1:5" ht="16.5" customHeight="1">
      <c r="A71" s="241" t="s">
        <v>57</v>
      </c>
      <c r="B71" s="265" t="s">
        <v>58</v>
      </c>
      <c r="C71" s="224"/>
      <c r="D71" s="216"/>
      <c r="E71" s="247">
        <f>D71</f>
        <v>0</v>
      </c>
    </row>
    <row r="72" spans="1:5" ht="16.5" customHeight="1">
      <c r="A72" s="242"/>
      <c r="B72" s="266"/>
      <c r="C72" s="224"/>
      <c r="D72" s="216"/>
      <c r="E72" s="249"/>
    </row>
    <row r="73" spans="1:5" ht="16.5" customHeight="1">
      <c r="A73" s="242"/>
      <c r="B73" s="267"/>
      <c r="C73" s="223" t="s">
        <v>37</v>
      </c>
      <c r="D73" s="219">
        <f>SUM(D71:D72)</f>
        <v>0</v>
      </c>
      <c r="E73" s="202">
        <f>E71</f>
        <v>0</v>
      </c>
    </row>
    <row r="74" spans="1:5" ht="16.5" customHeight="1">
      <c r="A74" s="242"/>
      <c r="B74" s="265" t="s">
        <v>59</v>
      </c>
      <c r="C74" s="224"/>
      <c r="D74" s="216"/>
      <c r="E74" s="247">
        <f>D75+D74</f>
        <v>0</v>
      </c>
    </row>
    <row r="75" spans="1:5" ht="16.5" customHeight="1">
      <c r="A75" s="242"/>
      <c r="B75" s="266"/>
      <c r="C75" s="224"/>
      <c r="D75" s="216"/>
      <c r="E75" s="248"/>
    </row>
    <row r="76" spans="1:5" ht="16.5" customHeight="1">
      <c r="A76" s="242"/>
      <c r="B76" s="266"/>
      <c r="C76" s="224"/>
      <c r="D76" s="216"/>
      <c r="E76" s="249"/>
    </row>
    <row r="77" spans="1:5" ht="16.5" customHeight="1">
      <c r="A77" s="243"/>
      <c r="B77" s="267"/>
      <c r="C77" s="223" t="s">
        <v>37</v>
      </c>
      <c r="D77" s="219">
        <f>D74+D75+D76</f>
        <v>0</v>
      </c>
      <c r="E77" s="202">
        <f>E74</f>
        <v>0</v>
      </c>
    </row>
    <row r="78" spans="1:5" ht="16.5" customHeight="1">
      <c r="A78" s="285" t="s">
        <v>60</v>
      </c>
      <c r="B78" s="250" t="s">
        <v>61</v>
      </c>
      <c r="C78" s="223"/>
      <c r="D78" s="219"/>
      <c r="E78" s="254"/>
    </row>
    <row r="79" spans="1:5" ht="16.5" customHeight="1">
      <c r="A79" s="286"/>
      <c r="B79" s="250"/>
      <c r="C79" s="223"/>
      <c r="D79" s="219"/>
      <c r="E79" s="255"/>
    </row>
    <row r="80" spans="1:5" ht="16.5" customHeight="1">
      <c r="A80" s="286"/>
      <c r="B80" s="250"/>
      <c r="C80" s="223"/>
      <c r="D80" s="219"/>
      <c r="E80" s="256"/>
    </row>
    <row r="81" spans="1:5" ht="16.5" customHeight="1">
      <c r="A81" s="286"/>
      <c r="B81" s="250"/>
      <c r="C81" s="223" t="s">
        <v>37</v>
      </c>
      <c r="D81" s="219">
        <f>D78+D79+D80</f>
        <v>0</v>
      </c>
      <c r="E81" s="203"/>
    </row>
    <row r="82" spans="1:5" ht="16.5" customHeight="1">
      <c r="A82" s="286"/>
      <c r="B82" s="251" t="s">
        <v>62</v>
      </c>
      <c r="C82" s="223"/>
      <c r="D82" s="219"/>
      <c r="E82" s="254"/>
    </row>
    <row r="83" spans="1:5" ht="16.5" customHeight="1">
      <c r="A83" s="286"/>
      <c r="B83" s="252"/>
      <c r="C83" s="223"/>
      <c r="D83" s="219"/>
      <c r="E83" s="255"/>
    </row>
    <row r="84" spans="1:5" ht="16.5" customHeight="1">
      <c r="A84" s="286"/>
      <c r="B84" s="252"/>
      <c r="C84" s="223"/>
      <c r="D84" s="219"/>
      <c r="E84" s="256"/>
    </row>
    <row r="85" spans="1:5" ht="16.5" customHeight="1">
      <c r="A85" s="286"/>
      <c r="B85" s="253"/>
      <c r="C85" s="223" t="s">
        <v>37</v>
      </c>
      <c r="D85" s="219">
        <f>D82+D83+D84</f>
        <v>0</v>
      </c>
      <c r="E85" s="203"/>
    </row>
    <row r="86" spans="1:5" ht="16.5" customHeight="1">
      <c r="A86" s="286"/>
      <c r="B86" s="244" t="s">
        <v>63</v>
      </c>
      <c r="C86" s="224"/>
      <c r="D86" s="216"/>
      <c r="E86" s="247">
        <f>D86+D87+D88</f>
        <v>0</v>
      </c>
    </row>
    <row r="87" spans="1:5" ht="16.5" customHeight="1">
      <c r="A87" s="286"/>
      <c r="B87" s="245"/>
      <c r="C87" s="224"/>
      <c r="D87" s="216"/>
      <c r="E87" s="248"/>
    </row>
    <row r="88" spans="1:5" ht="16.5" customHeight="1">
      <c r="A88" s="286"/>
      <c r="B88" s="245"/>
      <c r="C88" s="224"/>
      <c r="D88" s="216"/>
      <c r="E88" s="249"/>
    </row>
    <row r="89" spans="1:5" ht="16.5" customHeight="1">
      <c r="A89" s="287"/>
      <c r="B89" s="246"/>
      <c r="C89" s="223" t="s">
        <v>37</v>
      </c>
      <c r="D89" s="219">
        <f>D86+D87+D88</f>
        <v>0</v>
      </c>
      <c r="E89" s="202">
        <f>E86</f>
        <v>0</v>
      </c>
    </row>
    <row r="90" spans="1:5" ht="16.5" customHeight="1">
      <c r="A90" s="282" t="s">
        <v>64</v>
      </c>
      <c r="B90" s="265" t="s">
        <v>65</v>
      </c>
      <c r="C90" s="223"/>
      <c r="D90" s="219"/>
      <c r="E90" s="203"/>
    </row>
    <row r="91" spans="1:5" ht="16.5" customHeight="1">
      <c r="A91" s="283"/>
      <c r="B91" s="266"/>
      <c r="C91" s="223"/>
      <c r="D91" s="219"/>
      <c r="E91" s="203"/>
    </row>
    <row r="92" spans="1:5" ht="16.5" customHeight="1">
      <c r="A92" s="283"/>
      <c r="B92" s="266"/>
      <c r="C92" s="223"/>
      <c r="D92" s="219"/>
      <c r="E92" s="203"/>
    </row>
    <row r="93" spans="1:5" ht="16.5" customHeight="1">
      <c r="A93" s="283"/>
      <c r="B93" s="267"/>
      <c r="C93" s="223" t="s">
        <v>37</v>
      </c>
      <c r="D93" s="219">
        <f>D90+D91+D92</f>
        <v>0</v>
      </c>
      <c r="E93" s="203"/>
    </row>
    <row r="94" spans="1:5" ht="16.5" customHeight="1">
      <c r="A94" s="283"/>
      <c r="B94" s="265" t="s">
        <v>66</v>
      </c>
      <c r="C94" s="223"/>
      <c r="D94" s="219"/>
      <c r="E94" s="203"/>
    </row>
    <row r="95" spans="1:5" ht="16.5" customHeight="1">
      <c r="A95" s="283"/>
      <c r="B95" s="266"/>
      <c r="C95" s="223"/>
      <c r="D95" s="219"/>
      <c r="E95" s="203"/>
    </row>
    <row r="96" spans="1:5" ht="16.5" customHeight="1">
      <c r="A96" s="283"/>
      <c r="B96" s="266"/>
      <c r="C96" s="223"/>
      <c r="D96" s="219"/>
      <c r="E96" s="203"/>
    </row>
    <row r="97" spans="1:5" ht="16.5" customHeight="1">
      <c r="A97" s="283"/>
      <c r="B97" s="267"/>
      <c r="C97" s="223" t="s">
        <v>37</v>
      </c>
      <c r="D97" s="219">
        <f>D94+D95+D96</f>
        <v>0</v>
      </c>
      <c r="E97" s="203"/>
    </row>
    <row r="98" spans="1:5" ht="16.5" customHeight="1">
      <c r="A98" s="283"/>
      <c r="B98" s="244" t="s">
        <v>67</v>
      </c>
      <c r="C98" s="224"/>
      <c r="D98" s="216"/>
      <c r="E98" s="247">
        <f>D98+D99+D100</f>
        <v>0</v>
      </c>
    </row>
    <row r="99" spans="1:5" ht="16.5" customHeight="1">
      <c r="A99" s="283"/>
      <c r="B99" s="245"/>
      <c r="C99" s="224"/>
      <c r="D99" s="216"/>
      <c r="E99" s="248"/>
    </row>
    <row r="100" spans="1:5" ht="16.5" customHeight="1">
      <c r="A100" s="283"/>
      <c r="B100" s="245"/>
      <c r="C100" s="224"/>
      <c r="D100" s="216"/>
      <c r="E100" s="249"/>
    </row>
    <row r="101" spans="1:5" ht="16.5" customHeight="1">
      <c r="A101" s="284"/>
      <c r="B101" s="246"/>
      <c r="C101" s="223" t="s">
        <v>37</v>
      </c>
      <c r="D101" s="219">
        <f>D98+D99+D100</f>
        <v>0</v>
      </c>
      <c r="E101" s="202">
        <f>E98</f>
        <v>0</v>
      </c>
    </row>
    <row r="102" spans="1:5">
      <c r="A102" s="73"/>
      <c r="B102" s="257" t="s">
        <v>68</v>
      </c>
      <c r="C102" s="258"/>
      <c r="D102" s="202">
        <f>D10+D24+D28+D32+D36+D42+D48+D52+D56+D59+D73+D77+D101</f>
        <v>0</v>
      </c>
      <c r="E102" s="202">
        <f>E10+E24+E28+E32+E36+E42+E48+E52+E56+E59+E73+E77+E101</f>
        <v>0</v>
      </c>
    </row>
    <row r="104" spans="1:5">
      <c r="B104" s="35" t="s">
        <v>69</v>
      </c>
      <c r="C104" s="35" t="s">
        <v>70</v>
      </c>
    </row>
    <row r="105" spans="1:5">
      <c r="C105" s="35" t="s">
        <v>71</v>
      </c>
    </row>
    <row r="107" spans="1:5">
      <c r="C107" s="35" t="s">
        <v>37</v>
      </c>
    </row>
  </sheetData>
  <mergeCells count="45">
    <mergeCell ref="A90:A101"/>
    <mergeCell ref="A78:A89"/>
    <mergeCell ref="B90:B93"/>
    <mergeCell ref="B94:B97"/>
    <mergeCell ref="E98:E100"/>
    <mergeCell ref="B98:B101"/>
    <mergeCell ref="B1:E2"/>
    <mergeCell ref="B25:B28"/>
    <mergeCell ref="B29:B32"/>
    <mergeCell ref="B33:B36"/>
    <mergeCell ref="B37:B42"/>
    <mergeCell ref="E25:E27"/>
    <mergeCell ref="E11:E23"/>
    <mergeCell ref="E29:E31"/>
    <mergeCell ref="E33:E35"/>
    <mergeCell ref="E37:E41"/>
    <mergeCell ref="A4:A10"/>
    <mergeCell ref="A11:A24"/>
    <mergeCell ref="B60:B62"/>
    <mergeCell ref="E60:E61"/>
    <mergeCell ref="A25:A70"/>
    <mergeCell ref="B63:B66"/>
    <mergeCell ref="B67:B70"/>
    <mergeCell ref="B43:B48"/>
    <mergeCell ref="E43:E47"/>
    <mergeCell ref="B49:B52"/>
    <mergeCell ref="E49:E51"/>
    <mergeCell ref="E53:E55"/>
    <mergeCell ref="E57:E58"/>
    <mergeCell ref="E63:E65"/>
    <mergeCell ref="E67:E69"/>
    <mergeCell ref="B102:C102"/>
    <mergeCell ref="B53:B56"/>
    <mergeCell ref="B57:B59"/>
    <mergeCell ref="B71:B73"/>
    <mergeCell ref="B74:B77"/>
    <mergeCell ref="A71:A77"/>
    <mergeCell ref="B86:B89"/>
    <mergeCell ref="E86:E88"/>
    <mergeCell ref="B78:B81"/>
    <mergeCell ref="B82:B85"/>
    <mergeCell ref="E78:E80"/>
    <mergeCell ref="E82:E84"/>
    <mergeCell ref="E74:E76"/>
    <mergeCell ref="E71:E72"/>
  </mergeCells>
  <phoneticPr fontId="0" type="noConversion"/>
  <pageMargins left="0.75" right="0.75" top="1" bottom="1" header="0.5" footer="0.5"/>
  <pageSetup paperSize="9" scale="4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AU312"/>
  <sheetViews>
    <sheetView zoomScale="70" zoomScaleNormal="70" workbookViewId="0">
      <pane xSplit="4" ySplit="2" topLeftCell="E3" activePane="bottomRight" state="frozen"/>
      <selection pane="bottomRight" activeCell="I7" sqref="I7"/>
      <selection pane="bottomLeft" activeCell="C3" sqref="C3"/>
      <selection pane="topRight" activeCell="E1" sqref="E1"/>
    </sheetView>
  </sheetViews>
  <sheetFormatPr defaultColWidth="9.140625" defaultRowHeight="12.6"/>
  <cols>
    <col min="1" max="1" width="15.85546875" style="2" hidden="1" customWidth="1"/>
    <col min="2" max="2" width="19.140625" style="2" hidden="1" customWidth="1"/>
    <col min="3" max="3" width="21.42578125" style="2" hidden="1" customWidth="1"/>
    <col min="4" max="4" width="30.140625" style="2" customWidth="1"/>
    <col min="5" max="5" width="11.5703125" style="2" customWidth="1"/>
    <col min="6" max="6" width="14.5703125" style="2" customWidth="1"/>
    <col min="7" max="9" width="11.140625" style="2" customWidth="1"/>
    <col min="10" max="24" width="11.140625" style="5" customWidth="1"/>
    <col min="25" max="25" width="12.42578125" style="5" customWidth="1"/>
    <col min="26" max="35" width="11.140625" style="5" customWidth="1"/>
    <col min="36" max="36" width="11.140625" style="2" customWidth="1"/>
    <col min="37" max="38" width="6.5703125" style="2" customWidth="1"/>
    <col min="39" max="46" width="9.140625" style="2"/>
    <col min="47" max="47" width="11.5703125" style="2" customWidth="1"/>
    <col min="48" max="16384" width="9.140625" style="2"/>
  </cols>
  <sheetData>
    <row r="1" spans="1:46">
      <c r="A1" s="3">
        <v>39753</v>
      </c>
      <c r="B1" s="4"/>
      <c r="C1" s="4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</row>
    <row r="2" spans="1:46">
      <c r="A2" s="3">
        <v>39783</v>
      </c>
      <c r="B2" s="4"/>
      <c r="C2" s="4"/>
      <c r="E2" s="22">
        <v>1</v>
      </c>
      <c r="F2" s="22">
        <v>2</v>
      </c>
      <c r="G2" s="22">
        <v>3</v>
      </c>
      <c r="H2" s="23">
        <v>4</v>
      </c>
      <c r="I2" s="23">
        <v>5</v>
      </c>
      <c r="J2" s="23">
        <v>6</v>
      </c>
      <c r="K2" s="23">
        <v>7</v>
      </c>
      <c r="L2" s="23">
        <v>8</v>
      </c>
      <c r="M2" s="23">
        <v>9</v>
      </c>
      <c r="N2" s="23">
        <v>10</v>
      </c>
      <c r="O2" s="23">
        <v>11</v>
      </c>
      <c r="P2" s="23">
        <v>12</v>
      </c>
      <c r="Q2" s="23">
        <v>13</v>
      </c>
      <c r="R2" s="23">
        <v>14</v>
      </c>
      <c r="S2" s="23">
        <v>15</v>
      </c>
      <c r="T2" s="23">
        <v>16</v>
      </c>
      <c r="U2" s="23">
        <v>17</v>
      </c>
      <c r="V2" s="23">
        <v>18</v>
      </c>
      <c r="W2" s="23">
        <v>19</v>
      </c>
      <c r="X2" s="23">
        <v>20</v>
      </c>
      <c r="Y2" s="23">
        <v>21</v>
      </c>
      <c r="Z2" s="23">
        <v>22</v>
      </c>
      <c r="AA2" s="23">
        <v>23</v>
      </c>
      <c r="AB2" s="23">
        <v>24</v>
      </c>
      <c r="AC2" s="23">
        <v>25</v>
      </c>
      <c r="AD2" s="23">
        <v>26</v>
      </c>
      <c r="AE2" s="23">
        <v>27</v>
      </c>
      <c r="AF2" s="23">
        <v>28</v>
      </c>
      <c r="AG2" s="23">
        <v>29</v>
      </c>
      <c r="AH2" s="23">
        <v>30</v>
      </c>
      <c r="AI2" s="23">
        <v>31</v>
      </c>
    </row>
    <row r="3" spans="1:46" ht="12.95" thickBot="1">
      <c r="A3" s="3">
        <v>39814</v>
      </c>
      <c r="B3" s="4"/>
      <c r="C3" s="4"/>
      <c r="I3" s="4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</row>
    <row r="4" spans="1:46" ht="18" thickBot="1">
      <c r="A4" s="3">
        <v>39845</v>
      </c>
      <c r="B4" s="6"/>
      <c r="C4" s="6"/>
      <c r="D4" s="24" t="s">
        <v>72</v>
      </c>
      <c r="E4" s="25"/>
      <c r="F4" s="1"/>
      <c r="J4" s="227"/>
      <c r="K4" s="227"/>
      <c r="L4" s="227"/>
      <c r="M4" s="227"/>
      <c r="N4" s="227"/>
      <c r="O4" s="7"/>
      <c r="P4" s="8">
        <v>38018</v>
      </c>
      <c r="Q4" s="8">
        <v>38047</v>
      </c>
      <c r="R4" s="8">
        <v>38078</v>
      </c>
      <c r="S4" s="8">
        <v>38108</v>
      </c>
      <c r="T4" s="8">
        <v>38139</v>
      </c>
      <c r="U4" s="8">
        <v>38169</v>
      </c>
      <c r="V4" s="8">
        <v>38200</v>
      </c>
      <c r="W4" s="8">
        <v>38231</v>
      </c>
      <c r="X4" s="8">
        <v>38261</v>
      </c>
      <c r="Y4" s="8">
        <v>38292</v>
      </c>
      <c r="Z4" s="8">
        <v>38322</v>
      </c>
      <c r="AA4" s="8">
        <v>38353</v>
      </c>
      <c r="AB4" s="8">
        <v>38384</v>
      </c>
      <c r="AC4" s="8">
        <v>38412</v>
      </c>
      <c r="AD4" s="8">
        <v>38443</v>
      </c>
      <c r="AE4" s="8">
        <v>38473</v>
      </c>
      <c r="AF4" s="8">
        <v>38504</v>
      </c>
      <c r="AG4" s="227"/>
      <c r="AH4" s="227"/>
      <c r="AI4" s="227"/>
    </row>
    <row r="5" spans="1:46">
      <c r="A5" s="3">
        <v>39873</v>
      </c>
      <c r="B5" s="4"/>
      <c r="C5" s="4"/>
      <c r="J5" s="227"/>
      <c r="K5" s="227"/>
      <c r="L5" s="227"/>
      <c r="M5" s="227"/>
      <c r="N5" s="227"/>
      <c r="O5" s="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</row>
    <row r="6" spans="1:46">
      <c r="A6" s="3">
        <v>39904</v>
      </c>
      <c r="B6" s="6"/>
      <c r="C6" s="6"/>
      <c r="D6" s="26" t="s">
        <v>73</v>
      </c>
      <c r="E6" s="28" t="s">
        <v>74</v>
      </c>
      <c r="F6" s="32">
        <f>DATE(YEAR(E4),MONTH(E4),1)</f>
        <v>1</v>
      </c>
      <c r="G6" s="288"/>
      <c r="H6" s="288"/>
      <c r="J6" s="227"/>
      <c r="K6" s="9"/>
      <c r="L6" s="227"/>
      <c r="M6" s="227"/>
      <c r="N6" s="227"/>
      <c r="O6" s="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</row>
    <row r="7" spans="1:46">
      <c r="A7" s="3">
        <v>39934</v>
      </c>
      <c r="B7" s="6"/>
      <c r="C7" s="6"/>
      <c r="D7" s="26" t="s">
        <v>75</v>
      </c>
      <c r="E7" s="29" t="s">
        <v>76</v>
      </c>
      <c r="F7" s="32">
        <f>DATE(YEAR(F6),MONTH(F6)+1,1)-1</f>
        <v>31</v>
      </c>
      <c r="H7" s="10"/>
      <c r="J7" s="227"/>
      <c r="K7" s="11"/>
      <c r="L7" s="227"/>
      <c r="M7" s="227"/>
      <c r="N7" s="227"/>
      <c r="O7" s="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</row>
    <row r="8" spans="1:46">
      <c r="A8" s="3">
        <v>39965</v>
      </c>
      <c r="B8" s="12"/>
      <c r="C8" s="12"/>
      <c r="J8" s="227"/>
      <c r="K8" s="227"/>
      <c r="L8" s="227"/>
      <c r="M8" s="227"/>
      <c r="N8" s="227"/>
      <c r="O8" s="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7"/>
      <c r="AE8" s="227"/>
      <c r="AF8" s="227"/>
      <c r="AG8" s="227"/>
      <c r="AH8" s="227"/>
      <c r="AI8" s="227"/>
    </row>
    <row r="9" spans="1:46">
      <c r="A9" s="3">
        <v>39995</v>
      </c>
      <c r="B9" s="6"/>
      <c r="C9" s="6"/>
      <c r="E9" s="290" t="s">
        <v>77</v>
      </c>
      <c r="F9" s="290"/>
      <c r="G9" s="291" t="e">
        <f>#REF!</f>
        <v>#REF!</v>
      </c>
      <c r="H9" s="291"/>
      <c r="I9" s="13"/>
      <c r="J9" s="227"/>
      <c r="K9" s="227"/>
      <c r="L9" s="227"/>
      <c r="M9" s="227"/>
      <c r="N9" s="227"/>
      <c r="O9" s="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</row>
    <row r="10" spans="1:46">
      <c r="A10" s="3">
        <v>40026</v>
      </c>
      <c r="E10" s="290" t="s">
        <v>78</v>
      </c>
      <c r="F10" s="290"/>
      <c r="G10" s="290" t="e">
        <f>#REF!</f>
        <v>#REF!</v>
      </c>
      <c r="H10" s="290"/>
      <c r="I10" s="13"/>
      <c r="J10" s="227"/>
      <c r="K10" s="227"/>
      <c r="L10" s="227"/>
      <c r="M10" s="227"/>
      <c r="N10" s="227"/>
      <c r="O10" s="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7"/>
      <c r="AF10" s="227"/>
      <c r="AG10" s="227"/>
      <c r="AH10" s="227"/>
      <c r="AI10" s="227"/>
    </row>
    <row r="11" spans="1:46">
      <c r="A11" s="3">
        <v>40057</v>
      </c>
      <c r="E11" s="289"/>
      <c r="F11" s="289"/>
      <c r="G11" s="289"/>
      <c r="H11" s="228"/>
      <c r="J11" s="227"/>
      <c r="K11" s="227"/>
      <c r="L11" s="227"/>
      <c r="M11" s="227"/>
      <c r="N11" s="227"/>
      <c r="O11" s="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  <c r="AE11" s="227"/>
      <c r="AF11" s="227"/>
      <c r="AG11" s="227"/>
      <c r="AH11" s="227"/>
      <c r="AI11" s="227"/>
    </row>
    <row r="12" spans="1:46">
      <c r="A12" s="3">
        <v>40087</v>
      </c>
      <c r="E12" s="289"/>
      <c r="F12" s="289"/>
      <c r="G12" s="289"/>
      <c r="J12" s="227"/>
      <c r="K12" s="227"/>
      <c r="L12" s="227"/>
      <c r="M12" s="227"/>
      <c r="N12" s="227"/>
      <c r="O12" s="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  <c r="AE12" s="227"/>
      <c r="AF12" s="227"/>
      <c r="AG12" s="227"/>
      <c r="AH12" s="227"/>
      <c r="AI12" s="227"/>
    </row>
    <row r="13" spans="1:46">
      <c r="A13" s="3">
        <v>40118</v>
      </c>
      <c r="E13" s="22">
        <v>1</v>
      </c>
      <c r="F13" s="22">
        <v>2</v>
      </c>
      <c r="G13" s="22">
        <v>3</v>
      </c>
      <c r="H13" s="23">
        <v>4</v>
      </c>
      <c r="I13" s="23">
        <v>5</v>
      </c>
      <c r="J13" s="23">
        <v>6</v>
      </c>
      <c r="K13" s="23">
        <v>7</v>
      </c>
      <c r="L13" s="23">
        <v>8</v>
      </c>
      <c r="M13" s="23">
        <v>9</v>
      </c>
      <c r="N13" s="23">
        <v>10</v>
      </c>
      <c r="O13" s="23">
        <v>11</v>
      </c>
      <c r="P13" s="23">
        <v>12</v>
      </c>
      <c r="Q13" s="23">
        <v>13</v>
      </c>
      <c r="R13" s="23">
        <v>14</v>
      </c>
      <c r="S13" s="23">
        <v>15</v>
      </c>
      <c r="T13" s="23">
        <v>16</v>
      </c>
      <c r="U13" s="23">
        <v>17</v>
      </c>
      <c r="V13" s="23">
        <v>18</v>
      </c>
      <c r="W13" s="23">
        <v>19</v>
      </c>
      <c r="X13" s="23">
        <v>20</v>
      </c>
      <c r="Y13" s="23">
        <v>21</v>
      </c>
      <c r="Z13" s="23">
        <v>22</v>
      </c>
      <c r="AA13" s="23">
        <v>23</v>
      </c>
      <c r="AB13" s="23">
        <v>24</v>
      </c>
      <c r="AC13" s="23">
        <v>25</v>
      </c>
      <c r="AD13" s="23">
        <v>26</v>
      </c>
      <c r="AE13" s="23">
        <v>27</v>
      </c>
      <c r="AF13" s="23">
        <v>28</v>
      </c>
      <c r="AG13" s="23">
        <v>29</v>
      </c>
      <c r="AH13" s="23">
        <v>30</v>
      </c>
      <c r="AI13" s="23">
        <v>31</v>
      </c>
      <c r="AJ13" s="14">
        <v>32</v>
      </c>
      <c r="AK13" s="14">
        <v>33</v>
      </c>
      <c r="AL13" s="14">
        <v>34</v>
      </c>
      <c r="AM13" s="14">
        <v>35</v>
      </c>
      <c r="AN13" s="14">
        <v>36</v>
      </c>
      <c r="AO13" s="14">
        <v>37</v>
      </c>
      <c r="AP13" s="14">
        <v>38</v>
      </c>
      <c r="AQ13" s="14">
        <v>39</v>
      </c>
      <c r="AR13" s="14">
        <v>40</v>
      </c>
      <c r="AS13" s="14">
        <v>41</v>
      </c>
      <c r="AT13" s="14">
        <v>42</v>
      </c>
    </row>
    <row r="14" spans="1:46">
      <c r="A14" s="3">
        <v>40148</v>
      </c>
      <c r="C14" s="2" t="s">
        <v>79</v>
      </c>
      <c r="D14" s="21" t="s">
        <v>80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1">
        <v>0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>
      <c r="A15" s="3">
        <v>40179</v>
      </c>
      <c r="C15" s="2" t="s">
        <v>81</v>
      </c>
      <c r="D15" s="21" t="s">
        <v>82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1">
        <v>0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>
      <c r="A16" s="3">
        <v>40210</v>
      </c>
      <c r="C16" s="2" t="s">
        <v>83</v>
      </c>
      <c r="D16" s="21" t="s">
        <v>84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1">
        <v>0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>
      <c r="A17" s="3">
        <v>40238</v>
      </c>
      <c r="C17" s="2" t="s">
        <v>85</v>
      </c>
      <c r="D17" s="21" t="s">
        <v>86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1">
        <v>0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spans="1:46">
      <c r="A18" s="3">
        <v>40269</v>
      </c>
      <c r="C18" s="2" t="s">
        <v>87</v>
      </c>
      <c r="D18" s="21" t="s">
        <v>88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1">
        <v>0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</row>
    <row r="19" spans="1:46">
      <c r="A19" s="3">
        <v>40299</v>
      </c>
      <c r="C19" s="2" t="s">
        <v>89</v>
      </c>
      <c r="D19" s="21" t="s">
        <v>90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1">
        <v>0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</row>
    <row r="20" spans="1:46">
      <c r="A20" s="3">
        <v>40330</v>
      </c>
      <c r="C20" s="2" t="s">
        <v>91</v>
      </c>
      <c r="D20" s="21" t="s">
        <v>92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1">
        <v>0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</row>
    <row r="21" spans="1:46">
      <c r="A21" s="3">
        <v>40360</v>
      </c>
      <c r="C21" s="2" t="s">
        <v>93</v>
      </c>
      <c r="D21" s="21" t="s">
        <v>94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1">
        <v>0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</row>
    <row r="22" spans="1:46">
      <c r="A22" s="3">
        <v>40391</v>
      </c>
      <c r="C22" s="2" t="s">
        <v>95</v>
      </c>
      <c r="D22" s="21" t="s">
        <v>96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1">
        <v>0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</row>
    <row r="23" spans="1:46">
      <c r="A23" s="3">
        <v>40422</v>
      </c>
      <c r="B23" s="18">
        <f>F6</f>
        <v>1</v>
      </c>
      <c r="C23" s="2" t="s">
        <v>97</v>
      </c>
      <c r="D23" s="21" t="s">
        <v>98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1">
        <v>0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</row>
    <row r="24" spans="1:46">
      <c r="A24" s="3">
        <v>40452</v>
      </c>
      <c r="B24" s="18">
        <f>F7</f>
        <v>31</v>
      </c>
      <c r="C24" s="2" t="s">
        <v>99</v>
      </c>
      <c r="D24" s="21" t="s">
        <v>100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1">
        <v>0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</row>
    <row r="25" spans="1:46">
      <c r="A25" s="3">
        <v>40483</v>
      </c>
      <c r="B25" s="2">
        <f>B24-B23+1</f>
        <v>31</v>
      </c>
      <c r="C25" s="2" t="s">
        <v>101</v>
      </c>
      <c r="D25" s="21" t="s">
        <v>102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30">
        <v>0</v>
      </c>
      <c r="AG25" s="30">
        <v>0</v>
      </c>
      <c r="AH25" s="30">
        <v>0</v>
      </c>
      <c r="AI25" s="30">
        <v>0</v>
      </c>
      <c r="AJ25" s="31">
        <v>0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</row>
    <row r="26" spans="1:46">
      <c r="A26" s="3">
        <v>40513</v>
      </c>
      <c r="C26" s="2" t="s">
        <v>103</v>
      </c>
      <c r="D26" s="21" t="s">
        <v>104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1">
        <v>0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</row>
    <row r="27" spans="1:46">
      <c r="A27" s="3">
        <v>40544</v>
      </c>
      <c r="C27" s="2" t="s">
        <v>105</v>
      </c>
      <c r="D27" s="21" t="s">
        <v>106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1">
        <v>0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</row>
    <row r="28" spans="1:46">
      <c r="A28" s="3">
        <v>40575</v>
      </c>
      <c r="C28" s="2" t="s">
        <v>107</v>
      </c>
      <c r="D28" s="21" t="s">
        <v>108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1">
        <v>0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</row>
    <row r="29" spans="1:46">
      <c r="A29" s="3">
        <v>40603</v>
      </c>
      <c r="C29" s="2" t="s">
        <v>109</v>
      </c>
      <c r="D29" s="21" t="s">
        <v>110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1">
        <v>0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</row>
    <row r="30" spans="1:46">
      <c r="A30" s="3">
        <v>40634</v>
      </c>
      <c r="C30" s="2" t="s">
        <v>111</v>
      </c>
      <c r="D30" s="21" t="s">
        <v>112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1">
        <v>0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</row>
    <row r="31" spans="1:46">
      <c r="A31" s="3">
        <v>40664</v>
      </c>
      <c r="C31" s="2" t="s">
        <v>113</v>
      </c>
      <c r="D31" s="21" t="s">
        <v>114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1">
        <v>0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</row>
    <row r="32" spans="1:46">
      <c r="A32" s="3">
        <v>40695</v>
      </c>
      <c r="C32" s="2" t="s">
        <v>115</v>
      </c>
      <c r="D32" s="21" t="s">
        <v>116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1">
        <v>0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</row>
    <row r="33" spans="1:46">
      <c r="A33" s="3">
        <v>40725</v>
      </c>
      <c r="C33" s="2" t="s">
        <v>117</v>
      </c>
      <c r="D33" s="21" t="s">
        <v>118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1">
        <v>0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</row>
    <row r="34" spans="1:46">
      <c r="A34" s="3">
        <v>40756</v>
      </c>
      <c r="C34" s="2" t="s">
        <v>119</v>
      </c>
      <c r="D34" s="21" t="s">
        <v>120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1">
        <v>0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</row>
    <row r="35" spans="1:46">
      <c r="A35" s="3">
        <v>40787</v>
      </c>
      <c r="C35" s="2" t="s">
        <v>121</v>
      </c>
      <c r="D35" s="21" t="s">
        <v>122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1">
        <v>0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</row>
    <row r="36" spans="1:46">
      <c r="A36" s="3">
        <v>40817</v>
      </c>
      <c r="C36" s="2" t="s">
        <v>123</v>
      </c>
      <c r="D36" s="21" t="s">
        <v>124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1">
        <v>0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</row>
    <row r="37" spans="1:46">
      <c r="A37" s="3">
        <v>40848</v>
      </c>
      <c r="C37" s="2" t="s">
        <v>125</v>
      </c>
      <c r="D37" s="21" t="s">
        <v>126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30">
        <v>0</v>
      </c>
      <c r="AG37" s="30">
        <v>0</v>
      </c>
      <c r="AH37" s="30">
        <v>0</v>
      </c>
      <c r="AI37" s="30">
        <v>0</v>
      </c>
      <c r="AJ37" s="31">
        <v>0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</row>
    <row r="38" spans="1:46">
      <c r="A38" s="3">
        <v>40878</v>
      </c>
      <c r="C38" s="2" t="s">
        <v>127</v>
      </c>
      <c r="D38" s="21" t="s">
        <v>128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1">
        <v>0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</row>
    <row r="39" spans="1:46">
      <c r="A39" s="3">
        <v>40909</v>
      </c>
      <c r="C39" s="2" t="s">
        <v>129</v>
      </c>
      <c r="D39" s="21" t="s">
        <v>130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1">
        <v>0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</row>
    <row r="40" spans="1:46">
      <c r="A40" s="3">
        <v>40940</v>
      </c>
      <c r="C40" s="2" t="s">
        <v>131</v>
      </c>
      <c r="D40" s="21" t="s">
        <v>132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1">
        <v>0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</row>
    <row r="41" spans="1:46">
      <c r="A41" s="3">
        <v>40969</v>
      </c>
      <c r="C41" s="2" t="s">
        <v>133</v>
      </c>
      <c r="D41" s="21" t="s">
        <v>134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30">
        <v>0</v>
      </c>
      <c r="AH41" s="30">
        <v>0</v>
      </c>
      <c r="AI41" s="30">
        <v>0</v>
      </c>
      <c r="AJ41" s="31">
        <v>0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</row>
    <row r="42" spans="1:46">
      <c r="A42" s="3">
        <v>41000</v>
      </c>
      <c r="C42" s="2" t="s">
        <v>135</v>
      </c>
      <c r="D42" s="21" t="s">
        <v>136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1">
        <v>0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</row>
    <row r="43" spans="1:46">
      <c r="A43" s="3">
        <v>41030</v>
      </c>
      <c r="C43" s="2" t="s">
        <v>137</v>
      </c>
      <c r="D43" s="21" t="s">
        <v>138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1">
        <v>0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</row>
    <row r="44" spans="1:46">
      <c r="A44" s="3">
        <v>41061</v>
      </c>
      <c r="C44" s="2" t="s">
        <v>139</v>
      </c>
      <c r="D44" s="21" t="s">
        <v>140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1">
        <v>0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</row>
    <row r="45" spans="1:46">
      <c r="A45" s="3">
        <v>41091</v>
      </c>
      <c r="C45" s="2" t="s">
        <v>141</v>
      </c>
      <c r="D45" s="21" t="s">
        <v>142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1">
        <v>0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</row>
    <row r="46" spans="1:46">
      <c r="A46" s="3">
        <v>41122</v>
      </c>
      <c r="C46" s="2" t="s">
        <v>143</v>
      </c>
      <c r="D46" s="21" t="s">
        <v>144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30">
        <v>0</v>
      </c>
      <c r="AG46" s="30">
        <v>0</v>
      </c>
      <c r="AH46" s="30">
        <v>0</v>
      </c>
      <c r="AI46" s="30">
        <v>0</v>
      </c>
      <c r="AJ46" s="31">
        <v>0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</row>
    <row r="47" spans="1:46">
      <c r="A47" s="3">
        <v>41153</v>
      </c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227"/>
      <c r="AF47" s="227"/>
      <c r="AG47" s="227"/>
      <c r="AH47" s="227"/>
      <c r="AI47" s="227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</row>
    <row r="48" spans="1:46" hidden="1">
      <c r="A48" s="3">
        <v>41183</v>
      </c>
      <c r="E48" s="16" t="str">
        <f>E6</f>
        <v>с:</v>
      </c>
      <c r="F48" s="16" t="e">
        <f t="shared" ref="F48:AI48" si="0">$E$6+E13</f>
        <v>#VALUE!</v>
      </c>
      <c r="G48" s="16" t="e">
        <f t="shared" si="0"/>
        <v>#VALUE!</v>
      </c>
      <c r="H48" s="16" t="e">
        <f t="shared" si="0"/>
        <v>#VALUE!</v>
      </c>
      <c r="I48" s="16" t="e">
        <f t="shared" si="0"/>
        <v>#VALUE!</v>
      </c>
      <c r="J48" s="16" t="e">
        <f t="shared" si="0"/>
        <v>#VALUE!</v>
      </c>
      <c r="K48" s="16" t="e">
        <f t="shared" si="0"/>
        <v>#VALUE!</v>
      </c>
      <c r="L48" s="16" t="e">
        <f t="shared" si="0"/>
        <v>#VALUE!</v>
      </c>
      <c r="M48" s="16" t="e">
        <f t="shared" si="0"/>
        <v>#VALUE!</v>
      </c>
      <c r="N48" s="16" t="e">
        <f t="shared" si="0"/>
        <v>#VALUE!</v>
      </c>
      <c r="O48" s="16" t="e">
        <f t="shared" si="0"/>
        <v>#VALUE!</v>
      </c>
      <c r="P48" s="16" t="e">
        <f t="shared" si="0"/>
        <v>#VALUE!</v>
      </c>
      <c r="Q48" s="16" t="e">
        <f t="shared" si="0"/>
        <v>#VALUE!</v>
      </c>
      <c r="R48" s="16" t="e">
        <f t="shared" si="0"/>
        <v>#VALUE!</v>
      </c>
      <c r="S48" s="16" t="e">
        <f t="shared" si="0"/>
        <v>#VALUE!</v>
      </c>
      <c r="T48" s="16" t="e">
        <f t="shared" si="0"/>
        <v>#VALUE!</v>
      </c>
      <c r="U48" s="16" t="e">
        <f t="shared" si="0"/>
        <v>#VALUE!</v>
      </c>
      <c r="V48" s="16" t="e">
        <f t="shared" si="0"/>
        <v>#VALUE!</v>
      </c>
      <c r="W48" s="16" t="e">
        <f t="shared" si="0"/>
        <v>#VALUE!</v>
      </c>
      <c r="X48" s="16" t="e">
        <f t="shared" si="0"/>
        <v>#VALUE!</v>
      </c>
      <c r="Y48" s="16" t="e">
        <f t="shared" si="0"/>
        <v>#VALUE!</v>
      </c>
      <c r="Z48" s="16" t="e">
        <f t="shared" si="0"/>
        <v>#VALUE!</v>
      </c>
      <c r="AA48" s="16" t="e">
        <f t="shared" si="0"/>
        <v>#VALUE!</v>
      </c>
      <c r="AB48" s="16" t="e">
        <f t="shared" si="0"/>
        <v>#VALUE!</v>
      </c>
      <c r="AC48" s="16" t="e">
        <f t="shared" si="0"/>
        <v>#VALUE!</v>
      </c>
      <c r="AD48" s="16" t="e">
        <f t="shared" si="0"/>
        <v>#VALUE!</v>
      </c>
      <c r="AE48" s="16" t="e">
        <f t="shared" si="0"/>
        <v>#VALUE!</v>
      </c>
      <c r="AF48" s="16" t="e">
        <f t="shared" si="0"/>
        <v>#VALUE!</v>
      </c>
      <c r="AG48" s="16" t="e">
        <f t="shared" si="0"/>
        <v>#VALUE!</v>
      </c>
      <c r="AH48" s="16" t="e">
        <f t="shared" si="0"/>
        <v>#VALUE!</v>
      </c>
      <c r="AI48" s="16" t="e">
        <f t="shared" si="0"/>
        <v>#VALUE!</v>
      </c>
      <c r="AJ48" s="17" t="e">
        <f>$E$6+AI13</f>
        <v>#VALUE!</v>
      </c>
      <c r="AK48" s="17" t="e">
        <f>$E$6+AJ13</f>
        <v>#VALUE!</v>
      </c>
      <c r="AL48" s="17" t="e">
        <f>$E$6+AK13</f>
        <v>#VALUE!</v>
      </c>
      <c r="AM48" s="17" t="e">
        <f>$E$6+AL13</f>
        <v>#VALUE!</v>
      </c>
      <c r="AN48" s="17" t="e">
        <f>$E$6+AM13</f>
        <v>#VALUE!</v>
      </c>
      <c r="AO48" s="17" t="e">
        <f t="shared" ref="AO48:AT48" si="1">$E$6+AN13</f>
        <v>#VALUE!</v>
      </c>
      <c r="AP48" s="17" t="e">
        <f t="shared" si="1"/>
        <v>#VALUE!</v>
      </c>
      <c r="AQ48" s="17" t="e">
        <f t="shared" si="1"/>
        <v>#VALUE!</v>
      </c>
      <c r="AR48" s="17" t="e">
        <f t="shared" si="1"/>
        <v>#VALUE!</v>
      </c>
      <c r="AS48" s="17" t="e">
        <f t="shared" si="1"/>
        <v>#VALUE!</v>
      </c>
      <c r="AT48" s="17" t="e">
        <f t="shared" si="1"/>
        <v>#VALUE!</v>
      </c>
    </row>
    <row r="49" spans="1:47">
      <c r="A49" s="3">
        <v>41214</v>
      </c>
      <c r="E49" s="27">
        <f>F6</f>
        <v>1</v>
      </c>
      <c r="F49" s="27">
        <f>$F$6+E13</f>
        <v>2</v>
      </c>
      <c r="G49" s="27">
        <f>$F$6+F13</f>
        <v>3</v>
      </c>
      <c r="H49" s="27">
        <f t="shared" ref="H49:AI49" si="2">$F$6+G13</f>
        <v>4</v>
      </c>
      <c r="I49" s="27">
        <f t="shared" si="2"/>
        <v>5</v>
      </c>
      <c r="J49" s="27">
        <f t="shared" si="2"/>
        <v>6</v>
      </c>
      <c r="K49" s="27">
        <f t="shared" si="2"/>
        <v>7</v>
      </c>
      <c r="L49" s="27">
        <f t="shared" si="2"/>
        <v>8</v>
      </c>
      <c r="M49" s="27">
        <f t="shared" si="2"/>
        <v>9</v>
      </c>
      <c r="N49" s="27">
        <f t="shared" si="2"/>
        <v>10</v>
      </c>
      <c r="O49" s="27">
        <f t="shared" si="2"/>
        <v>11</v>
      </c>
      <c r="P49" s="27">
        <f t="shared" si="2"/>
        <v>12</v>
      </c>
      <c r="Q49" s="27">
        <f t="shared" si="2"/>
        <v>13</v>
      </c>
      <c r="R49" s="27">
        <f t="shared" si="2"/>
        <v>14</v>
      </c>
      <c r="S49" s="27">
        <f t="shared" si="2"/>
        <v>15</v>
      </c>
      <c r="T49" s="27">
        <f t="shared" si="2"/>
        <v>16</v>
      </c>
      <c r="U49" s="27">
        <f t="shared" si="2"/>
        <v>17</v>
      </c>
      <c r="V49" s="27">
        <f t="shared" si="2"/>
        <v>18</v>
      </c>
      <c r="W49" s="27">
        <f t="shared" si="2"/>
        <v>19</v>
      </c>
      <c r="X49" s="27">
        <f t="shared" si="2"/>
        <v>20</v>
      </c>
      <c r="Y49" s="27">
        <f t="shared" si="2"/>
        <v>21</v>
      </c>
      <c r="Z49" s="27">
        <f t="shared" si="2"/>
        <v>22</v>
      </c>
      <c r="AA49" s="27">
        <f t="shared" si="2"/>
        <v>23</v>
      </c>
      <c r="AB49" s="27">
        <f t="shared" si="2"/>
        <v>24</v>
      </c>
      <c r="AC49" s="27">
        <f t="shared" si="2"/>
        <v>25</v>
      </c>
      <c r="AD49" s="27">
        <f t="shared" si="2"/>
        <v>26</v>
      </c>
      <c r="AE49" s="27">
        <f t="shared" si="2"/>
        <v>27</v>
      </c>
      <c r="AF49" s="27">
        <f t="shared" si="2"/>
        <v>28</v>
      </c>
      <c r="AG49" s="27">
        <f t="shared" si="2"/>
        <v>29</v>
      </c>
      <c r="AH49" s="27">
        <f t="shared" si="2"/>
        <v>30</v>
      </c>
      <c r="AI49" s="27">
        <f t="shared" si="2"/>
        <v>31</v>
      </c>
      <c r="AJ49" s="27">
        <f t="shared" ref="AJ49:AT49" si="3">$F$6+AI13</f>
        <v>32</v>
      </c>
      <c r="AK49" s="27">
        <f t="shared" si="3"/>
        <v>33</v>
      </c>
      <c r="AL49" s="27">
        <f t="shared" si="3"/>
        <v>34</v>
      </c>
      <c r="AM49" s="27">
        <f t="shared" si="3"/>
        <v>35</v>
      </c>
      <c r="AN49" s="27">
        <f t="shared" si="3"/>
        <v>36</v>
      </c>
      <c r="AO49" s="27">
        <f t="shared" si="3"/>
        <v>37</v>
      </c>
      <c r="AP49" s="27">
        <f t="shared" si="3"/>
        <v>38</v>
      </c>
      <c r="AQ49" s="27">
        <f t="shared" si="3"/>
        <v>39</v>
      </c>
      <c r="AR49" s="27">
        <f t="shared" si="3"/>
        <v>40</v>
      </c>
      <c r="AS49" s="27">
        <f t="shared" si="3"/>
        <v>41</v>
      </c>
      <c r="AT49" s="27">
        <f t="shared" si="3"/>
        <v>42</v>
      </c>
    </row>
    <row r="50" spans="1:47">
      <c r="A50" s="3">
        <v>41244</v>
      </c>
      <c r="E50" s="22">
        <v>1</v>
      </c>
      <c r="F50" s="22">
        <v>2</v>
      </c>
      <c r="G50" s="22">
        <v>3</v>
      </c>
      <c r="H50" s="23">
        <v>4</v>
      </c>
      <c r="I50" s="23">
        <v>5</v>
      </c>
      <c r="J50" s="23">
        <v>6</v>
      </c>
      <c r="K50" s="23">
        <v>7</v>
      </c>
      <c r="L50" s="23">
        <v>8</v>
      </c>
      <c r="M50" s="23">
        <v>9</v>
      </c>
      <c r="N50" s="23">
        <v>10</v>
      </c>
      <c r="O50" s="23">
        <v>11</v>
      </c>
      <c r="P50" s="23">
        <v>12</v>
      </c>
      <c r="Q50" s="23">
        <v>13</v>
      </c>
      <c r="R50" s="23">
        <v>14</v>
      </c>
      <c r="S50" s="23">
        <v>15</v>
      </c>
      <c r="T50" s="23">
        <v>16</v>
      </c>
      <c r="U50" s="23">
        <v>17</v>
      </c>
      <c r="V50" s="23">
        <v>18</v>
      </c>
      <c r="W50" s="23">
        <v>19</v>
      </c>
      <c r="X50" s="23">
        <v>20</v>
      </c>
      <c r="Y50" s="23">
        <v>21</v>
      </c>
      <c r="Z50" s="23">
        <v>22</v>
      </c>
      <c r="AA50" s="23">
        <v>23</v>
      </c>
      <c r="AB50" s="23">
        <v>24</v>
      </c>
      <c r="AC50" s="23">
        <v>25</v>
      </c>
      <c r="AD50" s="23">
        <v>26</v>
      </c>
      <c r="AE50" s="23">
        <v>27</v>
      </c>
      <c r="AF50" s="23">
        <v>28</v>
      </c>
      <c r="AG50" s="23">
        <v>29</v>
      </c>
      <c r="AH50" s="23">
        <v>30</v>
      </c>
      <c r="AI50" s="23">
        <v>31</v>
      </c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</row>
    <row r="51" spans="1:47">
      <c r="A51" s="3">
        <v>41275</v>
      </c>
      <c r="B51" s="18">
        <f>I7</f>
        <v>0</v>
      </c>
      <c r="D51" s="21" t="s">
        <v>80</v>
      </c>
      <c r="E51" s="22" t="str">
        <f t="shared" ref="E51:E83" si="4">IF(WEEKDAY(E$49,2)=1,SUM(E14),"")</f>
        <v/>
      </c>
      <c r="F51" s="22">
        <f>IF(WEEKDAY(F$49,2)=1,SUM($E14:F14),"")</f>
        <v>0</v>
      </c>
      <c r="G51" s="22" t="str">
        <f>IF(WEEKDAY(G$49,2)=1,SUM($E14:G14),"")</f>
        <v/>
      </c>
      <c r="H51" s="22" t="str">
        <f>IF(WEEKDAY(H$49,2)=1,SUM($E14:H14),"")</f>
        <v/>
      </c>
      <c r="I51" s="22" t="str">
        <f>IF(WEEKDAY(I$49,2)=1,SUM($E14:I14),"")</f>
        <v/>
      </c>
      <c r="J51" s="22" t="str">
        <f>IF(WEEKDAY(J$49,2)=1,SUM($E14:J14),"")</f>
        <v/>
      </c>
      <c r="K51" s="22" t="str">
        <f>IF(WEEKDAY(K$49,2)=1,SUM($E14:K14),"")</f>
        <v/>
      </c>
      <c r="L51" s="22" t="str">
        <f t="shared" ref="L51:AT51" si="5">IF(WEEKDAY(L$49,2)=1,SUM(F14:L14),"")</f>
        <v/>
      </c>
      <c r="M51" s="22">
        <f t="shared" si="5"/>
        <v>0</v>
      </c>
      <c r="N51" s="22" t="str">
        <f t="shared" si="5"/>
        <v/>
      </c>
      <c r="O51" s="22" t="str">
        <f t="shared" si="5"/>
        <v/>
      </c>
      <c r="P51" s="22" t="str">
        <f t="shared" si="5"/>
        <v/>
      </c>
      <c r="Q51" s="22" t="str">
        <f t="shared" si="5"/>
        <v/>
      </c>
      <c r="R51" s="22" t="str">
        <f t="shared" si="5"/>
        <v/>
      </c>
      <c r="S51" s="22" t="str">
        <f t="shared" si="5"/>
        <v/>
      </c>
      <c r="T51" s="22">
        <f t="shared" si="5"/>
        <v>0</v>
      </c>
      <c r="U51" s="22" t="str">
        <f t="shared" si="5"/>
        <v/>
      </c>
      <c r="V51" s="22" t="str">
        <f t="shared" si="5"/>
        <v/>
      </c>
      <c r="W51" s="22" t="str">
        <f t="shared" si="5"/>
        <v/>
      </c>
      <c r="X51" s="22" t="str">
        <f t="shared" si="5"/>
        <v/>
      </c>
      <c r="Y51" s="22" t="str">
        <f t="shared" si="5"/>
        <v/>
      </c>
      <c r="Z51" s="22" t="str">
        <f t="shared" si="5"/>
        <v/>
      </c>
      <c r="AA51" s="22">
        <f t="shared" si="5"/>
        <v>0</v>
      </c>
      <c r="AB51" s="22" t="str">
        <f t="shared" si="5"/>
        <v/>
      </c>
      <c r="AC51" s="22" t="str">
        <f t="shared" si="5"/>
        <v/>
      </c>
      <c r="AD51" s="22" t="str">
        <f t="shared" si="5"/>
        <v/>
      </c>
      <c r="AE51" s="22" t="str">
        <f t="shared" si="5"/>
        <v/>
      </c>
      <c r="AF51" s="22" t="str">
        <f t="shared" si="5"/>
        <v/>
      </c>
      <c r="AG51" s="22" t="str">
        <f t="shared" si="5"/>
        <v/>
      </c>
      <c r="AH51" s="22">
        <f t="shared" si="5"/>
        <v>0</v>
      </c>
      <c r="AI51" s="22" t="str">
        <f t="shared" si="5"/>
        <v/>
      </c>
      <c r="AJ51" s="14" t="str">
        <f t="shared" si="5"/>
        <v/>
      </c>
      <c r="AK51" s="14" t="str">
        <f t="shared" si="5"/>
        <v/>
      </c>
      <c r="AL51" s="14" t="str">
        <f t="shared" si="5"/>
        <v/>
      </c>
      <c r="AM51" s="14" t="str">
        <f t="shared" si="5"/>
        <v/>
      </c>
      <c r="AN51" s="14" t="str">
        <f t="shared" si="5"/>
        <v/>
      </c>
      <c r="AO51" s="14">
        <f t="shared" si="5"/>
        <v>0</v>
      </c>
      <c r="AP51" s="14" t="str">
        <f t="shared" si="5"/>
        <v/>
      </c>
      <c r="AQ51" s="14" t="str">
        <f t="shared" si="5"/>
        <v/>
      </c>
      <c r="AR51" s="14" t="str">
        <f t="shared" si="5"/>
        <v/>
      </c>
      <c r="AS51" s="14" t="str">
        <f t="shared" si="5"/>
        <v/>
      </c>
      <c r="AT51" s="14" t="str">
        <f t="shared" si="5"/>
        <v/>
      </c>
    </row>
    <row r="52" spans="1:47">
      <c r="A52" s="3">
        <v>41306</v>
      </c>
      <c r="B52" s="2" t="e">
        <f>B51-#REF!+1</f>
        <v>#REF!</v>
      </c>
      <c r="D52" s="21" t="s">
        <v>82</v>
      </c>
      <c r="E52" s="22" t="str">
        <f t="shared" si="4"/>
        <v/>
      </c>
      <c r="F52" s="22">
        <f>IF(WEEKDAY(F$49,2)=1,SUM($E15:F15),"")</f>
        <v>0</v>
      </c>
      <c r="G52" s="22" t="str">
        <f>IF(WEEKDAY(G$49,2)=1,SUM($E15:G15),"")</f>
        <v/>
      </c>
      <c r="H52" s="22" t="str">
        <f>IF(WEEKDAY(H$49,2)=1,SUM($E15:H15),"")</f>
        <v/>
      </c>
      <c r="I52" s="22" t="str">
        <f>IF(WEEKDAY(I$49,2)=1,SUM($E15:I15),"")</f>
        <v/>
      </c>
      <c r="J52" s="22" t="str">
        <f>IF(WEEKDAY(J$49,2)=1,SUM($E15:J15),"")</f>
        <v/>
      </c>
      <c r="K52" s="22" t="str">
        <f>IF(WEEKDAY(K$49,2)=1,SUM($E15:K15),"")</f>
        <v/>
      </c>
      <c r="L52" s="22" t="str">
        <f t="shared" ref="L52:L83" si="6">IF(WEEKDAY(L$49,2)=1,SUM(F15:L15),"")</f>
        <v/>
      </c>
      <c r="M52" s="22">
        <f t="shared" ref="M52:M83" si="7">IF(WEEKDAY(M$49,2)=1,SUM(G15:M15),"")</f>
        <v>0</v>
      </c>
      <c r="N52" s="22" t="str">
        <f t="shared" ref="N52:N83" si="8">IF(WEEKDAY(N$49,2)=1,SUM(H15:N15),"")</f>
        <v/>
      </c>
      <c r="O52" s="22" t="str">
        <f t="shared" ref="O52:O83" si="9">IF(WEEKDAY(O$49,2)=1,SUM(I15:O15),"")</f>
        <v/>
      </c>
      <c r="P52" s="22" t="str">
        <f t="shared" ref="P52:P83" si="10">IF(WEEKDAY(P$49,2)=1,SUM(J15:P15),"")</f>
        <v/>
      </c>
      <c r="Q52" s="22" t="str">
        <f t="shared" ref="Q52:Q83" si="11">IF(WEEKDAY(Q$49,2)=1,SUM(K15:Q15),"")</f>
        <v/>
      </c>
      <c r="R52" s="22" t="str">
        <f t="shared" ref="R52:R83" si="12">IF(WEEKDAY(R$49,2)=1,SUM(L15:R15),"")</f>
        <v/>
      </c>
      <c r="S52" s="22" t="str">
        <f t="shared" ref="S52:S83" si="13">IF(WEEKDAY(S$49,2)=1,SUM(M15:S15),"")</f>
        <v/>
      </c>
      <c r="T52" s="22">
        <f t="shared" ref="T52:T83" si="14">IF(WEEKDAY(T$49,2)=1,SUM(N15:T15),"")</f>
        <v>0</v>
      </c>
      <c r="U52" s="22" t="str">
        <f t="shared" ref="U52:U83" si="15">IF(WEEKDAY(U$49,2)=1,SUM(O15:U15),"")</f>
        <v/>
      </c>
      <c r="V52" s="22" t="str">
        <f t="shared" ref="V52:V83" si="16">IF(WEEKDAY(V$49,2)=1,SUM(P15:V15),"")</f>
        <v/>
      </c>
      <c r="W52" s="22" t="str">
        <f t="shared" ref="W52:W83" si="17">IF(WEEKDAY(W$49,2)=1,SUM(Q15:W15),"")</f>
        <v/>
      </c>
      <c r="X52" s="22" t="str">
        <f t="shared" ref="X52:X83" si="18">IF(WEEKDAY(X$49,2)=1,SUM(R15:X15),"")</f>
        <v/>
      </c>
      <c r="Y52" s="22" t="str">
        <f t="shared" ref="Y52:Y83" si="19">IF(WEEKDAY(Y$49,2)=1,SUM(S15:Y15),"")</f>
        <v/>
      </c>
      <c r="Z52" s="22" t="str">
        <f t="shared" ref="Z52:Z83" si="20">IF(WEEKDAY(Z$49,2)=1,SUM(T15:Z15),"")</f>
        <v/>
      </c>
      <c r="AA52" s="22">
        <f t="shared" ref="AA52:AA83" si="21">IF(WEEKDAY(AA$49,2)=1,SUM(U15:AA15),"")</f>
        <v>0</v>
      </c>
      <c r="AB52" s="22" t="str">
        <f t="shared" ref="AB52:AB83" si="22">IF(WEEKDAY(AB$49,2)=1,SUM(V15:AB15),"")</f>
        <v/>
      </c>
      <c r="AC52" s="22" t="str">
        <f t="shared" ref="AC52:AC83" si="23">IF(WEEKDAY(AC$49,2)=1,SUM(W15:AC15),"")</f>
        <v/>
      </c>
      <c r="AD52" s="22" t="str">
        <f t="shared" ref="AD52:AD83" si="24">IF(WEEKDAY(AD$49,2)=1,SUM(X15:AD15),"")</f>
        <v/>
      </c>
      <c r="AE52" s="22" t="str">
        <f t="shared" ref="AE52:AE83" si="25">IF(WEEKDAY(AE$49,2)=1,SUM(Y15:AE15),"")</f>
        <v/>
      </c>
      <c r="AF52" s="22" t="str">
        <f t="shared" ref="AF52:AF83" si="26">IF(WEEKDAY(AF$49,2)=1,SUM(Z15:AF15),"")</f>
        <v/>
      </c>
      <c r="AG52" s="22" t="str">
        <f t="shared" ref="AG52:AG83" si="27">IF(WEEKDAY(AG$49,2)=1,SUM(AA15:AG15),"")</f>
        <v/>
      </c>
      <c r="AH52" s="22">
        <f t="shared" ref="AH52:AH83" si="28">IF(WEEKDAY(AH$49,2)=1,SUM(AB15:AH15),"")</f>
        <v>0</v>
      </c>
      <c r="AI52" s="22" t="str">
        <f t="shared" ref="AI52:AI83" si="29">IF(WEEKDAY(AI$49,2)=1,SUM(AC15:AI15),"")</f>
        <v/>
      </c>
      <c r="AJ52" s="14" t="str">
        <f t="shared" ref="AJ52:AJ83" si="30">IF(WEEKDAY(AJ$49,2)=1,SUM(AD15:AJ15),"")</f>
        <v/>
      </c>
      <c r="AK52" s="14" t="str">
        <f t="shared" ref="AK52:AK83" si="31">IF(WEEKDAY(AK$49,2)=1,SUM(AE15:AK15),"")</f>
        <v/>
      </c>
      <c r="AL52" s="14" t="str">
        <f t="shared" ref="AL52:AL83" si="32">IF(WEEKDAY(AL$49,2)=1,SUM(AF15:AL15),"")</f>
        <v/>
      </c>
      <c r="AM52" s="14" t="str">
        <f t="shared" ref="AM52:AM83" si="33">IF(WEEKDAY(AM$49,2)=1,SUM(AG15:AM15),"")</f>
        <v/>
      </c>
      <c r="AN52" s="14" t="str">
        <f t="shared" ref="AN52:AN83" si="34">IF(WEEKDAY(AN$49,2)=1,SUM(AH15:AN15),"")</f>
        <v/>
      </c>
      <c r="AO52" s="14">
        <f t="shared" ref="AO52:AO83" si="35">IF(WEEKDAY(AO$49,2)=1,SUM(AI15:AO15),"")</f>
        <v>0</v>
      </c>
      <c r="AP52" s="14" t="str">
        <f t="shared" ref="AP52:AP83" si="36">IF(WEEKDAY(AP$49,2)=1,SUM(AJ15:AP15),"")</f>
        <v/>
      </c>
      <c r="AQ52" s="14" t="str">
        <f t="shared" ref="AQ52:AQ83" si="37">IF(WEEKDAY(AQ$49,2)=1,SUM(AK15:AQ15),"")</f>
        <v/>
      </c>
      <c r="AR52" s="14" t="str">
        <f t="shared" ref="AR52:AR83" si="38">IF(WEEKDAY(AR$49,2)=1,SUM(AL15:AR15),"")</f>
        <v/>
      </c>
      <c r="AS52" s="14" t="str">
        <f t="shared" ref="AS52:AS83" si="39">IF(WEEKDAY(AS$49,2)=1,SUM(AM15:AS15),"")</f>
        <v/>
      </c>
      <c r="AT52" s="14" t="str">
        <f t="shared" ref="AT52:AT83" si="40">IF(WEEKDAY(AT$49,2)=1,SUM(AN15:AT15),"")</f>
        <v/>
      </c>
    </row>
    <row r="53" spans="1:47">
      <c r="A53" s="3">
        <v>41334</v>
      </c>
      <c r="D53" s="21" t="s">
        <v>84</v>
      </c>
      <c r="E53" s="22" t="str">
        <f t="shared" si="4"/>
        <v/>
      </c>
      <c r="F53" s="22">
        <f>IF(WEEKDAY(F$49,2)=1,SUM($E16:F16),"")</f>
        <v>0</v>
      </c>
      <c r="G53" s="22" t="str">
        <f>IF(WEEKDAY(G$49,2)=1,SUM($E16:G16),"")</f>
        <v/>
      </c>
      <c r="H53" s="22" t="str">
        <f>IF(WEEKDAY(H$49,2)=1,SUM($E16:H16),"")</f>
        <v/>
      </c>
      <c r="I53" s="22" t="str">
        <f>IF(WEEKDAY(I$49,2)=1,SUM($E16:I16),"")</f>
        <v/>
      </c>
      <c r="J53" s="22" t="str">
        <f>IF(WEEKDAY(J$49,2)=1,SUM($E16:J16),"")</f>
        <v/>
      </c>
      <c r="K53" s="22" t="str">
        <f>IF(WEEKDAY(K$49,2)=1,SUM($E16:K16),"")</f>
        <v/>
      </c>
      <c r="L53" s="22" t="str">
        <f t="shared" si="6"/>
        <v/>
      </c>
      <c r="M53" s="22">
        <f t="shared" si="7"/>
        <v>0</v>
      </c>
      <c r="N53" s="22" t="str">
        <f t="shared" si="8"/>
        <v/>
      </c>
      <c r="O53" s="22" t="str">
        <f t="shared" si="9"/>
        <v/>
      </c>
      <c r="P53" s="22" t="str">
        <f t="shared" si="10"/>
        <v/>
      </c>
      <c r="Q53" s="22" t="str">
        <f t="shared" si="11"/>
        <v/>
      </c>
      <c r="R53" s="22" t="str">
        <f t="shared" si="12"/>
        <v/>
      </c>
      <c r="S53" s="22" t="str">
        <f t="shared" si="13"/>
        <v/>
      </c>
      <c r="T53" s="22">
        <f t="shared" si="14"/>
        <v>0</v>
      </c>
      <c r="U53" s="22" t="str">
        <f t="shared" si="15"/>
        <v/>
      </c>
      <c r="V53" s="22" t="str">
        <f t="shared" si="16"/>
        <v/>
      </c>
      <c r="W53" s="22" t="str">
        <f t="shared" si="17"/>
        <v/>
      </c>
      <c r="X53" s="22" t="str">
        <f t="shared" si="18"/>
        <v/>
      </c>
      <c r="Y53" s="22" t="str">
        <f t="shared" si="19"/>
        <v/>
      </c>
      <c r="Z53" s="22" t="str">
        <f t="shared" si="20"/>
        <v/>
      </c>
      <c r="AA53" s="22">
        <f t="shared" si="21"/>
        <v>0</v>
      </c>
      <c r="AB53" s="22" t="str">
        <f t="shared" si="22"/>
        <v/>
      </c>
      <c r="AC53" s="22" t="str">
        <f t="shared" si="23"/>
        <v/>
      </c>
      <c r="AD53" s="22" t="str">
        <f t="shared" si="24"/>
        <v/>
      </c>
      <c r="AE53" s="22" t="str">
        <f t="shared" si="25"/>
        <v/>
      </c>
      <c r="AF53" s="22" t="str">
        <f t="shared" si="26"/>
        <v/>
      </c>
      <c r="AG53" s="22" t="str">
        <f t="shared" si="27"/>
        <v/>
      </c>
      <c r="AH53" s="22">
        <f t="shared" si="28"/>
        <v>0</v>
      </c>
      <c r="AI53" s="22" t="str">
        <f t="shared" si="29"/>
        <v/>
      </c>
      <c r="AJ53" s="14" t="str">
        <f t="shared" si="30"/>
        <v/>
      </c>
      <c r="AK53" s="14" t="str">
        <f t="shared" si="31"/>
        <v/>
      </c>
      <c r="AL53" s="14" t="str">
        <f t="shared" si="32"/>
        <v/>
      </c>
      <c r="AM53" s="14" t="str">
        <f t="shared" si="33"/>
        <v/>
      </c>
      <c r="AN53" s="14" t="str">
        <f t="shared" si="34"/>
        <v/>
      </c>
      <c r="AO53" s="14">
        <f t="shared" si="35"/>
        <v>0</v>
      </c>
      <c r="AP53" s="14" t="str">
        <f t="shared" si="36"/>
        <v/>
      </c>
      <c r="AQ53" s="14" t="str">
        <f t="shared" si="37"/>
        <v/>
      </c>
      <c r="AR53" s="14" t="str">
        <f t="shared" si="38"/>
        <v/>
      </c>
      <c r="AS53" s="14" t="str">
        <f t="shared" si="39"/>
        <v/>
      </c>
      <c r="AT53" s="14" t="str">
        <f t="shared" si="40"/>
        <v/>
      </c>
    </row>
    <row r="54" spans="1:47">
      <c r="A54" s="3">
        <v>41365</v>
      </c>
      <c r="D54" s="21" t="s">
        <v>86</v>
      </c>
      <c r="E54" s="22" t="str">
        <f t="shared" si="4"/>
        <v/>
      </c>
      <c r="F54" s="22">
        <f>IF(WEEKDAY(F$49,2)=1,SUM($E17:F17),"")</f>
        <v>0</v>
      </c>
      <c r="G54" s="22" t="str">
        <f>IF(WEEKDAY(G$49,2)=1,SUM($E17:G17),"")</f>
        <v/>
      </c>
      <c r="H54" s="22" t="str">
        <f>IF(WEEKDAY(H$49,2)=1,SUM($E17:H17),"")</f>
        <v/>
      </c>
      <c r="I54" s="22" t="str">
        <f>IF(WEEKDAY(I$49,2)=1,SUM($E17:I17),"")</f>
        <v/>
      </c>
      <c r="J54" s="22" t="str">
        <f>IF(WEEKDAY(J$49,2)=1,SUM($E17:J17),"")</f>
        <v/>
      </c>
      <c r="K54" s="22" t="str">
        <f>IF(WEEKDAY(K$49,2)=1,SUM($E17:K17),"")</f>
        <v/>
      </c>
      <c r="L54" s="22" t="str">
        <f t="shared" si="6"/>
        <v/>
      </c>
      <c r="M54" s="22">
        <f t="shared" si="7"/>
        <v>0</v>
      </c>
      <c r="N54" s="22" t="str">
        <f t="shared" si="8"/>
        <v/>
      </c>
      <c r="O54" s="22" t="str">
        <f t="shared" si="9"/>
        <v/>
      </c>
      <c r="P54" s="22" t="str">
        <f t="shared" si="10"/>
        <v/>
      </c>
      <c r="Q54" s="22" t="str">
        <f t="shared" si="11"/>
        <v/>
      </c>
      <c r="R54" s="22" t="str">
        <f t="shared" si="12"/>
        <v/>
      </c>
      <c r="S54" s="22" t="str">
        <f t="shared" si="13"/>
        <v/>
      </c>
      <c r="T54" s="22">
        <f t="shared" si="14"/>
        <v>0</v>
      </c>
      <c r="U54" s="22" t="str">
        <f t="shared" si="15"/>
        <v/>
      </c>
      <c r="V54" s="22" t="str">
        <f t="shared" si="16"/>
        <v/>
      </c>
      <c r="W54" s="22" t="str">
        <f t="shared" si="17"/>
        <v/>
      </c>
      <c r="X54" s="22" t="str">
        <f t="shared" si="18"/>
        <v/>
      </c>
      <c r="Y54" s="22" t="str">
        <f t="shared" si="19"/>
        <v/>
      </c>
      <c r="Z54" s="22" t="str">
        <f t="shared" si="20"/>
        <v/>
      </c>
      <c r="AA54" s="22">
        <f t="shared" si="21"/>
        <v>0</v>
      </c>
      <c r="AB54" s="22" t="str">
        <f t="shared" si="22"/>
        <v/>
      </c>
      <c r="AC54" s="22" t="str">
        <f t="shared" si="23"/>
        <v/>
      </c>
      <c r="AD54" s="22" t="str">
        <f t="shared" si="24"/>
        <v/>
      </c>
      <c r="AE54" s="22" t="str">
        <f t="shared" si="25"/>
        <v/>
      </c>
      <c r="AF54" s="22" t="str">
        <f t="shared" si="26"/>
        <v/>
      </c>
      <c r="AG54" s="22" t="str">
        <f t="shared" si="27"/>
        <v/>
      </c>
      <c r="AH54" s="22">
        <f t="shared" si="28"/>
        <v>0</v>
      </c>
      <c r="AI54" s="22" t="str">
        <f t="shared" si="29"/>
        <v/>
      </c>
      <c r="AJ54" s="14" t="str">
        <f t="shared" si="30"/>
        <v/>
      </c>
      <c r="AK54" s="14" t="str">
        <f t="shared" si="31"/>
        <v/>
      </c>
      <c r="AL54" s="14" t="str">
        <f t="shared" si="32"/>
        <v/>
      </c>
      <c r="AM54" s="14" t="str">
        <f t="shared" si="33"/>
        <v/>
      </c>
      <c r="AN54" s="14" t="str">
        <f t="shared" si="34"/>
        <v/>
      </c>
      <c r="AO54" s="14">
        <f t="shared" si="35"/>
        <v>0</v>
      </c>
      <c r="AP54" s="14" t="str">
        <f t="shared" si="36"/>
        <v/>
      </c>
      <c r="AQ54" s="14" t="str">
        <f t="shared" si="37"/>
        <v/>
      </c>
      <c r="AR54" s="14" t="str">
        <f t="shared" si="38"/>
        <v/>
      </c>
      <c r="AS54" s="14" t="str">
        <f t="shared" si="39"/>
        <v/>
      </c>
      <c r="AT54" s="14" t="str">
        <f t="shared" si="40"/>
        <v/>
      </c>
    </row>
    <row r="55" spans="1:47">
      <c r="A55" s="3">
        <v>41395</v>
      </c>
      <c r="D55" s="21" t="s">
        <v>88</v>
      </c>
      <c r="E55" s="22" t="str">
        <f t="shared" si="4"/>
        <v/>
      </c>
      <c r="F55" s="22">
        <f>IF(WEEKDAY(F$49,2)=1,SUM($E18:F18),"")</f>
        <v>0</v>
      </c>
      <c r="G55" s="22" t="str">
        <f>IF(WEEKDAY(G$49,2)=1,SUM($E18:G18),"")</f>
        <v/>
      </c>
      <c r="H55" s="22" t="str">
        <f>IF(WEEKDAY(H$49,2)=1,SUM($E18:H18),"")</f>
        <v/>
      </c>
      <c r="I55" s="22" t="str">
        <f>IF(WEEKDAY(I$49,2)=1,SUM($E18:I18),"")</f>
        <v/>
      </c>
      <c r="J55" s="22" t="str">
        <f>IF(WEEKDAY(J$49,2)=1,SUM($E18:J18),"")</f>
        <v/>
      </c>
      <c r="K55" s="22" t="str">
        <f>IF(WEEKDAY(K$49,2)=1,SUM($E18:K18),"")</f>
        <v/>
      </c>
      <c r="L55" s="22" t="str">
        <f t="shared" si="6"/>
        <v/>
      </c>
      <c r="M55" s="22">
        <f t="shared" si="7"/>
        <v>0</v>
      </c>
      <c r="N55" s="22" t="str">
        <f t="shared" si="8"/>
        <v/>
      </c>
      <c r="O55" s="22" t="str">
        <f t="shared" si="9"/>
        <v/>
      </c>
      <c r="P55" s="22" t="str">
        <f t="shared" si="10"/>
        <v/>
      </c>
      <c r="Q55" s="22" t="str">
        <f t="shared" si="11"/>
        <v/>
      </c>
      <c r="R55" s="22" t="str">
        <f t="shared" si="12"/>
        <v/>
      </c>
      <c r="S55" s="22" t="str">
        <f t="shared" si="13"/>
        <v/>
      </c>
      <c r="T55" s="22">
        <f t="shared" si="14"/>
        <v>0</v>
      </c>
      <c r="U55" s="22" t="str">
        <f t="shared" si="15"/>
        <v/>
      </c>
      <c r="V55" s="22" t="str">
        <f t="shared" si="16"/>
        <v/>
      </c>
      <c r="W55" s="22" t="str">
        <f t="shared" si="17"/>
        <v/>
      </c>
      <c r="X55" s="22" t="str">
        <f t="shared" si="18"/>
        <v/>
      </c>
      <c r="Y55" s="22" t="str">
        <f t="shared" si="19"/>
        <v/>
      </c>
      <c r="Z55" s="22" t="str">
        <f t="shared" si="20"/>
        <v/>
      </c>
      <c r="AA55" s="22">
        <f t="shared" si="21"/>
        <v>0</v>
      </c>
      <c r="AB55" s="22" t="str">
        <f t="shared" si="22"/>
        <v/>
      </c>
      <c r="AC55" s="22" t="str">
        <f t="shared" si="23"/>
        <v/>
      </c>
      <c r="AD55" s="22" t="str">
        <f t="shared" si="24"/>
        <v/>
      </c>
      <c r="AE55" s="22" t="str">
        <f t="shared" si="25"/>
        <v/>
      </c>
      <c r="AF55" s="22" t="str">
        <f t="shared" si="26"/>
        <v/>
      </c>
      <c r="AG55" s="22" t="str">
        <f t="shared" si="27"/>
        <v/>
      </c>
      <c r="AH55" s="22">
        <f t="shared" si="28"/>
        <v>0</v>
      </c>
      <c r="AI55" s="22" t="str">
        <f t="shared" si="29"/>
        <v/>
      </c>
      <c r="AJ55" s="14" t="str">
        <f t="shared" si="30"/>
        <v/>
      </c>
      <c r="AK55" s="14" t="str">
        <f t="shared" si="31"/>
        <v/>
      </c>
      <c r="AL55" s="14" t="str">
        <f t="shared" si="32"/>
        <v/>
      </c>
      <c r="AM55" s="14" t="str">
        <f t="shared" si="33"/>
        <v/>
      </c>
      <c r="AN55" s="14" t="str">
        <f t="shared" si="34"/>
        <v/>
      </c>
      <c r="AO55" s="14">
        <f t="shared" si="35"/>
        <v>0</v>
      </c>
      <c r="AP55" s="14" t="str">
        <f t="shared" si="36"/>
        <v/>
      </c>
      <c r="AQ55" s="14" t="str">
        <f t="shared" si="37"/>
        <v/>
      </c>
      <c r="AR55" s="14" t="str">
        <f t="shared" si="38"/>
        <v/>
      </c>
      <c r="AS55" s="14" t="str">
        <f t="shared" si="39"/>
        <v/>
      </c>
      <c r="AT55" s="14" t="str">
        <f t="shared" si="40"/>
        <v/>
      </c>
    </row>
    <row r="56" spans="1:47">
      <c r="A56" s="3">
        <v>41426</v>
      </c>
      <c r="D56" s="21" t="s">
        <v>90</v>
      </c>
      <c r="E56" s="22" t="str">
        <f t="shared" si="4"/>
        <v/>
      </c>
      <c r="F56" s="22">
        <f>IF(WEEKDAY(F$49,2)=1,SUM($E19:F19),"")</f>
        <v>0</v>
      </c>
      <c r="G56" s="22" t="str">
        <f>IF(WEEKDAY(G$49,2)=1,SUM($E19:G19),"")</f>
        <v/>
      </c>
      <c r="H56" s="22" t="str">
        <f>IF(WEEKDAY(H$49,2)=1,SUM($E19:H19),"")</f>
        <v/>
      </c>
      <c r="I56" s="22" t="str">
        <f>IF(WEEKDAY(I$49,2)=1,SUM($E19:I19),"")</f>
        <v/>
      </c>
      <c r="J56" s="22" t="str">
        <f>IF(WEEKDAY(J$49,2)=1,SUM($E19:J19),"")</f>
        <v/>
      </c>
      <c r="K56" s="22" t="str">
        <f>IF(WEEKDAY(K$49,2)=1,SUM($E19:K19),"")</f>
        <v/>
      </c>
      <c r="L56" s="22" t="str">
        <f t="shared" si="6"/>
        <v/>
      </c>
      <c r="M56" s="22">
        <f t="shared" si="7"/>
        <v>0</v>
      </c>
      <c r="N56" s="22" t="str">
        <f t="shared" si="8"/>
        <v/>
      </c>
      <c r="O56" s="22" t="str">
        <f t="shared" si="9"/>
        <v/>
      </c>
      <c r="P56" s="22" t="str">
        <f t="shared" si="10"/>
        <v/>
      </c>
      <c r="Q56" s="22" t="str">
        <f t="shared" si="11"/>
        <v/>
      </c>
      <c r="R56" s="22" t="str">
        <f t="shared" si="12"/>
        <v/>
      </c>
      <c r="S56" s="22" t="str">
        <f t="shared" si="13"/>
        <v/>
      </c>
      <c r="T56" s="22">
        <f t="shared" si="14"/>
        <v>0</v>
      </c>
      <c r="U56" s="22" t="str">
        <f t="shared" si="15"/>
        <v/>
      </c>
      <c r="V56" s="22" t="str">
        <f t="shared" si="16"/>
        <v/>
      </c>
      <c r="W56" s="22" t="str">
        <f t="shared" si="17"/>
        <v/>
      </c>
      <c r="X56" s="22" t="str">
        <f t="shared" si="18"/>
        <v/>
      </c>
      <c r="Y56" s="22" t="str">
        <f t="shared" si="19"/>
        <v/>
      </c>
      <c r="Z56" s="22" t="str">
        <f t="shared" si="20"/>
        <v/>
      </c>
      <c r="AA56" s="22">
        <f t="shared" si="21"/>
        <v>0</v>
      </c>
      <c r="AB56" s="22" t="str">
        <f t="shared" si="22"/>
        <v/>
      </c>
      <c r="AC56" s="22" t="str">
        <f t="shared" si="23"/>
        <v/>
      </c>
      <c r="AD56" s="22" t="str">
        <f t="shared" si="24"/>
        <v/>
      </c>
      <c r="AE56" s="22" t="str">
        <f t="shared" si="25"/>
        <v/>
      </c>
      <c r="AF56" s="22" t="str">
        <f t="shared" si="26"/>
        <v/>
      </c>
      <c r="AG56" s="22" t="str">
        <f t="shared" si="27"/>
        <v/>
      </c>
      <c r="AH56" s="22">
        <f t="shared" si="28"/>
        <v>0</v>
      </c>
      <c r="AI56" s="22" t="str">
        <f t="shared" si="29"/>
        <v/>
      </c>
      <c r="AJ56" s="14" t="str">
        <f t="shared" si="30"/>
        <v/>
      </c>
      <c r="AK56" s="14" t="str">
        <f t="shared" si="31"/>
        <v/>
      </c>
      <c r="AL56" s="14" t="str">
        <f t="shared" si="32"/>
        <v/>
      </c>
      <c r="AM56" s="14" t="str">
        <f t="shared" si="33"/>
        <v/>
      </c>
      <c r="AN56" s="14" t="str">
        <f t="shared" si="34"/>
        <v/>
      </c>
      <c r="AO56" s="14">
        <f t="shared" si="35"/>
        <v>0</v>
      </c>
      <c r="AP56" s="14" t="str">
        <f t="shared" si="36"/>
        <v/>
      </c>
      <c r="AQ56" s="14" t="str">
        <f t="shared" si="37"/>
        <v/>
      </c>
      <c r="AR56" s="14" t="str">
        <f t="shared" si="38"/>
        <v/>
      </c>
      <c r="AS56" s="14" t="str">
        <f t="shared" si="39"/>
        <v/>
      </c>
      <c r="AT56" s="14" t="str">
        <f t="shared" si="40"/>
        <v/>
      </c>
    </row>
    <row r="57" spans="1:47">
      <c r="A57" s="3">
        <v>41456</v>
      </c>
      <c r="D57" s="21" t="s">
        <v>92</v>
      </c>
      <c r="E57" s="22" t="str">
        <f t="shared" si="4"/>
        <v/>
      </c>
      <c r="F57" s="22">
        <f>IF(WEEKDAY(F$49,2)=1,SUM($E20:F20),"")</f>
        <v>0</v>
      </c>
      <c r="G57" s="22" t="str">
        <f>IF(WEEKDAY(G$49,2)=1,SUM($E20:G20),"")</f>
        <v/>
      </c>
      <c r="H57" s="22" t="str">
        <f>IF(WEEKDAY(H$49,2)=1,SUM($E20:H20),"")</f>
        <v/>
      </c>
      <c r="I57" s="22" t="str">
        <f>IF(WEEKDAY(I$49,2)=1,SUM($E20:I20),"")</f>
        <v/>
      </c>
      <c r="J57" s="22" t="str">
        <f>IF(WEEKDAY(J$49,2)=1,SUM($E20:J20),"")</f>
        <v/>
      </c>
      <c r="K57" s="22" t="str">
        <f>IF(WEEKDAY(K$49,2)=1,SUM($E20:K20),"")</f>
        <v/>
      </c>
      <c r="L57" s="22" t="str">
        <f t="shared" si="6"/>
        <v/>
      </c>
      <c r="M57" s="22">
        <f t="shared" si="7"/>
        <v>0</v>
      </c>
      <c r="N57" s="22" t="str">
        <f t="shared" si="8"/>
        <v/>
      </c>
      <c r="O57" s="22" t="str">
        <f t="shared" si="9"/>
        <v/>
      </c>
      <c r="P57" s="22" t="str">
        <f t="shared" si="10"/>
        <v/>
      </c>
      <c r="Q57" s="22" t="str">
        <f t="shared" si="11"/>
        <v/>
      </c>
      <c r="R57" s="22" t="str">
        <f t="shared" si="12"/>
        <v/>
      </c>
      <c r="S57" s="22" t="str">
        <f t="shared" si="13"/>
        <v/>
      </c>
      <c r="T57" s="22">
        <f t="shared" si="14"/>
        <v>0</v>
      </c>
      <c r="U57" s="22" t="str">
        <f t="shared" si="15"/>
        <v/>
      </c>
      <c r="V57" s="22" t="str">
        <f t="shared" si="16"/>
        <v/>
      </c>
      <c r="W57" s="22" t="str">
        <f t="shared" si="17"/>
        <v/>
      </c>
      <c r="X57" s="22" t="str">
        <f t="shared" si="18"/>
        <v/>
      </c>
      <c r="Y57" s="22" t="str">
        <f t="shared" si="19"/>
        <v/>
      </c>
      <c r="Z57" s="22" t="str">
        <f t="shared" si="20"/>
        <v/>
      </c>
      <c r="AA57" s="22">
        <f t="shared" si="21"/>
        <v>0</v>
      </c>
      <c r="AB57" s="22" t="str">
        <f t="shared" si="22"/>
        <v/>
      </c>
      <c r="AC57" s="22" t="str">
        <f t="shared" si="23"/>
        <v/>
      </c>
      <c r="AD57" s="22" t="str">
        <f t="shared" si="24"/>
        <v/>
      </c>
      <c r="AE57" s="22" t="str">
        <f t="shared" si="25"/>
        <v/>
      </c>
      <c r="AF57" s="22" t="str">
        <f t="shared" si="26"/>
        <v/>
      </c>
      <c r="AG57" s="22" t="str">
        <f t="shared" si="27"/>
        <v/>
      </c>
      <c r="AH57" s="22">
        <f t="shared" si="28"/>
        <v>0</v>
      </c>
      <c r="AI57" s="22" t="str">
        <f t="shared" si="29"/>
        <v/>
      </c>
      <c r="AJ57" s="14" t="str">
        <f t="shared" si="30"/>
        <v/>
      </c>
      <c r="AK57" s="14" t="str">
        <f t="shared" si="31"/>
        <v/>
      </c>
      <c r="AL57" s="14" t="str">
        <f t="shared" si="32"/>
        <v/>
      </c>
      <c r="AM57" s="14" t="str">
        <f t="shared" si="33"/>
        <v/>
      </c>
      <c r="AN57" s="14" t="str">
        <f t="shared" si="34"/>
        <v/>
      </c>
      <c r="AO57" s="14">
        <f t="shared" si="35"/>
        <v>0</v>
      </c>
      <c r="AP57" s="14" t="str">
        <f t="shared" si="36"/>
        <v/>
      </c>
      <c r="AQ57" s="14" t="str">
        <f t="shared" si="37"/>
        <v/>
      </c>
      <c r="AR57" s="14" t="str">
        <f t="shared" si="38"/>
        <v/>
      </c>
      <c r="AS57" s="14" t="str">
        <f t="shared" si="39"/>
        <v/>
      </c>
      <c r="AT57" s="14" t="str">
        <f t="shared" si="40"/>
        <v/>
      </c>
    </row>
    <row r="58" spans="1:47">
      <c r="A58" s="3">
        <v>41487</v>
      </c>
      <c r="D58" s="21" t="s">
        <v>94</v>
      </c>
      <c r="E58" s="22" t="str">
        <f t="shared" si="4"/>
        <v/>
      </c>
      <c r="F58" s="22">
        <f>IF(WEEKDAY(F$49,2)=1,SUM($E21:F21),"")</f>
        <v>0</v>
      </c>
      <c r="G58" s="22" t="str">
        <f>IF(WEEKDAY(G$49,2)=1,SUM($E21:G21),"")</f>
        <v/>
      </c>
      <c r="H58" s="22" t="str">
        <f>IF(WEEKDAY(H$49,2)=1,SUM($E21:H21),"")</f>
        <v/>
      </c>
      <c r="I58" s="22" t="str">
        <f>IF(WEEKDAY(I$49,2)=1,SUM($E21:I21),"")</f>
        <v/>
      </c>
      <c r="J58" s="22" t="str">
        <f>IF(WEEKDAY(J$49,2)=1,SUM($E21:J21),"")</f>
        <v/>
      </c>
      <c r="K58" s="22" t="str">
        <f>IF(WEEKDAY(K$49,2)=1,SUM($E21:K21),"")</f>
        <v/>
      </c>
      <c r="L58" s="22" t="str">
        <f t="shared" si="6"/>
        <v/>
      </c>
      <c r="M58" s="22">
        <f t="shared" si="7"/>
        <v>0</v>
      </c>
      <c r="N58" s="22" t="str">
        <f t="shared" si="8"/>
        <v/>
      </c>
      <c r="O58" s="22" t="str">
        <f t="shared" si="9"/>
        <v/>
      </c>
      <c r="P58" s="22" t="str">
        <f t="shared" si="10"/>
        <v/>
      </c>
      <c r="Q58" s="22" t="str">
        <f t="shared" si="11"/>
        <v/>
      </c>
      <c r="R58" s="22" t="str">
        <f t="shared" si="12"/>
        <v/>
      </c>
      <c r="S58" s="22" t="str">
        <f t="shared" si="13"/>
        <v/>
      </c>
      <c r="T58" s="22">
        <f t="shared" si="14"/>
        <v>0</v>
      </c>
      <c r="U58" s="22" t="str">
        <f t="shared" si="15"/>
        <v/>
      </c>
      <c r="V58" s="22" t="str">
        <f t="shared" si="16"/>
        <v/>
      </c>
      <c r="W58" s="22" t="str">
        <f t="shared" si="17"/>
        <v/>
      </c>
      <c r="X58" s="22" t="str">
        <f t="shared" si="18"/>
        <v/>
      </c>
      <c r="Y58" s="22" t="str">
        <f t="shared" si="19"/>
        <v/>
      </c>
      <c r="Z58" s="22" t="str">
        <f t="shared" si="20"/>
        <v/>
      </c>
      <c r="AA58" s="22">
        <f t="shared" si="21"/>
        <v>0</v>
      </c>
      <c r="AB58" s="22" t="str">
        <f t="shared" si="22"/>
        <v/>
      </c>
      <c r="AC58" s="22" t="str">
        <f t="shared" si="23"/>
        <v/>
      </c>
      <c r="AD58" s="22" t="str">
        <f t="shared" si="24"/>
        <v/>
      </c>
      <c r="AE58" s="22" t="str">
        <f t="shared" si="25"/>
        <v/>
      </c>
      <c r="AF58" s="22" t="str">
        <f t="shared" si="26"/>
        <v/>
      </c>
      <c r="AG58" s="22" t="str">
        <f t="shared" si="27"/>
        <v/>
      </c>
      <c r="AH58" s="22">
        <f t="shared" si="28"/>
        <v>0</v>
      </c>
      <c r="AI58" s="22" t="str">
        <f t="shared" si="29"/>
        <v/>
      </c>
      <c r="AJ58" s="14" t="str">
        <f t="shared" si="30"/>
        <v/>
      </c>
      <c r="AK58" s="14" t="str">
        <f t="shared" si="31"/>
        <v/>
      </c>
      <c r="AL58" s="14" t="str">
        <f t="shared" si="32"/>
        <v/>
      </c>
      <c r="AM58" s="14" t="str">
        <f t="shared" si="33"/>
        <v/>
      </c>
      <c r="AN58" s="14" t="str">
        <f t="shared" si="34"/>
        <v/>
      </c>
      <c r="AO58" s="14">
        <f t="shared" si="35"/>
        <v>0</v>
      </c>
      <c r="AP58" s="14" t="str">
        <f t="shared" si="36"/>
        <v/>
      </c>
      <c r="AQ58" s="14" t="str">
        <f t="shared" si="37"/>
        <v/>
      </c>
      <c r="AR58" s="14" t="str">
        <f t="shared" si="38"/>
        <v/>
      </c>
      <c r="AS58" s="14" t="str">
        <f t="shared" si="39"/>
        <v/>
      </c>
      <c r="AT58" s="14" t="str">
        <f t="shared" si="40"/>
        <v/>
      </c>
    </row>
    <row r="59" spans="1:47">
      <c r="A59" s="3">
        <v>41518</v>
      </c>
      <c r="D59" s="21" t="s">
        <v>96</v>
      </c>
      <c r="E59" s="22" t="str">
        <f t="shared" si="4"/>
        <v/>
      </c>
      <c r="F59" s="22">
        <f>IF(WEEKDAY(F$49,2)=1,SUM($E22:F22),"")</f>
        <v>0</v>
      </c>
      <c r="G59" s="22" t="str">
        <f>IF(WEEKDAY(G$49,2)=1,SUM($E22:G22),"")</f>
        <v/>
      </c>
      <c r="H59" s="22" t="str">
        <f>IF(WEEKDAY(H$49,2)=1,SUM($E22:H22),"")</f>
        <v/>
      </c>
      <c r="I59" s="22" t="str">
        <f>IF(WEEKDAY(I$49,2)=1,SUM($E22:I22),"")</f>
        <v/>
      </c>
      <c r="J59" s="22" t="str">
        <f>IF(WEEKDAY(J$49,2)=1,SUM($E22:J22),"")</f>
        <v/>
      </c>
      <c r="K59" s="22" t="str">
        <f>IF(WEEKDAY(K$49,2)=1,SUM($E22:K22),"")</f>
        <v/>
      </c>
      <c r="L59" s="22" t="str">
        <f t="shared" si="6"/>
        <v/>
      </c>
      <c r="M59" s="22">
        <f t="shared" si="7"/>
        <v>0</v>
      </c>
      <c r="N59" s="22" t="str">
        <f t="shared" si="8"/>
        <v/>
      </c>
      <c r="O59" s="22" t="str">
        <f t="shared" si="9"/>
        <v/>
      </c>
      <c r="P59" s="22" t="str">
        <f t="shared" si="10"/>
        <v/>
      </c>
      <c r="Q59" s="22" t="str">
        <f t="shared" si="11"/>
        <v/>
      </c>
      <c r="R59" s="22" t="str">
        <f t="shared" si="12"/>
        <v/>
      </c>
      <c r="S59" s="22" t="str">
        <f t="shared" si="13"/>
        <v/>
      </c>
      <c r="T59" s="22">
        <f t="shared" si="14"/>
        <v>0</v>
      </c>
      <c r="U59" s="22" t="str">
        <f t="shared" si="15"/>
        <v/>
      </c>
      <c r="V59" s="22" t="str">
        <f t="shared" si="16"/>
        <v/>
      </c>
      <c r="W59" s="22" t="str">
        <f t="shared" si="17"/>
        <v/>
      </c>
      <c r="X59" s="22" t="str">
        <f t="shared" si="18"/>
        <v/>
      </c>
      <c r="Y59" s="22" t="str">
        <f t="shared" si="19"/>
        <v/>
      </c>
      <c r="Z59" s="22" t="str">
        <f t="shared" si="20"/>
        <v/>
      </c>
      <c r="AA59" s="22">
        <f t="shared" si="21"/>
        <v>0</v>
      </c>
      <c r="AB59" s="22" t="str">
        <f t="shared" si="22"/>
        <v/>
      </c>
      <c r="AC59" s="22" t="str">
        <f t="shared" si="23"/>
        <v/>
      </c>
      <c r="AD59" s="22" t="str">
        <f t="shared" si="24"/>
        <v/>
      </c>
      <c r="AE59" s="22" t="str">
        <f t="shared" si="25"/>
        <v/>
      </c>
      <c r="AF59" s="22" t="str">
        <f t="shared" si="26"/>
        <v/>
      </c>
      <c r="AG59" s="22" t="str">
        <f t="shared" si="27"/>
        <v/>
      </c>
      <c r="AH59" s="22">
        <f t="shared" si="28"/>
        <v>0</v>
      </c>
      <c r="AI59" s="22" t="str">
        <f t="shared" si="29"/>
        <v/>
      </c>
      <c r="AJ59" s="14" t="str">
        <f t="shared" si="30"/>
        <v/>
      </c>
      <c r="AK59" s="14" t="str">
        <f t="shared" si="31"/>
        <v/>
      </c>
      <c r="AL59" s="14" t="str">
        <f t="shared" si="32"/>
        <v/>
      </c>
      <c r="AM59" s="14" t="str">
        <f t="shared" si="33"/>
        <v/>
      </c>
      <c r="AN59" s="14" t="str">
        <f t="shared" si="34"/>
        <v/>
      </c>
      <c r="AO59" s="14">
        <f t="shared" si="35"/>
        <v>0</v>
      </c>
      <c r="AP59" s="14" t="str">
        <f t="shared" si="36"/>
        <v/>
      </c>
      <c r="AQ59" s="14" t="str">
        <f t="shared" si="37"/>
        <v/>
      </c>
      <c r="AR59" s="14" t="str">
        <f t="shared" si="38"/>
        <v/>
      </c>
      <c r="AS59" s="14" t="str">
        <f t="shared" si="39"/>
        <v/>
      </c>
      <c r="AT59" s="14" t="str">
        <f t="shared" si="40"/>
        <v/>
      </c>
    </row>
    <row r="60" spans="1:47">
      <c r="D60" s="21" t="s">
        <v>98</v>
      </c>
      <c r="E60" s="22" t="str">
        <f t="shared" si="4"/>
        <v/>
      </c>
      <c r="F60" s="22">
        <f>IF(WEEKDAY(F$49,2)=1,SUM($E23:F23),"")</f>
        <v>0</v>
      </c>
      <c r="G60" s="22" t="str">
        <f>IF(WEEKDAY(G$49,2)=1,SUM($E23:G23),"")</f>
        <v/>
      </c>
      <c r="H60" s="22" t="str">
        <f>IF(WEEKDAY(H$49,2)=1,SUM($E23:H23),"")</f>
        <v/>
      </c>
      <c r="I60" s="22" t="str">
        <f>IF(WEEKDAY(I$49,2)=1,SUM($E23:I23),"")</f>
        <v/>
      </c>
      <c r="J60" s="22" t="str">
        <f>IF(WEEKDAY(J$49,2)=1,SUM($E23:J23),"")</f>
        <v/>
      </c>
      <c r="K60" s="22" t="str">
        <f>IF(WEEKDAY(K$49,2)=1,SUM($E23:K23),"")</f>
        <v/>
      </c>
      <c r="L60" s="22" t="str">
        <f t="shared" si="6"/>
        <v/>
      </c>
      <c r="M60" s="22">
        <f t="shared" si="7"/>
        <v>0</v>
      </c>
      <c r="N60" s="22" t="str">
        <f t="shared" si="8"/>
        <v/>
      </c>
      <c r="O60" s="22" t="str">
        <f t="shared" si="9"/>
        <v/>
      </c>
      <c r="P60" s="22" t="str">
        <f t="shared" si="10"/>
        <v/>
      </c>
      <c r="Q60" s="22" t="str">
        <f t="shared" si="11"/>
        <v/>
      </c>
      <c r="R60" s="22" t="str">
        <f t="shared" si="12"/>
        <v/>
      </c>
      <c r="S60" s="22" t="str">
        <f t="shared" si="13"/>
        <v/>
      </c>
      <c r="T60" s="22">
        <f t="shared" si="14"/>
        <v>0</v>
      </c>
      <c r="U60" s="22" t="str">
        <f t="shared" si="15"/>
        <v/>
      </c>
      <c r="V60" s="22" t="str">
        <f t="shared" si="16"/>
        <v/>
      </c>
      <c r="W60" s="22" t="str">
        <f t="shared" si="17"/>
        <v/>
      </c>
      <c r="X60" s="22" t="str">
        <f t="shared" si="18"/>
        <v/>
      </c>
      <c r="Y60" s="22" t="str">
        <f t="shared" si="19"/>
        <v/>
      </c>
      <c r="Z60" s="22" t="str">
        <f t="shared" si="20"/>
        <v/>
      </c>
      <c r="AA60" s="22">
        <f t="shared" si="21"/>
        <v>0</v>
      </c>
      <c r="AB60" s="22" t="str">
        <f t="shared" si="22"/>
        <v/>
      </c>
      <c r="AC60" s="22" t="str">
        <f t="shared" si="23"/>
        <v/>
      </c>
      <c r="AD60" s="22" t="str">
        <f t="shared" si="24"/>
        <v/>
      </c>
      <c r="AE60" s="22" t="str">
        <f t="shared" si="25"/>
        <v/>
      </c>
      <c r="AF60" s="22" t="str">
        <f t="shared" si="26"/>
        <v/>
      </c>
      <c r="AG60" s="22" t="str">
        <f t="shared" si="27"/>
        <v/>
      </c>
      <c r="AH60" s="22">
        <f t="shared" si="28"/>
        <v>0</v>
      </c>
      <c r="AI60" s="22" t="str">
        <f t="shared" si="29"/>
        <v/>
      </c>
      <c r="AJ60" s="14" t="str">
        <f t="shared" si="30"/>
        <v/>
      </c>
      <c r="AK60" s="14" t="str">
        <f t="shared" si="31"/>
        <v/>
      </c>
      <c r="AL60" s="14" t="str">
        <f t="shared" si="32"/>
        <v/>
      </c>
      <c r="AM60" s="14" t="str">
        <f t="shared" si="33"/>
        <v/>
      </c>
      <c r="AN60" s="14" t="str">
        <f t="shared" si="34"/>
        <v/>
      </c>
      <c r="AO60" s="14">
        <f t="shared" si="35"/>
        <v>0</v>
      </c>
      <c r="AP60" s="14" t="str">
        <f t="shared" si="36"/>
        <v/>
      </c>
      <c r="AQ60" s="14" t="str">
        <f t="shared" si="37"/>
        <v/>
      </c>
      <c r="AR60" s="14" t="str">
        <f t="shared" si="38"/>
        <v/>
      </c>
      <c r="AS60" s="14" t="str">
        <f t="shared" si="39"/>
        <v/>
      </c>
      <c r="AT60" s="14" t="str">
        <f t="shared" si="40"/>
        <v/>
      </c>
    </row>
    <row r="61" spans="1:47">
      <c r="D61" s="21" t="s">
        <v>100</v>
      </c>
      <c r="E61" s="22" t="str">
        <f t="shared" si="4"/>
        <v/>
      </c>
      <c r="F61" s="22">
        <f>IF(WEEKDAY(F$49,2)=1,SUM($E24:F24),"")</f>
        <v>0</v>
      </c>
      <c r="G61" s="22" t="str">
        <f>IF(WEEKDAY(G$49,2)=1,SUM($E24:G24),"")</f>
        <v/>
      </c>
      <c r="H61" s="22" t="str">
        <f>IF(WEEKDAY(H$49,2)=1,SUM($E24:H24),"")</f>
        <v/>
      </c>
      <c r="I61" s="22" t="str">
        <f>IF(WEEKDAY(I$49,2)=1,SUM($E24:I24),"")</f>
        <v/>
      </c>
      <c r="J61" s="22" t="str">
        <f>IF(WEEKDAY(J$49,2)=1,SUM($E24:J24),"")</f>
        <v/>
      </c>
      <c r="K61" s="22" t="str">
        <f>IF(WEEKDAY(K$49,2)=1,SUM($E24:K24),"")</f>
        <v/>
      </c>
      <c r="L61" s="22" t="str">
        <f t="shared" si="6"/>
        <v/>
      </c>
      <c r="M61" s="22">
        <f t="shared" si="7"/>
        <v>0</v>
      </c>
      <c r="N61" s="22" t="str">
        <f t="shared" si="8"/>
        <v/>
      </c>
      <c r="O61" s="22" t="str">
        <f t="shared" si="9"/>
        <v/>
      </c>
      <c r="P61" s="22" t="str">
        <f t="shared" si="10"/>
        <v/>
      </c>
      <c r="Q61" s="22" t="str">
        <f t="shared" si="11"/>
        <v/>
      </c>
      <c r="R61" s="22" t="str">
        <f t="shared" si="12"/>
        <v/>
      </c>
      <c r="S61" s="22" t="str">
        <f t="shared" si="13"/>
        <v/>
      </c>
      <c r="T61" s="22">
        <f t="shared" si="14"/>
        <v>0</v>
      </c>
      <c r="U61" s="22" t="str">
        <f t="shared" si="15"/>
        <v/>
      </c>
      <c r="V61" s="22" t="str">
        <f t="shared" si="16"/>
        <v/>
      </c>
      <c r="W61" s="22" t="str">
        <f t="shared" si="17"/>
        <v/>
      </c>
      <c r="X61" s="22" t="str">
        <f t="shared" si="18"/>
        <v/>
      </c>
      <c r="Y61" s="22" t="str">
        <f t="shared" si="19"/>
        <v/>
      </c>
      <c r="Z61" s="22" t="str">
        <f t="shared" si="20"/>
        <v/>
      </c>
      <c r="AA61" s="22">
        <f t="shared" si="21"/>
        <v>0</v>
      </c>
      <c r="AB61" s="22" t="str">
        <f t="shared" si="22"/>
        <v/>
      </c>
      <c r="AC61" s="22" t="str">
        <f t="shared" si="23"/>
        <v/>
      </c>
      <c r="AD61" s="22" t="str">
        <f t="shared" si="24"/>
        <v/>
      </c>
      <c r="AE61" s="22" t="str">
        <f t="shared" si="25"/>
        <v/>
      </c>
      <c r="AF61" s="22" t="str">
        <f t="shared" si="26"/>
        <v/>
      </c>
      <c r="AG61" s="22" t="str">
        <f t="shared" si="27"/>
        <v/>
      </c>
      <c r="AH61" s="22">
        <f t="shared" si="28"/>
        <v>0</v>
      </c>
      <c r="AI61" s="22" t="str">
        <f t="shared" si="29"/>
        <v/>
      </c>
      <c r="AJ61" s="14" t="str">
        <f t="shared" si="30"/>
        <v/>
      </c>
      <c r="AK61" s="14" t="str">
        <f t="shared" si="31"/>
        <v/>
      </c>
      <c r="AL61" s="14" t="str">
        <f t="shared" si="32"/>
        <v/>
      </c>
      <c r="AM61" s="14" t="str">
        <f t="shared" si="33"/>
        <v/>
      </c>
      <c r="AN61" s="14" t="str">
        <f t="shared" si="34"/>
        <v/>
      </c>
      <c r="AO61" s="14">
        <f t="shared" si="35"/>
        <v>0</v>
      </c>
      <c r="AP61" s="14" t="str">
        <f t="shared" si="36"/>
        <v/>
      </c>
      <c r="AQ61" s="14" t="str">
        <f t="shared" si="37"/>
        <v/>
      </c>
      <c r="AR61" s="14" t="str">
        <f t="shared" si="38"/>
        <v/>
      </c>
      <c r="AS61" s="14" t="str">
        <f t="shared" si="39"/>
        <v/>
      </c>
      <c r="AT61" s="14" t="str">
        <f t="shared" si="40"/>
        <v/>
      </c>
    </row>
    <row r="62" spans="1:47">
      <c r="D62" s="21" t="s">
        <v>102</v>
      </c>
      <c r="E62" s="22" t="str">
        <f t="shared" si="4"/>
        <v/>
      </c>
      <c r="F62" s="22">
        <f>IF(WEEKDAY(F$49,2)=1,SUM($E25:F25),"")</f>
        <v>0</v>
      </c>
      <c r="G62" s="22" t="str">
        <f>IF(WEEKDAY(G$49,2)=1,SUM($E25:G25),"")</f>
        <v/>
      </c>
      <c r="H62" s="22" t="str">
        <f>IF(WEEKDAY(H$49,2)=1,SUM($E25:H25),"")</f>
        <v/>
      </c>
      <c r="I62" s="22" t="str">
        <f>IF(WEEKDAY(I$49,2)=1,SUM($E25:I25),"")</f>
        <v/>
      </c>
      <c r="J62" s="22" t="str">
        <f>IF(WEEKDAY(J$49,2)=1,SUM($E25:J25),"")</f>
        <v/>
      </c>
      <c r="K62" s="22" t="str">
        <f>IF(WEEKDAY(K$49,2)=1,SUM($E25:K25),"")</f>
        <v/>
      </c>
      <c r="L62" s="22" t="str">
        <f t="shared" si="6"/>
        <v/>
      </c>
      <c r="M62" s="22">
        <f t="shared" si="7"/>
        <v>0</v>
      </c>
      <c r="N62" s="22" t="str">
        <f t="shared" si="8"/>
        <v/>
      </c>
      <c r="O62" s="22" t="str">
        <f t="shared" si="9"/>
        <v/>
      </c>
      <c r="P62" s="22" t="str">
        <f t="shared" si="10"/>
        <v/>
      </c>
      <c r="Q62" s="22" t="str">
        <f t="shared" si="11"/>
        <v/>
      </c>
      <c r="R62" s="22" t="str">
        <f t="shared" si="12"/>
        <v/>
      </c>
      <c r="S62" s="22" t="str">
        <f t="shared" si="13"/>
        <v/>
      </c>
      <c r="T62" s="22">
        <f t="shared" si="14"/>
        <v>0</v>
      </c>
      <c r="U62" s="22" t="str">
        <f t="shared" si="15"/>
        <v/>
      </c>
      <c r="V62" s="22" t="str">
        <f t="shared" si="16"/>
        <v/>
      </c>
      <c r="W62" s="22" t="str">
        <f t="shared" si="17"/>
        <v/>
      </c>
      <c r="X62" s="22" t="str">
        <f t="shared" si="18"/>
        <v/>
      </c>
      <c r="Y62" s="22" t="str">
        <f t="shared" si="19"/>
        <v/>
      </c>
      <c r="Z62" s="22" t="str">
        <f t="shared" si="20"/>
        <v/>
      </c>
      <c r="AA62" s="22">
        <f t="shared" si="21"/>
        <v>0</v>
      </c>
      <c r="AB62" s="22" t="str">
        <f t="shared" si="22"/>
        <v/>
      </c>
      <c r="AC62" s="22" t="str">
        <f t="shared" si="23"/>
        <v/>
      </c>
      <c r="AD62" s="22" t="str">
        <f t="shared" si="24"/>
        <v/>
      </c>
      <c r="AE62" s="22" t="str">
        <f t="shared" si="25"/>
        <v/>
      </c>
      <c r="AF62" s="22" t="str">
        <f t="shared" si="26"/>
        <v/>
      </c>
      <c r="AG62" s="22" t="str">
        <f t="shared" si="27"/>
        <v/>
      </c>
      <c r="AH62" s="22">
        <f t="shared" si="28"/>
        <v>0</v>
      </c>
      <c r="AI62" s="22" t="str">
        <f t="shared" si="29"/>
        <v/>
      </c>
      <c r="AJ62" s="14" t="str">
        <f t="shared" si="30"/>
        <v/>
      </c>
      <c r="AK62" s="14" t="str">
        <f t="shared" si="31"/>
        <v/>
      </c>
      <c r="AL62" s="14" t="str">
        <f t="shared" si="32"/>
        <v/>
      </c>
      <c r="AM62" s="14" t="str">
        <f t="shared" si="33"/>
        <v/>
      </c>
      <c r="AN62" s="14" t="str">
        <f t="shared" si="34"/>
        <v/>
      </c>
      <c r="AO62" s="14">
        <f t="shared" si="35"/>
        <v>0</v>
      </c>
      <c r="AP62" s="14" t="str">
        <f t="shared" si="36"/>
        <v/>
      </c>
      <c r="AQ62" s="14" t="str">
        <f t="shared" si="37"/>
        <v/>
      </c>
      <c r="AR62" s="14" t="str">
        <f t="shared" si="38"/>
        <v/>
      </c>
      <c r="AS62" s="14" t="str">
        <f t="shared" si="39"/>
        <v/>
      </c>
      <c r="AT62" s="14" t="str">
        <f t="shared" si="40"/>
        <v/>
      </c>
      <c r="AU62" s="19"/>
    </row>
    <row r="63" spans="1:47">
      <c r="D63" s="21" t="s">
        <v>104</v>
      </c>
      <c r="E63" s="22" t="str">
        <f t="shared" si="4"/>
        <v/>
      </c>
      <c r="F63" s="22">
        <f>IF(WEEKDAY(F$49,2)=1,SUM($E26:F26),"")</f>
        <v>0</v>
      </c>
      <c r="G63" s="22" t="str">
        <f>IF(WEEKDAY(G$49,2)=1,SUM($E26:G26),"")</f>
        <v/>
      </c>
      <c r="H63" s="22" t="str">
        <f>IF(WEEKDAY(H$49,2)=1,SUM($E26:H26),"")</f>
        <v/>
      </c>
      <c r="I63" s="22" t="str">
        <f>IF(WEEKDAY(I$49,2)=1,SUM($E26:I26),"")</f>
        <v/>
      </c>
      <c r="J63" s="22" t="str">
        <f>IF(WEEKDAY(J$49,2)=1,SUM($E26:J26),"")</f>
        <v/>
      </c>
      <c r="K63" s="22" t="str">
        <f>IF(WEEKDAY(K$49,2)=1,SUM($E26:K26),"")</f>
        <v/>
      </c>
      <c r="L63" s="22" t="str">
        <f t="shared" si="6"/>
        <v/>
      </c>
      <c r="M63" s="22">
        <f t="shared" si="7"/>
        <v>0</v>
      </c>
      <c r="N63" s="22" t="str">
        <f t="shared" si="8"/>
        <v/>
      </c>
      <c r="O63" s="22" t="str">
        <f t="shared" si="9"/>
        <v/>
      </c>
      <c r="P63" s="22" t="str">
        <f t="shared" si="10"/>
        <v/>
      </c>
      <c r="Q63" s="22" t="str">
        <f t="shared" si="11"/>
        <v/>
      </c>
      <c r="R63" s="22" t="str">
        <f t="shared" si="12"/>
        <v/>
      </c>
      <c r="S63" s="22" t="str">
        <f t="shared" si="13"/>
        <v/>
      </c>
      <c r="T63" s="22">
        <f t="shared" si="14"/>
        <v>0</v>
      </c>
      <c r="U63" s="22" t="str">
        <f t="shared" si="15"/>
        <v/>
      </c>
      <c r="V63" s="22" t="str">
        <f t="shared" si="16"/>
        <v/>
      </c>
      <c r="W63" s="22" t="str">
        <f t="shared" si="17"/>
        <v/>
      </c>
      <c r="X63" s="22" t="str">
        <f t="shared" si="18"/>
        <v/>
      </c>
      <c r="Y63" s="22" t="str">
        <f t="shared" si="19"/>
        <v/>
      </c>
      <c r="Z63" s="22" t="str">
        <f t="shared" si="20"/>
        <v/>
      </c>
      <c r="AA63" s="22">
        <f t="shared" si="21"/>
        <v>0</v>
      </c>
      <c r="AB63" s="22" t="str">
        <f t="shared" si="22"/>
        <v/>
      </c>
      <c r="AC63" s="22" t="str">
        <f t="shared" si="23"/>
        <v/>
      </c>
      <c r="AD63" s="22" t="str">
        <f t="shared" si="24"/>
        <v/>
      </c>
      <c r="AE63" s="22" t="str">
        <f t="shared" si="25"/>
        <v/>
      </c>
      <c r="AF63" s="22" t="str">
        <f t="shared" si="26"/>
        <v/>
      </c>
      <c r="AG63" s="22" t="str">
        <f t="shared" si="27"/>
        <v/>
      </c>
      <c r="AH63" s="22">
        <f t="shared" si="28"/>
        <v>0</v>
      </c>
      <c r="AI63" s="22" t="str">
        <f t="shared" si="29"/>
        <v/>
      </c>
      <c r="AJ63" s="14" t="str">
        <f t="shared" si="30"/>
        <v/>
      </c>
      <c r="AK63" s="14" t="str">
        <f t="shared" si="31"/>
        <v/>
      </c>
      <c r="AL63" s="14" t="str">
        <f t="shared" si="32"/>
        <v/>
      </c>
      <c r="AM63" s="14" t="str">
        <f t="shared" si="33"/>
        <v/>
      </c>
      <c r="AN63" s="14" t="str">
        <f t="shared" si="34"/>
        <v/>
      </c>
      <c r="AO63" s="14">
        <f t="shared" si="35"/>
        <v>0</v>
      </c>
      <c r="AP63" s="14" t="str">
        <f t="shared" si="36"/>
        <v/>
      </c>
      <c r="AQ63" s="14" t="str">
        <f t="shared" si="37"/>
        <v/>
      </c>
      <c r="AR63" s="14" t="str">
        <f t="shared" si="38"/>
        <v/>
      </c>
      <c r="AS63" s="14" t="str">
        <f t="shared" si="39"/>
        <v/>
      </c>
      <c r="AT63" s="14" t="str">
        <f t="shared" si="40"/>
        <v/>
      </c>
      <c r="AU63" s="19"/>
    </row>
    <row r="64" spans="1:47">
      <c r="D64" s="21" t="s">
        <v>106</v>
      </c>
      <c r="E64" s="22" t="str">
        <f t="shared" si="4"/>
        <v/>
      </c>
      <c r="F64" s="22">
        <f>IF(WEEKDAY(F$49,2)=1,SUM($E27:F27),"")</f>
        <v>0</v>
      </c>
      <c r="G64" s="22" t="str">
        <f>IF(WEEKDAY(G$49,2)=1,SUM($E27:G27),"")</f>
        <v/>
      </c>
      <c r="H64" s="22" t="str">
        <f>IF(WEEKDAY(H$49,2)=1,SUM($E27:H27),"")</f>
        <v/>
      </c>
      <c r="I64" s="22" t="str">
        <f>IF(WEEKDAY(I$49,2)=1,SUM($E27:I27),"")</f>
        <v/>
      </c>
      <c r="J64" s="22" t="str">
        <f>IF(WEEKDAY(J$49,2)=1,SUM($E27:J27),"")</f>
        <v/>
      </c>
      <c r="K64" s="22" t="str">
        <f>IF(WEEKDAY(K$49,2)=1,SUM($E27:K27),"")</f>
        <v/>
      </c>
      <c r="L64" s="22" t="str">
        <f t="shared" si="6"/>
        <v/>
      </c>
      <c r="M64" s="22">
        <f t="shared" si="7"/>
        <v>0</v>
      </c>
      <c r="N64" s="22" t="str">
        <f t="shared" si="8"/>
        <v/>
      </c>
      <c r="O64" s="22" t="str">
        <f t="shared" si="9"/>
        <v/>
      </c>
      <c r="P64" s="22" t="str">
        <f t="shared" si="10"/>
        <v/>
      </c>
      <c r="Q64" s="22" t="str">
        <f t="shared" si="11"/>
        <v/>
      </c>
      <c r="R64" s="22" t="str">
        <f t="shared" si="12"/>
        <v/>
      </c>
      <c r="S64" s="22" t="str">
        <f t="shared" si="13"/>
        <v/>
      </c>
      <c r="T64" s="22">
        <f t="shared" si="14"/>
        <v>0</v>
      </c>
      <c r="U64" s="22" t="str">
        <f t="shared" si="15"/>
        <v/>
      </c>
      <c r="V64" s="22" t="str">
        <f t="shared" si="16"/>
        <v/>
      </c>
      <c r="W64" s="22" t="str">
        <f t="shared" si="17"/>
        <v/>
      </c>
      <c r="X64" s="22" t="str">
        <f t="shared" si="18"/>
        <v/>
      </c>
      <c r="Y64" s="22" t="str">
        <f t="shared" si="19"/>
        <v/>
      </c>
      <c r="Z64" s="22" t="str">
        <f t="shared" si="20"/>
        <v/>
      </c>
      <c r="AA64" s="22">
        <f t="shared" si="21"/>
        <v>0</v>
      </c>
      <c r="AB64" s="22" t="str">
        <f t="shared" si="22"/>
        <v/>
      </c>
      <c r="AC64" s="22" t="str">
        <f t="shared" si="23"/>
        <v/>
      </c>
      <c r="AD64" s="22" t="str">
        <f t="shared" si="24"/>
        <v/>
      </c>
      <c r="AE64" s="22" t="str">
        <f t="shared" si="25"/>
        <v/>
      </c>
      <c r="AF64" s="22" t="str">
        <f t="shared" si="26"/>
        <v/>
      </c>
      <c r="AG64" s="22" t="str">
        <f t="shared" si="27"/>
        <v/>
      </c>
      <c r="AH64" s="22">
        <f t="shared" si="28"/>
        <v>0</v>
      </c>
      <c r="AI64" s="22" t="str">
        <f t="shared" si="29"/>
        <v/>
      </c>
      <c r="AJ64" s="14" t="str">
        <f t="shared" si="30"/>
        <v/>
      </c>
      <c r="AK64" s="14" t="str">
        <f t="shared" si="31"/>
        <v/>
      </c>
      <c r="AL64" s="14" t="str">
        <f t="shared" si="32"/>
        <v/>
      </c>
      <c r="AM64" s="14" t="str">
        <f t="shared" si="33"/>
        <v/>
      </c>
      <c r="AN64" s="14" t="str">
        <f t="shared" si="34"/>
        <v/>
      </c>
      <c r="AO64" s="14">
        <f t="shared" si="35"/>
        <v>0</v>
      </c>
      <c r="AP64" s="14" t="str">
        <f t="shared" si="36"/>
        <v/>
      </c>
      <c r="AQ64" s="14" t="str">
        <f t="shared" si="37"/>
        <v/>
      </c>
      <c r="AR64" s="14" t="str">
        <f t="shared" si="38"/>
        <v/>
      </c>
      <c r="AS64" s="14" t="str">
        <f t="shared" si="39"/>
        <v/>
      </c>
      <c r="AT64" s="14" t="str">
        <f t="shared" si="40"/>
        <v/>
      </c>
      <c r="AU64" s="19"/>
    </row>
    <row r="65" spans="4:47">
      <c r="D65" s="21" t="s">
        <v>108</v>
      </c>
      <c r="E65" s="22" t="str">
        <f t="shared" si="4"/>
        <v/>
      </c>
      <c r="F65" s="22">
        <f>IF(WEEKDAY(F$49,2)=1,SUM($E28:F28),"")</f>
        <v>0</v>
      </c>
      <c r="G65" s="22" t="str">
        <f>IF(WEEKDAY(G$49,2)=1,SUM($E28:G28),"")</f>
        <v/>
      </c>
      <c r="H65" s="22" t="str">
        <f>IF(WEEKDAY(H$49,2)=1,SUM($E28:H28),"")</f>
        <v/>
      </c>
      <c r="I65" s="22" t="str">
        <f>IF(WEEKDAY(I$49,2)=1,SUM($E28:I28),"")</f>
        <v/>
      </c>
      <c r="J65" s="22" t="str">
        <f>IF(WEEKDAY(J$49,2)=1,SUM($E28:J28),"")</f>
        <v/>
      </c>
      <c r="K65" s="22" t="str">
        <f>IF(WEEKDAY(K$49,2)=1,SUM($E28:K28),"")</f>
        <v/>
      </c>
      <c r="L65" s="22" t="str">
        <f t="shared" si="6"/>
        <v/>
      </c>
      <c r="M65" s="22">
        <f t="shared" si="7"/>
        <v>0</v>
      </c>
      <c r="N65" s="22" t="str">
        <f t="shared" si="8"/>
        <v/>
      </c>
      <c r="O65" s="22" t="str">
        <f t="shared" si="9"/>
        <v/>
      </c>
      <c r="P65" s="22" t="str">
        <f t="shared" si="10"/>
        <v/>
      </c>
      <c r="Q65" s="22" t="str">
        <f t="shared" si="11"/>
        <v/>
      </c>
      <c r="R65" s="22" t="str">
        <f t="shared" si="12"/>
        <v/>
      </c>
      <c r="S65" s="22" t="str">
        <f t="shared" si="13"/>
        <v/>
      </c>
      <c r="T65" s="22">
        <f t="shared" si="14"/>
        <v>0</v>
      </c>
      <c r="U65" s="22" t="str">
        <f t="shared" si="15"/>
        <v/>
      </c>
      <c r="V65" s="22" t="str">
        <f t="shared" si="16"/>
        <v/>
      </c>
      <c r="W65" s="22" t="str">
        <f t="shared" si="17"/>
        <v/>
      </c>
      <c r="X65" s="22" t="str">
        <f t="shared" si="18"/>
        <v/>
      </c>
      <c r="Y65" s="22" t="str">
        <f t="shared" si="19"/>
        <v/>
      </c>
      <c r="Z65" s="22" t="str">
        <f t="shared" si="20"/>
        <v/>
      </c>
      <c r="AA65" s="22">
        <f t="shared" si="21"/>
        <v>0</v>
      </c>
      <c r="AB65" s="22" t="str">
        <f t="shared" si="22"/>
        <v/>
      </c>
      <c r="AC65" s="22" t="str">
        <f t="shared" si="23"/>
        <v/>
      </c>
      <c r="AD65" s="22" t="str">
        <f t="shared" si="24"/>
        <v/>
      </c>
      <c r="AE65" s="22" t="str">
        <f t="shared" si="25"/>
        <v/>
      </c>
      <c r="AF65" s="22" t="str">
        <f t="shared" si="26"/>
        <v/>
      </c>
      <c r="AG65" s="22" t="str">
        <f t="shared" si="27"/>
        <v/>
      </c>
      <c r="AH65" s="22">
        <f t="shared" si="28"/>
        <v>0</v>
      </c>
      <c r="AI65" s="22" t="str">
        <f t="shared" si="29"/>
        <v/>
      </c>
      <c r="AJ65" s="14" t="str">
        <f t="shared" si="30"/>
        <v/>
      </c>
      <c r="AK65" s="14" t="str">
        <f t="shared" si="31"/>
        <v/>
      </c>
      <c r="AL65" s="14" t="str">
        <f t="shared" si="32"/>
        <v/>
      </c>
      <c r="AM65" s="14" t="str">
        <f t="shared" si="33"/>
        <v/>
      </c>
      <c r="AN65" s="14" t="str">
        <f t="shared" si="34"/>
        <v/>
      </c>
      <c r="AO65" s="14">
        <f t="shared" si="35"/>
        <v>0</v>
      </c>
      <c r="AP65" s="14" t="str">
        <f t="shared" si="36"/>
        <v/>
      </c>
      <c r="AQ65" s="14" t="str">
        <f t="shared" si="37"/>
        <v/>
      </c>
      <c r="AR65" s="14" t="str">
        <f t="shared" si="38"/>
        <v/>
      </c>
      <c r="AS65" s="14" t="str">
        <f t="shared" si="39"/>
        <v/>
      </c>
      <c r="AT65" s="14" t="str">
        <f t="shared" si="40"/>
        <v/>
      </c>
      <c r="AU65" s="19"/>
    </row>
    <row r="66" spans="4:47">
      <c r="D66" s="21" t="s">
        <v>110</v>
      </c>
      <c r="E66" s="22" t="str">
        <f t="shared" si="4"/>
        <v/>
      </c>
      <c r="F66" s="22">
        <f>IF(WEEKDAY(F$49,2)=1,SUM($E29:F29),"")</f>
        <v>0</v>
      </c>
      <c r="G66" s="22" t="str">
        <f>IF(WEEKDAY(G$49,2)=1,SUM($E29:G29),"")</f>
        <v/>
      </c>
      <c r="H66" s="22" t="str">
        <f>IF(WEEKDAY(H$49,2)=1,SUM($E29:H29),"")</f>
        <v/>
      </c>
      <c r="I66" s="22" t="str">
        <f>IF(WEEKDAY(I$49,2)=1,SUM($E29:I29),"")</f>
        <v/>
      </c>
      <c r="J66" s="22" t="str">
        <f>IF(WEEKDAY(J$49,2)=1,SUM($E29:J29),"")</f>
        <v/>
      </c>
      <c r="K66" s="22" t="str">
        <f>IF(WEEKDAY(K$49,2)=1,SUM($E29:K29),"")</f>
        <v/>
      </c>
      <c r="L66" s="22" t="str">
        <f t="shared" si="6"/>
        <v/>
      </c>
      <c r="M66" s="22">
        <f t="shared" si="7"/>
        <v>0</v>
      </c>
      <c r="N66" s="22" t="str">
        <f t="shared" si="8"/>
        <v/>
      </c>
      <c r="O66" s="22" t="str">
        <f t="shared" si="9"/>
        <v/>
      </c>
      <c r="P66" s="22" t="str">
        <f t="shared" si="10"/>
        <v/>
      </c>
      <c r="Q66" s="22" t="str">
        <f t="shared" si="11"/>
        <v/>
      </c>
      <c r="R66" s="22" t="str">
        <f t="shared" si="12"/>
        <v/>
      </c>
      <c r="S66" s="22" t="str">
        <f t="shared" si="13"/>
        <v/>
      </c>
      <c r="T66" s="22">
        <f t="shared" si="14"/>
        <v>0</v>
      </c>
      <c r="U66" s="22" t="str">
        <f t="shared" si="15"/>
        <v/>
      </c>
      <c r="V66" s="22" t="str">
        <f t="shared" si="16"/>
        <v/>
      </c>
      <c r="W66" s="22" t="str">
        <f t="shared" si="17"/>
        <v/>
      </c>
      <c r="X66" s="22" t="str">
        <f t="shared" si="18"/>
        <v/>
      </c>
      <c r="Y66" s="22" t="str">
        <f t="shared" si="19"/>
        <v/>
      </c>
      <c r="Z66" s="22" t="str">
        <f t="shared" si="20"/>
        <v/>
      </c>
      <c r="AA66" s="22">
        <f t="shared" si="21"/>
        <v>0</v>
      </c>
      <c r="AB66" s="22" t="str">
        <f t="shared" si="22"/>
        <v/>
      </c>
      <c r="AC66" s="22" t="str">
        <f t="shared" si="23"/>
        <v/>
      </c>
      <c r="AD66" s="22" t="str">
        <f t="shared" si="24"/>
        <v/>
      </c>
      <c r="AE66" s="22" t="str">
        <f t="shared" si="25"/>
        <v/>
      </c>
      <c r="AF66" s="22" t="str">
        <f t="shared" si="26"/>
        <v/>
      </c>
      <c r="AG66" s="22" t="str">
        <f t="shared" si="27"/>
        <v/>
      </c>
      <c r="AH66" s="22">
        <f t="shared" si="28"/>
        <v>0</v>
      </c>
      <c r="AI66" s="22" t="str">
        <f t="shared" si="29"/>
        <v/>
      </c>
      <c r="AJ66" s="14" t="str">
        <f t="shared" si="30"/>
        <v/>
      </c>
      <c r="AK66" s="14" t="str">
        <f t="shared" si="31"/>
        <v/>
      </c>
      <c r="AL66" s="14" t="str">
        <f t="shared" si="32"/>
        <v/>
      </c>
      <c r="AM66" s="14" t="str">
        <f t="shared" si="33"/>
        <v/>
      </c>
      <c r="AN66" s="14" t="str">
        <f t="shared" si="34"/>
        <v/>
      </c>
      <c r="AO66" s="14">
        <f t="shared" si="35"/>
        <v>0</v>
      </c>
      <c r="AP66" s="14" t="str">
        <f t="shared" si="36"/>
        <v/>
      </c>
      <c r="AQ66" s="14" t="str">
        <f t="shared" si="37"/>
        <v/>
      </c>
      <c r="AR66" s="14" t="str">
        <f t="shared" si="38"/>
        <v/>
      </c>
      <c r="AS66" s="14" t="str">
        <f t="shared" si="39"/>
        <v/>
      </c>
      <c r="AT66" s="14" t="str">
        <f t="shared" si="40"/>
        <v/>
      </c>
      <c r="AU66" s="19"/>
    </row>
    <row r="67" spans="4:47">
      <c r="D67" s="21" t="s">
        <v>112</v>
      </c>
      <c r="E67" s="22" t="str">
        <f t="shared" si="4"/>
        <v/>
      </c>
      <c r="F67" s="22">
        <f>IF(WEEKDAY(F$49,2)=1,SUM($E30:F30),"")</f>
        <v>0</v>
      </c>
      <c r="G67" s="22" t="str">
        <f>IF(WEEKDAY(G$49,2)=1,SUM($E30:G30),"")</f>
        <v/>
      </c>
      <c r="H67" s="22" t="str">
        <f>IF(WEEKDAY(H$49,2)=1,SUM($E30:H30),"")</f>
        <v/>
      </c>
      <c r="I67" s="22" t="str">
        <f>IF(WEEKDAY(I$49,2)=1,SUM($E30:I30),"")</f>
        <v/>
      </c>
      <c r="J67" s="22" t="str">
        <f>IF(WEEKDAY(J$49,2)=1,SUM($E30:J30),"")</f>
        <v/>
      </c>
      <c r="K67" s="22" t="str">
        <f>IF(WEEKDAY(K$49,2)=1,SUM($E30:K30),"")</f>
        <v/>
      </c>
      <c r="L67" s="22" t="str">
        <f t="shared" si="6"/>
        <v/>
      </c>
      <c r="M67" s="22">
        <f t="shared" si="7"/>
        <v>0</v>
      </c>
      <c r="N67" s="22" t="str">
        <f t="shared" si="8"/>
        <v/>
      </c>
      <c r="O67" s="22" t="str">
        <f t="shared" si="9"/>
        <v/>
      </c>
      <c r="P67" s="22" t="str">
        <f t="shared" si="10"/>
        <v/>
      </c>
      <c r="Q67" s="22" t="str">
        <f t="shared" si="11"/>
        <v/>
      </c>
      <c r="R67" s="22" t="str">
        <f t="shared" si="12"/>
        <v/>
      </c>
      <c r="S67" s="22" t="str">
        <f t="shared" si="13"/>
        <v/>
      </c>
      <c r="T67" s="22">
        <f t="shared" si="14"/>
        <v>0</v>
      </c>
      <c r="U67" s="22" t="str">
        <f t="shared" si="15"/>
        <v/>
      </c>
      <c r="V67" s="22" t="str">
        <f t="shared" si="16"/>
        <v/>
      </c>
      <c r="W67" s="22" t="str">
        <f t="shared" si="17"/>
        <v/>
      </c>
      <c r="X67" s="22" t="str">
        <f t="shared" si="18"/>
        <v/>
      </c>
      <c r="Y67" s="22" t="str">
        <f t="shared" si="19"/>
        <v/>
      </c>
      <c r="Z67" s="22" t="str">
        <f t="shared" si="20"/>
        <v/>
      </c>
      <c r="AA67" s="22">
        <f t="shared" si="21"/>
        <v>0</v>
      </c>
      <c r="AB67" s="22" t="str">
        <f t="shared" si="22"/>
        <v/>
      </c>
      <c r="AC67" s="22" t="str">
        <f t="shared" si="23"/>
        <v/>
      </c>
      <c r="AD67" s="22" t="str">
        <f t="shared" si="24"/>
        <v/>
      </c>
      <c r="AE67" s="22" t="str">
        <f t="shared" si="25"/>
        <v/>
      </c>
      <c r="AF67" s="22" t="str">
        <f t="shared" si="26"/>
        <v/>
      </c>
      <c r="AG67" s="22" t="str">
        <f t="shared" si="27"/>
        <v/>
      </c>
      <c r="AH67" s="22">
        <f t="shared" si="28"/>
        <v>0</v>
      </c>
      <c r="AI67" s="22" t="str">
        <f t="shared" si="29"/>
        <v/>
      </c>
      <c r="AJ67" s="14" t="str">
        <f t="shared" si="30"/>
        <v/>
      </c>
      <c r="AK67" s="14" t="str">
        <f t="shared" si="31"/>
        <v/>
      </c>
      <c r="AL67" s="14" t="str">
        <f t="shared" si="32"/>
        <v/>
      </c>
      <c r="AM67" s="14" t="str">
        <f t="shared" si="33"/>
        <v/>
      </c>
      <c r="AN67" s="14" t="str">
        <f t="shared" si="34"/>
        <v/>
      </c>
      <c r="AO67" s="14">
        <f t="shared" si="35"/>
        <v>0</v>
      </c>
      <c r="AP67" s="14" t="str">
        <f t="shared" si="36"/>
        <v/>
      </c>
      <c r="AQ67" s="14" t="str">
        <f t="shared" si="37"/>
        <v/>
      </c>
      <c r="AR67" s="14" t="str">
        <f t="shared" si="38"/>
        <v/>
      </c>
      <c r="AS67" s="14" t="str">
        <f t="shared" si="39"/>
        <v/>
      </c>
      <c r="AT67" s="14" t="str">
        <f t="shared" si="40"/>
        <v/>
      </c>
      <c r="AU67" s="19"/>
    </row>
    <row r="68" spans="4:47">
      <c r="D68" s="21" t="s">
        <v>114</v>
      </c>
      <c r="E68" s="22" t="str">
        <f t="shared" si="4"/>
        <v/>
      </c>
      <c r="F68" s="22">
        <f>IF(WEEKDAY(F$49,2)=1,SUM($E31:F31),"")</f>
        <v>0</v>
      </c>
      <c r="G68" s="22" t="str">
        <f>IF(WEEKDAY(G$49,2)=1,SUM($E31:G31),"")</f>
        <v/>
      </c>
      <c r="H68" s="22" t="str">
        <f>IF(WEEKDAY(H$49,2)=1,SUM($E31:H31),"")</f>
        <v/>
      </c>
      <c r="I68" s="22" t="str">
        <f>IF(WEEKDAY(I$49,2)=1,SUM($E31:I31),"")</f>
        <v/>
      </c>
      <c r="J68" s="22" t="str">
        <f>IF(WEEKDAY(J$49,2)=1,SUM($E31:J31),"")</f>
        <v/>
      </c>
      <c r="K68" s="22" t="str">
        <f>IF(WEEKDAY(K$49,2)=1,SUM($E31:K31),"")</f>
        <v/>
      </c>
      <c r="L68" s="22" t="str">
        <f t="shared" si="6"/>
        <v/>
      </c>
      <c r="M68" s="22">
        <f t="shared" si="7"/>
        <v>0</v>
      </c>
      <c r="N68" s="22" t="str">
        <f t="shared" si="8"/>
        <v/>
      </c>
      <c r="O68" s="22" t="str">
        <f t="shared" si="9"/>
        <v/>
      </c>
      <c r="P68" s="22" t="str">
        <f t="shared" si="10"/>
        <v/>
      </c>
      <c r="Q68" s="22" t="str">
        <f t="shared" si="11"/>
        <v/>
      </c>
      <c r="R68" s="22" t="str">
        <f t="shared" si="12"/>
        <v/>
      </c>
      <c r="S68" s="22" t="str">
        <f t="shared" si="13"/>
        <v/>
      </c>
      <c r="T68" s="22">
        <f t="shared" si="14"/>
        <v>0</v>
      </c>
      <c r="U68" s="22" t="str">
        <f t="shared" si="15"/>
        <v/>
      </c>
      <c r="V68" s="22" t="str">
        <f t="shared" si="16"/>
        <v/>
      </c>
      <c r="W68" s="22" t="str">
        <f t="shared" si="17"/>
        <v/>
      </c>
      <c r="X68" s="22" t="str">
        <f t="shared" si="18"/>
        <v/>
      </c>
      <c r="Y68" s="22" t="str">
        <f t="shared" si="19"/>
        <v/>
      </c>
      <c r="Z68" s="22" t="str">
        <f t="shared" si="20"/>
        <v/>
      </c>
      <c r="AA68" s="22">
        <f t="shared" si="21"/>
        <v>0</v>
      </c>
      <c r="AB68" s="22" t="str">
        <f t="shared" si="22"/>
        <v/>
      </c>
      <c r="AC68" s="22" t="str">
        <f t="shared" si="23"/>
        <v/>
      </c>
      <c r="AD68" s="22" t="str">
        <f t="shared" si="24"/>
        <v/>
      </c>
      <c r="AE68" s="22" t="str">
        <f t="shared" si="25"/>
        <v/>
      </c>
      <c r="AF68" s="22" t="str">
        <f t="shared" si="26"/>
        <v/>
      </c>
      <c r="AG68" s="22" t="str">
        <f t="shared" si="27"/>
        <v/>
      </c>
      <c r="AH68" s="22">
        <f t="shared" si="28"/>
        <v>0</v>
      </c>
      <c r="AI68" s="22" t="str">
        <f t="shared" si="29"/>
        <v/>
      </c>
      <c r="AJ68" s="14" t="str">
        <f t="shared" si="30"/>
        <v/>
      </c>
      <c r="AK68" s="14" t="str">
        <f t="shared" si="31"/>
        <v/>
      </c>
      <c r="AL68" s="14" t="str">
        <f t="shared" si="32"/>
        <v/>
      </c>
      <c r="AM68" s="14" t="str">
        <f t="shared" si="33"/>
        <v/>
      </c>
      <c r="AN68" s="14" t="str">
        <f t="shared" si="34"/>
        <v/>
      </c>
      <c r="AO68" s="14">
        <f t="shared" si="35"/>
        <v>0</v>
      </c>
      <c r="AP68" s="14" t="str">
        <f t="shared" si="36"/>
        <v/>
      </c>
      <c r="AQ68" s="14" t="str">
        <f t="shared" si="37"/>
        <v/>
      </c>
      <c r="AR68" s="14" t="str">
        <f t="shared" si="38"/>
        <v/>
      </c>
      <c r="AS68" s="14" t="str">
        <f t="shared" si="39"/>
        <v/>
      </c>
      <c r="AT68" s="14" t="str">
        <f t="shared" si="40"/>
        <v/>
      </c>
    </row>
    <row r="69" spans="4:47">
      <c r="D69" s="21" t="s">
        <v>116</v>
      </c>
      <c r="E69" s="22" t="str">
        <f t="shared" si="4"/>
        <v/>
      </c>
      <c r="F69" s="22">
        <f>IF(WEEKDAY(F$49,2)=1,SUM($E32:F32),"")</f>
        <v>0</v>
      </c>
      <c r="G69" s="22" t="str">
        <f>IF(WEEKDAY(G$49,2)=1,SUM($E32:G32),"")</f>
        <v/>
      </c>
      <c r="H69" s="22" t="str">
        <f>IF(WEEKDAY(H$49,2)=1,SUM($E32:H32),"")</f>
        <v/>
      </c>
      <c r="I69" s="22" t="str">
        <f>IF(WEEKDAY(I$49,2)=1,SUM($E32:I32),"")</f>
        <v/>
      </c>
      <c r="J69" s="22" t="str">
        <f>IF(WEEKDAY(J$49,2)=1,SUM($E32:J32),"")</f>
        <v/>
      </c>
      <c r="K69" s="22" t="str">
        <f>IF(WEEKDAY(K$49,2)=1,SUM($E32:K32),"")</f>
        <v/>
      </c>
      <c r="L69" s="22" t="str">
        <f t="shared" si="6"/>
        <v/>
      </c>
      <c r="M69" s="22">
        <f t="shared" si="7"/>
        <v>0</v>
      </c>
      <c r="N69" s="22" t="str">
        <f t="shared" si="8"/>
        <v/>
      </c>
      <c r="O69" s="22" t="str">
        <f t="shared" si="9"/>
        <v/>
      </c>
      <c r="P69" s="22" t="str">
        <f t="shared" si="10"/>
        <v/>
      </c>
      <c r="Q69" s="22" t="str">
        <f t="shared" si="11"/>
        <v/>
      </c>
      <c r="R69" s="22" t="str">
        <f t="shared" si="12"/>
        <v/>
      </c>
      <c r="S69" s="22" t="str">
        <f t="shared" si="13"/>
        <v/>
      </c>
      <c r="T69" s="22">
        <f t="shared" si="14"/>
        <v>0</v>
      </c>
      <c r="U69" s="22" t="str">
        <f t="shared" si="15"/>
        <v/>
      </c>
      <c r="V69" s="22" t="str">
        <f t="shared" si="16"/>
        <v/>
      </c>
      <c r="W69" s="22" t="str">
        <f t="shared" si="17"/>
        <v/>
      </c>
      <c r="X69" s="22" t="str">
        <f t="shared" si="18"/>
        <v/>
      </c>
      <c r="Y69" s="22" t="str">
        <f t="shared" si="19"/>
        <v/>
      </c>
      <c r="Z69" s="22" t="str">
        <f t="shared" si="20"/>
        <v/>
      </c>
      <c r="AA69" s="22">
        <f t="shared" si="21"/>
        <v>0</v>
      </c>
      <c r="AB69" s="22" t="str">
        <f t="shared" si="22"/>
        <v/>
      </c>
      <c r="AC69" s="22" t="str">
        <f t="shared" si="23"/>
        <v/>
      </c>
      <c r="AD69" s="22" t="str">
        <f t="shared" si="24"/>
        <v/>
      </c>
      <c r="AE69" s="22" t="str">
        <f t="shared" si="25"/>
        <v/>
      </c>
      <c r="AF69" s="22" t="str">
        <f t="shared" si="26"/>
        <v/>
      </c>
      <c r="AG69" s="22" t="str">
        <f t="shared" si="27"/>
        <v/>
      </c>
      <c r="AH69" s="22">
        <f t="shared" si="28"/>
        <v>0</v>
      </c>
      <c r="AI69" s="22" t="str">
        <f t="shared" si="29"/>
        <v/>
      </c>
      <c r="AJ69" s="14" t="str">
        <f t="shared" si="30"/>
        <v/>
      </c>
      <c r="AK69" s="14" t="str">
        <f t="shared" si="31"/>
        <v/>
      </c>
      <c r="AL69" s="14" t="str">
        <f t="shared" si="32"/>
        <v/>
      </c>
      <c r="AM69" s="14" t="str">
        <f t="shared" si="33"/>
        <v/>
      </c>
      <c r="AN69" s="14" t="str">
        <f t="shared" si="34"/>
        <v/>
      </c>
      <c r="AO69" s="14">
        <f t="shared" si="35"/>
        <v>0</v>
      </c>
      <c r="AP69" s="14" t="str">
        <f t="shared" si="36"/>
        <v/>
      </c>
      <c r="AQ69" s="14" t="str">
        <f t="shared" si="37"/>
        <v/>
      </c>
      <c r="AR69" s="14" t="str">
        <f t="shared" si="38"/>
        <v/>
      </c>
      <c r="AS69" s="14" t="str">
        <f t="shared" si="39"/>
        <v/>
      </c>
      <c r="AT69" s="14" t="str">
        <f t="shared" si="40"/>
        <v/>
      </c>
    </row>
    <row r="70" spans="4:47">
      <c r="D70" s="21" t="s">
        <v>118</v>
      </c>
      <c r="E70" s="22" t="str">
        <f t="shared" si="4"/>
        <v/>
      </c>
      <c r="F70" s="22">
        <f>IF(WEEKDAY(F$49,2)=1,SUM($E33:F33),"")</f>
        <v>0</v>
      </c>
      <c r="G70" s="22" t="str">
        <f>IF(WEEKDAY(G$49,2)=1,SUM($E33:G33),"")</f>
        <v/>
      </c>
      <c r="H70" s="22" t="str">
        <f>IF(WEEKDAY(H$49,2)=1,SUM($E33:H33),"")</f>
        <v/>
      </c>
      <c r="I70" s="22" t="str">
        <f>IF(WEEKDAY(I$49,2)=1,SUM($E33:I33),"")</f>
        <v/>
      </c>
      <c r="J70" s="22" t="str">
        <f>IF(WEEKDAY(J$49,2)=1,SUM($E33:J33),"")</f>
        <v/>
      </c>
      <c r="K70" s="22" t="str">
        <f>IF(WEEKDAY(K$49,2)=1,SUM($E33:K33),"")</f>
        <v/>
      </c>
      <c r="L70" s="22" t="str">
        <f t="shared" si="6"/>
        <v/>
      </c>
      <c r="M70" s="22">
        <f t="shared" si="7"/>
        <v>0</v>
      </c>
      <c r="N70" s="22" t="str">
        <f t="shared" si="8"/>
        <v/>
      </c>
      <c r="O70" s="22" t="str">
        <f t="shared" si="9"/>
        <v/>
      </c>
      <c r="P70" s="22" t="str">
        <f t="shared" si="10"/>
        <v/>
      </c>
      <c r="Q70" s="22" t="str">
        <f t="shared" si="11"/>
        <v/>
      </c>
      <c r="R70" s="22" t="str">
        <f t="shared" si="12"/>
        <v/>
      </c>
      <c r="S70" s="22" t="str">
        <f t="shared" si="13"/>
        <v/>
      </c>
      <c r="T70" s="22">
        <f t="shared" si="14"/>
        <v>0</v>
      </c>
      <c r="U70" s="22" t="str">
        <f t="shared" si="15"/>
        <v/>
      </c>
      <c r="V70" s="22" t="str">
        <f t="shared" si="16"/>
        <v/>
      </c>
      <c r="W70" s="22" t="str">
        <f t="shared" si="17"/>
        <v/>
      </c>
      <c r="X70" s="22" t="str">
        <f t="shared" si="18"/>
        <v/>
      </c>
      <c r="Y70" s="22" t="str">
        <f t="shared" si="19"/>
        <v/>
      </c>
      <c r="Z70" s="22" t="str">
        <f t="shared" si="20"/>
        <v/>
      </c>
      <c r="AA70" s="22">
        <f t="shared" si="21"/>
        <v>0</v>
      </c>
      <c r="AB70" s="22" t="str">
        <f t="shared" si="22"/>
        <v/>
      </c>
      <c r="AC70" s="22" t="str">
        <f t="shared" si="23"/>
        <v/>
      </c>
      <c r="AD70" s="22" t="str">
        <f t="shared" si="24"/>
        <v/>
      </c>
      <c r="AE70" s="22" t="str">
        <f t="shared" si="25"/>
        <v/>
      </c>
      <c r="AF70" s="22" t="str">
        <f t="shared" si="26"/>
        <v/>
      </c>
      <c r="AG70" s="22" t="str">
        <f t="shared" si="27"/>
        <v/>
      </c>
      <c r="AH70" s="22">
        <f t="shared" si="28"/>
        <v>0</v>
      </c>
      <c r="AI70" s="22" t="str">
        <f t="shared" si="29"/>
        <v/>
      </c>
      <c r="AJ70" s="14" t="str">
        <f t="shared" si="30"/>
        <v/>
      </c>
      <c r="AK70" s="14" t="str">
        <f t="shared" si="31"/>
        <v/>
      </c>
      <c r="AL70" s="14" t="str">
        <f t="shared" si="32"/>
        <v/>
      </c>
      <c r="AM70" s="14" t="str">
        <f t="shared" si="33"/>
        <v/>
      </c>
      <c r="AN70" s="14" t="str">
        <f t="shared" si="34"/>
        <v/>
      </c>
      <c r="AO70" s="14">
        <f t="shared" si="35"/>
        <v>0</v>
      </c>
      <c r="AP70" s="14" t="str">
        <f t="shared" si="36"/>
        <v/>
      </c>
      <c r="AQ70" s="14" t="str">
        <f t="shared" si="37"/>
        <v/>
      </c>
      <c r="AR70" s="14" t="str">
        <f t="shared" si="38"/>
        <v/>
      </c>
      <c r="AS70" s="14" t="str">
        <f t="shared" si="39"/>
        <v/>
      </c>
      <c r="AT70" s="14" t="str">
        <f t="shared" si="40"/>
        <v/>
      </c>
      <c r="AU70" s="20"/>
    </row>
    <row r="71" spans="4:47">
      <c r="D71" s="21" t="s">
        <v>120</v>
      </c>
      <c r="E71" s="22" t="str">
        <f t="shared" si="4"/>
        <v/>
      </c>
      <c r="F71" s="22">
        <f>IF(WEEKDAY(F$49,2)=1,SUM($E34:F34),"")</f>
        <v>0</v>
      </c>
      <c r="G71" s="22" t="str">
        <f>IF(WEEKDAY(G$49,2)=1,SUM($E34:G34),"")</f>
        <v/>
      </c>
      <c r="H71" s="22" t="str">
        <f>IF(WEEKDAY(H$49,2)=1,SUM($E34:H34),"")</f>
        <v/>
      </c>
      <c r="I71" s="22" t="str">
        <f>IF(WEEKDAY(I$49,2)=1,SUM($E34:I34),"")</f>
        <v/>
      </c>
      <c r="J71" s="22" t="str">
        <f>IF(WEEKDAY(J$49,2)=1,SUM($E34:J34),"")</f>
        <v/>
      </c>
      <c r="K71" s="22" t="str">
        <f>IF(WEEKDAY(K$49,2)=1,SUM($E34:K34),"")</f>
        <v/>
      </c>
      <c r="L71" s="22" t="str">
        <f t="shared" si="6"/>
        <v/>
      </c>
      <c r="M71" s="22">
        <f t="shared" si="7"/>
        <v>0</v>
      </c>
      <c r="N71" s="22" t="str">
        <f t="shared" si="8"/>
        <v/>
      </c>
      <c r="O71" s="22" t="str">
        <f t="shared" si="9"/>
        <v/>
      </c>
      <c r="P71" s="22" t="str">
        <f t="shared" si="10"/>
        <v/>
      </c>
      <c r="Q71" s="22" t="str">
        <f t="shared" si="11"/>
        <v/>
      </c>
      <c r="R71" s="22" t="str">
        <f t="shared" si="12"/>
        <v/>
      </c>
      <c r="S71" s="22" t="str">
        <f t="shared" si="13"/>
        <v/>
      </c>
      <c r="T71" s="22">
        <f t="shared" si="14"/>
        <v>0</v>
      </c>
      <c r="U71" s="22" t="str">
        <f t="shared" si="15"/>
        <v/>
      </c>
      <c r="V71" s="22" t="str">
        <f t="shared" si="16"/>
        <v/>
      </c>
      <c r="W71" s="22" t="str">
        <f t="shared" si="17"/>
        <v/>
      </c>
      <c r="X71" s="22" t="str">
        <f t="shared" si="18"/>
        <v/>
      </c>
      <c r="Y71" s="22" t="str">
        <f t="shared" si="19"/>
        <v/>
      </c>
      <c r="Z71" s="22" t="str">
        <f t="shared" si="20"/>
        <v/>
      </c>
      <c r="AA71" s="22">
        <f t="shared" si="21"/>
        <v>0</v>
      </c>
      <c r="AB71" s="22" t="str">
        <f t="shared" si="22"/>
        <v/>
      </c>
      <c r="AC71" s="22" t="str">
        <f t="shared" si="23"/>
        <v/>
      </c>
      <c r="AD71" s="22" t="str">
        <f t="shared" si="24"/>
        <v/>
      </c>
      <c r="AE71" s="22" t="str">
        <f t="shared" si="25"/>
        <v/>
      </c>
      <c r="AF71" s="22" t="str">
        <f t="shared" si="26"/>
        <v/>
      </c>
      <c r="AG71" s="22" t="str">
        <f t="shared" si="27"/>
        <v/>
      </c>
      <c r="AH71" s="22">
        <f t="shared" si="28"/>
        <v>0</v>
      </c>
      <c r="AI71" s="22" t="str">
        <f t="shared" si="29"/>
        <v/>
      </c>
      <c r="AJ71" s="14" t="str">
        <f t="shared" si="30"/>
        <v/>
      </c>
      <c r="AK71" s="14" t="str">
        <f t="shared" si="31"/>
        <v/>
      </c>
      <c r="AL71" s="14" t="str">
        <f t="shared" si="32"/>
        <v/>
      </c>
      <c r="AM71" s="14" t="str">
        <f t="shared" si="33"/>
        <v/>
      </c>
      <c r="AN71" s="14" t="str">
        <f t="shared" si="34"/>
        <v/>
      </c>
      <c r="AO71" s="14">
        <f t="shared" si="35"/>
        <v>0</v>
      </c>
      <c r="AP71" s="14" t="str">
        <f t="shared" si="36"/>
        <v/>
      </c>
      <c r="AQ71" s="14" t="str">
        <f t="shared" si="37"/>
        <v/>
      </c>
      <c r="AR71" s="14" t="str">
        <f t="shared" si="38"/>
        <v/>
      </c>
      <c r="AS71" s="14" t="str">
        <f t="shared" si="39"/>
        <v/>
      </c>
      <c r="AT71" s="14" t="str">
        <f t="shared" si="40"/>
        <v/>
      </c>
    </row>
    <row r="72" spans="4:47">
      <c r="D72" s="21" t="s">
        <v>122</v>
      </c>
      <c r="E72" s="22" t="str">
        <f t="shared" si="4"/>
        <v/>
      </c>
      <c r="F72" s="22">
        <f>IF(WEEKDAY(F$49,2)=1,SUM($E35:F35),"")</f>
        <v>0</v>
      </c>
      <c r="G72" s="22" t="str">
        <f>IF(WEEKDAY(G$49,2)=1,SUM($E35:G35),"")</f>
        <v/>
      </c>
      <c r="H72" s="22" t="str">
        <f>IF(WEEKDAY(H$49,2)=1,SUM($E35:H35),"")</f>
        <v/>
      </c>
      <c r="I72" s="22" t="str">
        <f>IF(WEEKDAY(I$49,2)=1,SUM($E35:I35),"")</f>
        <v/>
      </c>
      <c r="J72" s="22" t="str">
        <f>IF(WEEKDAY(J$49,2)=1,SUM($E35:J35),"")</f>
        <v/>
      </c>
      <c r="K72" s="22" t="str">
        <f>IF(WEEKDAY(K$49,2)=1,SUM($E35:K35),"")</f>
        <v/>
      </c>
      <c r="L72" s="22" t="str">
        <f t="shared" si="6"/>
        <v/>
      </c>
      <c r="M72" s="22">
        <f t="shared" si="7"/>
        <v>0</v>
      </c>
      <c r="N72" s="22" t="str">
        <f t="shared" si="8"/>
        <v/>
      </c>
      <c r="O72" s="22" t="str">
        <f t="shared" si="9"/>
        <v/>
      </c>
      <c r="P72" s="22" t="str">
        <f t="shared" si="10"/>
        <v/>
      </c>
      <c r="Q72" s="22" t="str">
        <f t="shared" si="11"/>
        <v/>
      </c>
      <c r="R72" s="22" t="str">
        <f t="shared" si="12"/>
        <v/>
      </c>
      <c r="S72" s="22" t="str">
        <f t="shared" si="13"/>
        <v/>
      </c>
      <c r="T72" s="22">
        <f t="shared" si="14"/>
        <v>0</v>
      </c>
      <c r="U72" s="22" t="str">
        <f t="shared" si="15"/>
        <v/>
      </c>
      <c r="V72" s="22" t="str">
        <f t="shared" si="16"/>
        <v/>
      </c>
      <c r="W72" s="22" t="str">
        <f t="shared" si="17"/>
        <v/>
      </c>
      <c r="X72" s="22" t="str">
        <f t="shared" si="18"/>
        <v/>
      </c>
      <c r="Y72" s="22" t="str">
        <f t="shared" si="19"/>
        <v/>
      </c>
      <c r="Z72" s="22" t="str">
        <f t="shared" si="20"/>
        <v/>
      </c>
      <c r="AA72" s="22">
        <f t="shared" si="21"/>
        <v>0</v>
      </c>
      <c r="AB72" s="22" t="str">
        <f t="shared" si="22"/>
        <v/>
      </c>
      <c r="AC72" s="22" t="str">
        <f t="shared" si="23"/>
        <v/>
      </c>
      <c r="AD72" s="22" t="str">
        <f t="shared" si="24"/>
        <v/>
      </c>
      <c r="AE72" s="22" t="str">
        <f t="shared" si="25"/>
        <v/>
      </c>
      <c r="AF72" s="22" t="str">
        <f t="shared" si="26"/>
        <v/>
      </c>
      <c r="AG72" s="22" t="str">
        <f t="shared" si="27"/>
        <v/>
      </c>
      <c r="AH72" s="22">
        <f t="shared" si="28"/>
        <v>0</v>
      </c>
      <c r="AI72" s="22" t="str">
        <f t="shared" si="29"/>
        <v/>
      </c>
      <c r="AJ72" s="14" t="str">
        <f t="shared" si="30"/>
        <v/>
      </c>
      <c r="AK72" s="14" t="str">
        <f t="shared" si="31"/>
        <v/>
      </c>
      <c r="AL72" s="14" t="str">
        <f t="shared" si="32"/>
        <v/>
      </c>
      <c r="AM72" s="14" t="str">
        <f t="shared" si="33"/>
        <v/>
      </c>
      <c r="AN72" s="14" t="str">
        <f t="shared" si="34"/>
        <v/>
      </c>
      <c r="AO72" s="14">
        <f t="shared" si="35"/>
        <v>0</v>
      </c>
      <c r="AP72" s="14" t="str">
        <f t="shared" si="36"/>
        <v/>
      </c>
      <c r="AQ72" s="14" t="str">
        <f t="shared" si="37"/>
        <v/>
      </c>
      <c r="AR72" s="14" t="str">
        <f t="shared" si="38"/>
        <v/>
      </c>
      <c r="AS72" s="14" t="str">
        <f t="shared" si="39"/>
        <v/>
      </c>
      <c r="AT72" s="14" t="str">
        <f t="shared" si="40"/>
        <v/>
      </c>
    </row>
    <row r="73" spans="4:47">
      <c r="D73" s="21" t="s">
        <v>124</v>
      </c>
      <c r="E73" s="22" t="str">
        <f t="shared" si="4"/>
        <v/>
      </c>
      <c r="F73" s="22">
        <f>IF(WEEKDAY(F$49,2)=1,SUM($E36:F36),"")</f>
        <v>0</v>
      </c>
      <c r="G73" s="22" t="str">
        <f>IF(WEEKDAY(G$49,2)=1,SUM($E36:G36),"")</f>
        <v/>
      </c>
      <c r="H73" s="22" t="str">
        <f>IF(WEEKDAY(H$49,2)=1,SUM($E36:H36),"")</f>
        <v/>
      </c>
      <c r="I73" s="22" t="str">
        <f>IF(WEEKDAY(I$49,2)=1,SUM($E36:I36),"")</f>
        <v/>
      </c>
      <c r="J73" s="22" t="str">
        <f>IF(WEEKDAY(J$49,2)=1,SUM($E36:J36),"")</f>
        <v/>
      </c>
      <c r="K73" s="22" t="str">
        <f>IF(WEEKDAY(K$49,2)=1,SUM($E36:K36),"")</f>
        <v/>
      </c>
      <c r="L73" s="22" t="str">
        <f t="shared" si="6"/>
        <v/>
      </c>
      <c r="M73" s="22">
        <f t="shared" si="7"/>
        <v>0</v>
      </c>
      <c r="N73" s="22" t="str">
        <f t="shared" si="8"/>
        <v/>
      </c>
      <c r="O73" s="22" t="str">
        <f t="shared" si="9"/>
        <v/>
      </c>
      <c r="P73" s="22" t="str">
        <f t="shared" si="10"/>
        <v/>
      </c>
      <c r="Q73" s="22" t="str">
        <f t="shared" si="11"/>
        <v/>
      </c>
      <c r="R73" s="22" t="str">
        <f t="shared" si="12"/>
        <v/>
      </c>
      <c r="S73" s="22" t="str">
        <f t="shared" si="13"/>
        <v/>
      </c>
      <c r="T73" s="22">
        <f t="shared" si="14"/>
        <v>0</v>
      </c>
      <c r="U73" s="22" t="str">
        <f t="shared" si="15"/>
        <v/>
      </c>
      <c r="V73" s="22" t="str">
        <f t="shared" si="16"/>
        <v/>
      </c>
      <c r="W73" s="22" t="str">
        <f t="shared" si="17"/>
        <v/>
      </c>
      <c r="X73" s="22" t="str">
        <f t="shared" si="18"/>
        <v/>
      </c>
      <c r="Y73" s="22" t="str">
        <f t="shared" si="19"/>
        <v/>
      </c>
      <c r="Z73" s="22" t="str">
        <f t="shared" si="20"/>
        <v/>
      </c>
      <c r="AA73" s="22">
        <f t="shared" si="21"/>
        <v>0</v>
      </c>
      <c r="AB73" s="22" t="str">
        <f t="shared" si="22"/>
        <v/>
      </c>
      <c r="AC73" s="22" t="str">
        <f t="shared" si="23"/>
        <v/>
      </c>
      <c r="AD73" s="22" t="str">
        <f t="shared" si="24"/>
        <v/>
      </c>
      <c r="AE73" s="22" t="str">
        <f t="shared" si="25"/>
        <v/>
      </c>
      <c r="AF73" s="22" t="str">
        <f t="shared" si="26"/>
        <v/>
      </c>
      <c r="AG73" s="22" t="str">
        <f t="shared" si="27"/>
        <v/>
      </c>
      <c r="AH73" s="22">
        <f t="shared" si="28"/>
        <v>0</v>
      </c>
      <c r="AI73" s="22" t="str">
        <f t="shared" si="29"/>
        <v/>
      </c>
      <c r="AJ73" s="14" t="str">
        <f t="shared" si="30"/>
        <v/>
      </c>
      <c r="AK73" s="14" t="str">
        <f t="shared" si="31"/>
        <v/>
      </c>
      <c r="AL73" s="14" t="str">
        <f t="shared" si="32"/>
        <v/>
      </c>
      <c r="AM73" s="14" t="str">
        <f t="shared" si="33"/>
        <v/>
      </c>
      <c r="AN73" s="14" t="str">
        <f t="shared" si="34"/>
        <v/>
      </c>
      <c r="AO73" s="14">
        <f t="shared" si="35"/>
        <v>0</v>
      </c>
      <c r="AP73" s="14" t="str">
        <f t="shared" si="36"/>
        <v/>
      </c>
      <c r="AQ73" s="14" t="str">
        <f t="shared" si="37"/>
        <v/>
      </c>
      <c r="AR73" s="14" t="str">
        <f t="shared" si="38"/>
        <v/>
      </c>
      <c r="AS73" s="14" t="str">
        <f t="shared" si="39"/>
        <v/>
      </c>
      <c r="AT73" s="14" t="str">
        <f t="shared" si="40"/>
        <v/>
      </c>
    </row>
    <row r="74" spans="4:47">
      <c r="D74" s="21" t="s">
        <v>126</v>
      </c>
      <c r="E74" s="22" t="str">
        <f t="shared" si="4"/>
        <v/>
      </c>
      <c r="F74" s="22">
        <f>IF(WEEKDAY(F$49,2)=1,SUM($E37:F37),"")</f>
        <v>0</v>
      </c>
      <c r="G74" s="22" t="str">
        <f>IF(WEEKDAY(G$49,2)=1,SUM($E37:G37),"")</f>
        <v/>
      </c>
      <c r="H74" s="22" t="str">
        <f>IF(WEEKDAY(H$49,2)=1,SUM($E37:H37),"")</f>
        <v/>
      </c>
      <c r="I74" s="22" t="str">
        <f>IF(WEEKDAY(I$49,2)=1,SUM($E37:I37),"")</f>
        <v/>
      </c>
      <c r="J74" s="22" t="str">
        <f>IF(WEEKDAY(J$49,2)=1,SUM($E37:J37),"")</f>
        <v/>
      </c>
      <c r="K74" s="22" t="str">
        <f>IF(WEEKDAY(K$49,2)=1,SUM($E37:K37),"")</f>
        <v/>
      </c>
      <c r="L74" s="22" t="str">
        <f t="shared" si="6"/>
        <v/>
      </c>
      <c r="M74" s="22">
        <f t="shared" si="7"/>
        <v>0</v>
      </c>
      <c r="N74" s="22" t="str">
        <f t="shared" si="8"/>
        <v/>
      </c>
      <c r="O74" s="22" t="str">
        <f t="shared" si="9"/>
        <v/>
      </c>
      <c r="P74" s="22" t="str">
        <f t="shared" si="10"/>
        <v/>
      </c>
      <c r="Q74" s="22" t="str">
        <f t="shared" si="11"/>
        <v/>
      </c>
      <c r="R74" s="22" t="str">
        <f t="shared" si="12"/>
        <v/>
      </c>
      <c r="S74" s="22" t="str">
        <f t="shared" si="13"/>
        <v/>
      </c>
      <c r="T74" s="22">
        <f t="shared" si="14"/>
        <v>0</v>
      </c>
      <c r="U74" s="22" t="str">
        <f t="shared" si="15"/>
        <v/>
      </c>
      <c r="V74" s="22" t="str">
        <f t="shared" si="16"/>
        <v/>
      </c>
      <c r="W74" s="22" t="str">
        <f t="shared" si="17"/>
        <v/>
      </c>
      <c r="X74" s="22" t="str">
        <f t="shared" si="18"/>
        <v/>
      </c>
      <c r="Y74" s="22" t="str">
        <f t="shared" si="19"/>
        <v/>
      </c>
      <c r="Z74" s="22" t="str">
        <f t="shared" si="20"/>
        <v/>
      </c>
      <c r="AA74" s="22">
        <f t="shared" si="21"/>
        <v>0</v>
      </c>
      <c r="AB74" s="22" t="str">
        <f t="shared" si="22"/>
        <v/>
      </c>
      <c r="AC74" s="22" t="str">
        <f t="shared" si="23"/>
        <v/>
      </c>
      <c r="AD74" s="22" t="str">
        <f t="shared" si="24"/>
        <v/>
      </c>
      <c r="AE74" s="22" t="str">
        <f t="shared" si="25"/>
        <v/>
      </c>
      <c r="AF74" s="22" t="str">
        <f t="shared" si="26"/>
        <v/>
      </c>
      <c r="AG74" s="22" t="str">
        <f t="shared" si="27"/>
        <v/>
      </c>
      <c r="AH74" s="22">
        <f t="shared" si="28"/>
        <v>0</v>
      </c>
      <c r="AI74" s="22" t="str">
        <f t="shared" si="29"/>
        <v/>
      </c>
      <c r="AJ74" s="14" t="str">
        <f t="shared" si="30"/>
        <v/>
      </c>
      <c r="AK74" s="14" t="str">
        <f t="shared" si="31"/>
        <v/>
      </c>
      <c r="AL74" s="14" t="str">
        <f t="shared" si="32"/>
        <v/>
      </c>
      <c r="AM74" s="14" t="str">
        <f t="shared" si="33"/>
        <v/>
      </c>
      <c r="AN74" s="14" t="str">
        <f t="shared" si="34"/>
        <v/>
      </c>
      <c r="AO74" s="14">
        <f t="shared" si="35"/>
        <v>0</v>
      </c>
      <c r="AP74" s="14" t="str">
        <f t="shared" si="36"/>
        <v/>
      </c>
      <c r="AQ74" s="14" t="str">
        <f t="shared" si="37"/>
        <v/>
      </c>
      <c r="AR74" s="14" t="str">
        <f t="shared" si="38"/>
        <v/>
      </c>
      <c r="AS74" s="14" t="str">
        <f t="shared" si="39"/>
        <v/>
      </c>
      <c r="AT74" s="14" t="str">
        <f t="shared" si="40"/>
        <v/>
      </c>
    </row>
    <row r="75" spans="4:47">
      <c r="D75" s="21" t="s">
        <v>128</v>
      </c>
      <c r="E75" s="22" t="str">
        <f t="shared" si="4"/>
        <v/>
      </c>
      <c r="F75" s="22">
        <f>IF(WEEKDAY(F$49,2)=1,SUM($E38:F38),"")</f>
        <v>0</v>
      </c>
      <c r="G75" s="22" t="str">
        <f>IF(WEEKDAY(G$49,2)=1,SUM($E38:G38),"")</f>
        <v/>
      </c>
      <c r="H75" s="22" t="str">
        <f>IF(WEEKDAY(H$49,2)=1,SUM($E38:H38),"")</f>
        <v/>
      </c>
      <c r="I75" s="22" t="str">
        <f>IF(WEEKDAY(I$49,2)=1,SUM($E38:I38),"")</f>
        <v/>
      </c>
      <c r="J75" s="22" t="str">
        <f>IF(WEEKDAY(J$49,2)=1,SUM($E38:J38),"")</f>
        <v/>
      </c>
      <c r="K75" s="22" t="str">
        <f>IF(WEEKDAY(K$49,2)=1,SUM($E38:K38),"")</f>
        <v/>
      </c>
      <c r="L75" s="22" t="str">
        <f t="shared" si="6"/>
        <v/>
      </c>
      <c r="M75" s="22">
        <f t="shared" si="7"/>
        <v>0</v>
      </c>
      <c r="N75" s="22" t="str">
        <f t="shared" si="8"/>
        <v/>
      </c>
      <c r="O75" s="22" t="str">
        <f t="shared" si="9"/>
        <v/>
      </c>
      <c r="P75" s="22" t="str">
        <f t="shared" si="10"/>
        <v/>
      </c>
      <c r="Q75" s="22" t="str">
        <f t="shared" si="11"/>
        <v/>
      </c>
      <c r="R75" s="22" t="str">
        <f t="shared" si="12"/>
        <v/>
      </c>
      <c r="S75" s="22" t="str">
        <f t="shared" si="13"/>
        <v/>
      </c>
      <c r="T75" s="22">
        <f t="shared" si="14"/>
        <v>0</v>
      </c>
      <c r="U75" s="22" t="str">
        <f t="shared" si="15"/>
        <v/>
      </c>
      <c r="V75" s="22" t="str">
        <f t="shared" si="16"/>
        <v/>
      </c>
      <c r="W75" s="22" t="str">
        <f t="shared" si="17"/>
        <v/>
      </c>
      <c r="X75" s="22" t="str">
        <f t="shared" si="18"/>
        <v/>
      </c>
      <c r="Y75" s="22" t="str">
        <f t="shared" si="19"/>
        <v/>
      </c>
      <c r="Z75" s="22" t="str">
        <f t="shared" si="20"/>
        <v/>
      </c>
      <c r="AA75" s="22">
        <f t="shared" si="21"/>
        <v>0</v>
      </c>
      <c r="AB75" s="22" t="str">
        <f t="shared" si="22"/>
        <v/>
      </c>
      <c r="AC75" s="22" t="str">
        <f t="shared" si="23"/>
        <v/>
      </c>
      <c r="AD75" s="22" t="str">
        <f t="shared" si="24"/>
        <v/>
      </c>
      <c r="AE75" s="22" t="str">
        <f t="shared" si="25"/>
        <v/>
      </c>
      <c r="AF75" s="22" t="str">
        <f t="shared" si="26"/>
        <v/>
      </c>
      <c r="AG75" s="22" t="str">
        <f t="shared" si="27"/>
        <v/>
      </c>
      <c r="AH75" s="22">
        <f t="shared" si="28"/>
        <v>0</v>
      </c>
      <c r="AI75" s="22" t="str">
        <f t="shared" si="29"/>
        <v/>
      </c>
      <c r="AJ75" s="14" t="str">
        <f t="shared" si="30"/>
        <v/>
      </c>
      <c r="AK75" s="14" t="str">
        <f t="shared" si="31"/>
        <v/>
      </c>
      <c r="AL75" s="14" t="str">
        <f t="shared" si="32"/>
        <v/>
      </c>
      <c r="AM75" s="14" t="str">
        <f t="shared" si="33"/>
        <v/>
      </c>
      <c r="AN75" s="14" t="str">
        <f t="shared" si="34"/>
        <v/>
      </c>
      <c r="AO75" s="14">
        <f t="shared" si="35"/>
        <v>0</v>
      </c>
      <c r="AP75" s="14" t="str">
        <f t="shared" si="36"/>
        <v/>
      </c>
      <c r="AQ75" s="14" t="str">
        <f t="shared" si="37"/>
        <v/>
      </c>
      <c r="AR75" s="14" t="str">
        <f t="shared" si="38"/>
        <v/>
      </c>
      <c r="AS75" s="14" t="str">
        <f t="shared" si="39"/>
        <v/>
      </c>
      <c r="AT75" s="14" t="str">
        <f t="shared" si="40"/>
        <v/>
      </c>
    </row>
    <row r="76" spans="4:47">
      <c r="D76" s="21" t="s">
        <v>130</v>
      </c>
      <c r="E76" s="22" t="str">
        <f t="shared" si="4"/>
        <v/>
      </c>
      <c r="F76" s="22">
        <f>IF(WEEKDAY(F$49,2)=1,SUM($E39:F39),"")</f>
        <v>0</v>
      </c>
      <c r="G76" s="22" t="str">
        <f>IF(WEEKDAY(G$49,2)=1,SUM($E39:G39),"")</f>
        <v/>
      </c>
      <c r="H76" s="22" t="str">
        <f>IF(WEEKDAY(H$49,2)=1,SUM($E39:H39),"")</f>
        <v/>
      </c>
      <c r="I76" s="22" t="str">
        <f>IF(WEEKDAY(I$49,2)=1,SUM($E39:I39),"")</f>
        <v/>
      </c>
      <c r="J76" s="22" t="str">
        <f>IF(WEEKDAY(J$49,2)=1,SUM($E39:J39),"")</f>
        <v/>
      </c>
      <c r="K76" s="22" t="str">
        <f>IF(WEEKDAY(K$49,2)=1,SUM($E39:K39),"")</f>
        <v/>
      </c>
      <c r="L76" s="22" t="str">
        <f t="shared" si="6"/>
        <v/>
      </c>
      <c r="M76" s="22">
        <f t="shared" si="7"/>
        <v>0</v>
      </c>
      <c r="N76" s="22" t="str">
        <f t="shared" si="8"/>
        <v/>
      </c>
      <c r="O76" s="22" t="str">
        <f t="shared" si="9"/>
        <v/>
      </c>
      <c r="P76" s="22" t="str">
        <f t="shared" si="10"/>
        <v/>
      </c>
      <c r="Q76" s="22" t="str">
        <f t="shared" si="11"/>
        <v/>
      </c>
      <c r="R76" s="22" t="str">
        <f t="shared" si="12"/>
        <v/>
      </c>
      <c r="S76" s="22" t="str">
        <f t="shared" si="13"/>
        <v/>
      </c>
      <c r="T76" s="22">
        <f t="shared" si="14"/>
        <v>0</v>
      </c>
      <c r="U76" s="22" t="str">
        <f t="shared" si="15"/>
        <v/>
      </c>
      <c r="V76" s="22" t="str">
        <f t="shared" si="16"/>
        <v/>
      </c>
      <c r="W76" s="22" t="str">
        <f t="shared" si="17"/>
        <v/>
      </c>
      <c r="X76" s="22" t="str">
        <f t="shared" si="18"/>
        <v/>
      </c>
      <c r="Y76" s="22" t="str">
        <f t="shared" si="19"/>
        <v/>
      </c>
      <c r="Z76" s="22" t="str">
        <f t="shared" si="20"/>
        <v/>
      </c>
      <c r="AA76" s="22">
        <f t="shared" si="21"/>
        <v>0</v>
      </c>
      <c r="AB76" s="22" t="str">
        <f t="shared" si="22"/>
        <v/>
      </c>
      <c r="AC76" s="22" t="str">
        <f t="shared" si="23"/>
        <v/>
      </c>
      <c r="AD76" s="22" t="str">
        <f t="shared" si="24"/>
        <v/>
      </c>
      <c r="AE76" s="22" t="str">
        <f t="shared" si="25"/>
        <v/>
      </c>
      <c r="AF76" s="22" t="str">
        <f t="shared" si="26"/>
        <v/>
      </c>
      <c r="AG76" s="22" t="str">
        <f t="shared" si="27"/>
        <v/>
      </c>
      <c r="AH76" s="22">
        <f t="shared" si="28"/>
        <v>0</v>
      </c>
      <c r="AI76" s="22" t="str">
        <f t="shared" si="29"/>
        <v/>
      </c>
      <c r="AJ76" s="14" t="str">
        <f t="shared" si="30"/>
        <v/>
      </c>
      <c r="AK76" s="14" t="str">
        <f t="shared" si="31"/>
        <v/>
      </c>
      <c r="AL76" s="14" t="str">
        <f t="shared" si="32"/>
        <v/>
      </c>
      <c r="AM76" s="14" t="str">
        <f t="shared" si="33"/>
        <v/>
      </c>
      <c r="AN76" s="14" t="str">
        <f t="shared" si="34"/>
        <v/>
      </c>
      <c r="AO76" s="14">
        <f t="shared" si="35"/>
        <v>0</v>
      </c>
      <c r="AP76" s="14" t="str">
        <f t="shared" si="36"/>
        <v/>
      </c>
      <c r="AQ76" s="14" t="str">
        <f t="shared" si="37"/>
        <v/>
      </c>
      <c r="AR76" s="14" t="str">
        <f t="shared" si="38"/>
        <v/>
      </c>
      <c r="AS76" s="14" t="str">
        <f t="shared" si="39"/>
        <v/>
      </c>
      <c r="AT76" s="14" t="str">
        <f t="shared" si="40"/>
        <v/>
      </c>
    </row>
    <row r="77" spans="4:47">
      <c r="D77" s="21" t="s">
        <v>132</v>
      </c>
      <c r="E77" s="22" t="str">
        <f t="shared" si="4"/>
        <v/>
      </c>
      <c r="F77" s="22">
        <f>IF(WEEKDAY(F$49,2)=1,SUM($E40:F40),"")</f>
        <v>0</v>
      </c>
      <c r="G77" s="22" t="str">
        <f>IF(WEEKDAY(G$49,2)=1,SUM($E40:G40),"")</f>
        <v/>
      </c>
      <c r="H77" s="22" t="str">
        <f>IF(WEEKDAY(H$49,2)=1,SUM($E40:H40),"")</f>
        <v/>
      </c>
      <c r="I77" s="22" t="str">
        <f>IF(WEEKDAY(I$49,2)=1,SUM($E40:I40),"")</f>
        <v/>
      </c>
      <c r="J77" s="22" t="str">
        <f>IF(WEEKDAY(J$49,2)=1,SUM($E40:J40),"")</f>
        <v/>
      </c>
      <c r="K77" s="22" t="str">
        <f>IF(WEEKDAY(K$49,2)=1,SUM($E40:K40),"")</f>
        <v/>
      </c>
      <c r="L77" s="22" t="str">
        <f t="shared" si="6"/>
        <v/>
      </c>
      <c r="M77" s="22">
        <f t="shared" si="7"/>
        <v>0</v>
      </c>
      <c r="N77" s="22" t="str">
        <f t="shared" si="8"/>
        <v/>
      </c>
      <c r="O77" s="22" t="str">
        <f t="shared" si="9"/>
        <v/>
      </c>
      <c r="P77" s="22" t="str">
        <f t="shared" si="10"/>
        <v/>
      </c>
      <c r="Q77" s="22" t="str">
        <f t="shared" si="11"/>
        <v/>
      </c>
      <c r="R77" s="22" t="str">
        <f t="shared" si="12"/>
        <v/>
      </c>
      <c r="S77" s="22" t="str">
        <f t="shared" si="13"/>
        <v/>
      </c>
      <c r="T77" s="22">
        <f t="shared" si="14"/>
        <v>0</v>
      </c>
      <c r="U77" s="22" t="str">
        <f t="shared" si="15"/>
        <v/>
      </c>
      <c r="V77" s="22" t="str">
        <f t="shared" si="16"/>
        <v/>
      </c>
      <c r="W77" s="22" t="str">
        <f t="shared" si="17"/>
        <v/>
      </c>
      <c r="X77" s="22" t="str">
        <f t="shared" si="18"/>
        <v/>
      </c>
      <c r="Y77" s="22" t="str">
        <f t="shared" si="19"/>
        <v/>
      </c>
      <c r="Z77" s="22" t="str">
        <f t="shared" si="20"/>
        <v/>
      </c>
      <c r="AA77" s="22">
        <f t="shared" si="21"/>
        <v>0</v>
      </c>
      <c r="AB77" s="22" t="str">
        <f t="shared" si="22"/>
        <v/>
      </c>
      <c r="AC77" s="22" t="str">
        <f t="shared" si="23"/>
        <v/>
      </c>
      <c r="AD77" s="22" t="str">
        <f t="shared" si="24"/>
        <v/>
      </c>
      <c r="AE77" s="22" t="str">
        <f t="shared" si="25"/>
        <v/>
      </c>
      <c r="AF77" s="22" t="str">
        <f t="shared" si="26"/>
        <v/>
      </c>
      <c r="AG77" s="22" t="str">
        <f t="shared" si="27"/>
        <v/>
      </c>
      <c r="AH77" s="22">
        <f t="shared" si="28"/>
        <v>0</v>
      </c>
      <c r="AI77" s="22" t="str">
        <f t="shared" si="29"/>
        <v/>
      </c>
      <c r="AJ77" s="14" t="str">
        <f t="shared" si="30"/>
        <v/>
      </c>
      <c r="AK77" s="14" t="str">
        <f t="shared" si="31"/>
        <v/>
      </c>
      <c r="AL77" s="14" t="str">
        <f t="shared" si="32"/>
        <v/>
      </c>
      <c r="AM77" s="14" t="str">
        <f t="shared" si="33"/>
        <v/>
      </c>
      <c r="AN77" s="14" t="str">
        <f t="shared" si="34"/>
        <v/>
      </c>
      <c r="AO77" s="14">
        <f t="shared" si="35"/>
        <v>0</v>
      </c>
      <c r="AP77" s="14" t="str">
        <f t="shared" si="36"/>
        <v/>
      </c>
      <c r="AQ77" s="14" t="str">
        <f t="shared" si="37"/>
        <v/>
      </c>
      <c r="AR77" s="14" t="str">
        <f t="shared" si="38"/>
        <v/>
      </c>
      <c r="AS77" s="14" t="str">
        <f t="shared" si="39"/>
        <v/>
      </c>
      <c r="AT77" s="14" t="str">
        <f t="shared" si="40"/>
        <v/>
      </c>
    </row>
    <row r="78" spans="4:47">
      <c r="D78" s="21" t="s">
        <v>134</v>
      </c>
      <c r="E78" s="22" t="str">
        <f t="shared" si="4"/>
        <v/>
      </c>
      <c r="F78" s="22">
        <f>IF(WEEKDAY(F$49,2)=1,SUM($E41:F41),"")</f>
        <v>0</v>
      </c>
      <c r="G78" s="22" t="str">
        <f>IF(WEEKDAY(G$49,2)=1,SUM($E41:G41),"")</f>
        <v/>
      </c>
      <c r="H78" s="22" t="str">
        <f>IF(WEEKDAY(H$49,2)=1,SUM($E41:H41),"")</f>
        <v/>
      </c>
      <c r="I78" s="22" t="str">
        <f>IF(WEEKDAY(I$49,2)=1,SUM($E41:I41),"")</f>
        <v/>
      </c>
      <c r="J78" s="22" t="str">
        <f>IF(WEEKDAY(J$49,2)=1,SUM($E41:J41),"")</f>
        <v/>
      </c>
      <c r="K78" s="22" t="str">
        <f>IF(WEEKDAY(K$49,2)=1,SUM($E41:K41),"")</f>
        <v/>
      </c>
      <c r="L78" s="22" t="str">
        <f t="shared" si="6"/>
        <v/>
      </c>
      <c r="M78" s="22">
        <f t="shared" si="7"/>
        <v>0</v>
      </c>
      <c r="N78" s="22" t="str">
        <f t="shared" si="8"/>
        <v/>
      </c>
      <c r="O78" s="22" t="str">
        <f t="shared" si="9"/>
        <v/>
      </c>
      <c r="P78" s="22" t="str">
        <f t="shared" si="10"/>
        <v/>
      </c>
      <c r="Q78" s="22" t="str">
        <f t="shared" si="11"/>
        <v/>
      </c>
      <c r="R78" s="22" t="str">
        <f t="shared" si="12"/>
        <v/>
      </c>
      <c r="S78" s="22" t="str">
        <f t="shared" si="13"/>
        <v/>
      </c>
      <c r="T78" s="22">
        <f t="shared" si="14"/>
        <v>0</v>
      </c>
      <c r="U78" s="22" t="str">
        <f t="shared" si="15"/>
        <v/>
      </c>
      <c r="V78" s="22" t="str">
        <f t="shared" si="16"/>
        <v/>
      </c>
      <c r="W78" s="22" t="str">
        <f t="shared" si="17"/>
        <v/>
      </c>
      <c r="X78" s="22" t="str">
        <f t="shared" si="18"/>
        <v/>
      </c>
      <c r="Y78" s="22" t="str">
        <f t="shared" si="19"/>
        <v/>
      </c>
      <c r="Z78" s="22" t="str">
        <f t="shared" si="20"/>
        <v/>
      </c>
      <c r="AA78" s="22">
        <f t="shared" si="21"/>
        <v>0</v>
      </c>
      <c r="AB78" s="22" t="str">
        <f t="shared" si="22"/>
        <v/>
      </c>
      <c r="AC78" s="22" t="str">
        <f t="shared" si="23"/>
        <v/>
      </c>
      <c r="AD78" s="22" t="str">
        <f t="shared" si="24"/>
        <v/>
      </c>
      <c r="AE78" s="22" t="str">
        <f t="shared" si="25"/>
        <v/>
      </c>
      <c r="AF78" s="22" t="str">
        <f t="shared" si="26"/>
        <v/>
      </c>
      <c r="AG78" s="22" t="str">
        <f t="shared" si="27"/>
        <v/>
      </c>
      <c r="AH78" s="22">
        <f t="shared" si="28"/>
        <v>0</v>
      </c>
      <c r="AI78" s="22" t="str">
        <f t="shared" si="29"/>
        <v/>
      </c>
      <c r="AJ78" s="14" t="str">
        <f t="shared" si="30"/>
        <v/>
      </c>
      <c r="AK78" s="14" t="str">
        <f t="shared" si="31"/>
        <v/>
      </c>
      <c r="AL78" s="14" t="str">
        <f t="shared" si="32"/>
        <v/>
      </c>
      <c r="AM78" s="14" t="str">
        <f t="shared" si="33"/>
        <v/>
      </c>
      <c r="AN78" s="14" t="str">
        <f t="shared" si="34"/>
        <v/>
      </c>
      <c r="AO78" s="14">
        <f t="shared" si="35"/>
        <v>0</v>
      </c>
      <c r="AP78" s="14" t="str">
        <f t="shared" si="36"/>
        <v/>
      </c>
      <c r="AQ78" s="14" t="str">
        <f t="shared" si="37"/>
        <v/>
      </c>
      <c r="AR78" s="14" t="str">
        <f t="shared" si="38"/>
        <v/>
      </c>
      <c r="AS78" s="14" t="str">
        <f t="shared" si="39"/>
        <v/>
      </c>
      <c r="AT78" s="14" t="str">
        <f t="shared" si="40"/>
        <v/>
      </c>
    </row>
    <row r="79" spans="4:47">
      <c r="D79" s="21" t="s">
        <v>136</v>
      </c>
      <c r="E79" s="22" t="str">
        <f t="shared" si="4"/>
        <v/>
      </c>
      <c r="F79" s="22">
        <f>IF(WEEKDAY(F$49,2)=1,SUM($E42:F42),"")</f>
        <v>0</v>
      </c>
      <c r="G79" s="22" t="str">
        <f>IF(WEEKDAY(G$49,2)=1,SUM($E42:G42),"")</f>
        <v/>
      </c>
      <c r="H79" s="22" t="str">
        <f>IF(WEEKDAY(H$49,2)=1,SUM($E42:H42),"")</f>
        <v/>
      </c>
      <c r="I79" s="22" t="str">
        <f>IF(WEEKDAY(I$49,2)=1,SUM($E42:I42),"")</f>
        <v/>
      </c>
      <c r="J79" s="22" t="str">
        <f>IF(WEEKDAY(J$49,2)=1,SUM($E42:J42),"")</f>
        <v/>
      </c>
      <c r="K79" s="22" t="str">
        <f>IF(WEEKDAY(K$49,2)=1,SUM($E42:K42),"")</f>
        <v/>
      </c>
      <c r="L79" s="22" t="str">
        <f t="shared" si="6"/>
        <v/>
      </c>
      <c r="M79" s="22">
        <f t="shared" si="7"/>
        <v>0</v>
      </c>
      <c r="N79" s="22" t="str">
        <f t="shared" si="8"/>
        <v/>
      </c>
      <c r="O79" s="22" t="str">
        <f t="shared" si="9"/>
        <v/>
      </c>
      <c r="P79" s="22" t="str">
        <f t="shared" si="10"/>
        <v/>
      </c>
      <c r="Q79" s="22" t="str">
        <f t="shared" si="11"/>
        <v/>
      </c>
      <c r="R79" s="22" t="str">
        <f t="shared" si="12"/>
        <v/>
      </c>
      <c r="S79" s="22" t="str">
        <f t="shared" si="13"/>
        <v/>
      </c>
      <c r="T79" s="22">
        <f t="shared" si="14"/>
        <v>0</v>
      </c>
      <c r="U79" s="22" t="str">
        <f t="shared" si="15"/>
        <v/>
      </c>
      <c r="V79" s="22" t="str">
        <f t="shared" si="16"/>
        <v/>
      </c>
      <c r="W79" s="22" t="str">
        <f t="shared" si="17"/>
        <v/>
      </c>
      <c r="X79" s="22" t="str">
        <f t="shared" si="18"/>
        <v/>
      </c>
      <c r="Y79" s="22" t="str">
        <f t="shared" si="19"/>
        <v/>
      </c>
      <c r="Z79" s="22" t="str">
        <f t="shared" si="20"/>
        <v/>
      </c>
      <c r="AA79" s="22">
        <f t="shared" si="21"/>
        <v>0</v>
      </c>
      <c r="AB79" s="22" t="str">
        <f t="shared" si="22"/>
        <v/>
      </c>
      <c r="AC79" s="22" t="str">
        <f t="shared" si="23"/>
        <v/>
      </c>
      <c r="AD79" s="22" t="str">
        <f t="shared" si="24"/>
        <v/>
      </c>
      <c r="AE79" s="22" t="str">
        <f t="shared" si="25"/>
        <v/>
      </c>
      <c r="AF79" s="22" t="str">
        <f t="shared" si="26"/>
        <v/>
      </c>
      <c r="AG79" s="22" t="str">
        <f t="shared" si="27"/>
        <v/>
      </c>
      <c r="AH79" s="22">
        <f t="shared" si="28"/>
        <v>0</v>
      </c>
      <c r="AI79" s="22" t="str">
        <f t="shared" si="29"/>
        <v/>
      </c>
      <c r="AJ79" s="14" t="str">
        <f t="shared" si="30"/>
        <v/>
      </c>
      <c r="AK79" s="14" t="str">
        <f t="shared" si="31"/>
        <v/>
      </c>
      <c r="AL79" s="14" t="str">
        <f t="shared" si="32"/>
        <v/>
      </c>
      <c r="AM79" s="14" t="str">
        <f t="shared" si="33"/>
        <v/>
      </c>
      <c r="AN79" s="14" t="str">
        <f t="shared" si="34"/>
        <v/>
      </c>
      <c r="AO79" s="14">
        <f t="shared" si="35"/>
        <v>0</v>
      </c>
      <c r="AP79" s="14" t="str">
        <f t="shared" si="36"/>
        <v/>
      </c>
      <c r="AQ79" s="14" t="str">
        <f t="shared" si="37"/>
        <v/>
      </c>
      <c r="AR79" s="14" t="str">
        <f t="shared" si="38"/>
        <v/>
      </c>
      <c r="AS79" s="14" t="str">
        <f t="shared" si="39"/>
        <v/>
      </c>
      <c r="AT79" s="14" t="str">
        <f t="shared" si="40"/>
        <v/>
      </c>
    </row>
    <row r="80" spans="4:47">
      <c r="D80" s="21" t="s">
        <v>138</v>
      </c>
      <c r="E80" s="22" t="str">
        <f t="shared" si="4"/>
        <v/>
      </c>
      <c r="F80" s="22">
        <f>IF(WEEKDAY(F$49,2)=1,SUM($E43:F43),"")</f>
        <v>0</v>
      </c>
      <c r="G80" s="22" t="str">
        <f>IF(WEEKDAY(G$49,2)=1,SUM($E43:G43),"")</f>
        <v/>
      </c>
      <c r="H80" s="22" t="str">
        <f>IF(WEEKDAY(H$49,2)=1,SUM($E43:H43),"")</f>
        <v/>
      </c>
      <c r="I80" s="22" t="str">
        <f>IF(WEEKDAY(I$49,2)=1,SUM($E43:I43),"")</f>
        <v/>
      </c>
      <c r="J80" s="22" t="str">
        <f>IF(WEEKDAY(J$49,2)=1,SUM($E43:J43),"")</f>
        <v/>
      </c>
      <c r="K80" s="22" t="str">
        <f>IF(WEEKDAY(K$49,2)=1,SUM($E43:K43),"")</f>
        <v/>
      </c>
      <c r="L80" s="22" t="str">
        <f t="shared" si="6"/>
        <v/>
      </c>
      <c r="M80" s="22">
        <f t="shared" si="7"/>
        <v>0</v>
      </c>
      <c r="N80" s="22" t="str">
        <f t="shared" si="8"/>
        <v/>
      </c>
      <c r="O80" s="22" t="str">
        <f t="shared" si="9"/>
        <v/>
      </c>
      <c r="P80" s="22" t="str">
        <f t="shared" si="10"/>
        <v/>
      </c>
      <c r="Q80" s="22" t="str">
        <f t="shared" si="11"/>
        <v/>
      </c>
      <c r="R80" s="22" t="str">
        <f t="shared" si="12"/>
        <v/>
      </c>
      <c r="S80" s="22" t="str">
        <f t="shared" si="13"/>
        <v/>
      </c>
      <c r="T80" s="22">
        <f t="shared" si="14"/>
        <v>0</v>
      </c>
      <c r="U80" s="22" t="str">
        <f t="shared" si="15"/>
        <v/>
      </c>
      <c r="V80" s="22" t="str">
        <f t="shared" si="16"/>
        <v/>
      </c>
      <c r="W80" s="22" t="str">
        <f t="shared" si="17"/>
        <v/>
      </c>
      <c r="X80" s="22" t="str">
        <f t="shared" si="18"/>
        <v/>
      </c>
      <c r="Y80" s="22" t="str">
        <f t="shared" si="19"/>
        <v/>
      </c>
      <c r="Z80" s="22" t="str">
        <f t="shared" si="20"/>
        <v/>
      </c>
      <c r="AA80" s="22">
        <f t="shared" si="21"/>
        <v>0</v>
      </c>
      <c r="AB80" s="22" t="str">
        <f t="shared" si="22"/>
        <v/>
      </c>
      <c r="AC80" s="22" t="str">
        <f t="shared" si="23"/>
        <v/>
      </c>
      <c r="AD80" s="22" t="str">
        <f t="shared" si="24"/>
        <v/>
      </c>
      <c r="AE80" s="22" t="str">
        <f t="shared" si="25"/>
        <v/>
      </c>
      <c r="AF80" s="22" t="str">
        <f t="shared" si="26"/>
        <v/>
      </c>
      <c r="AG80" s="22" t="str">
        <f t="shared" si="27"/>
        <v/>
      </c>
      <c r="AH80" s="22">
        <f t="shared" si="28"/>
        <v>0</v>
      </c>
      <c r="AI80" s="22" t="str">
        <f t="shared" si="29"/>
        <v/>
      </c>
      <c r="AJ80" s="14" t="str">
        <f t="shared" si="30"/>
        <v/>
      </c>
      <c r="AK80" s="14" t="str">
        <f t="shared" si="31"/>
        <v/>
      </c>
      <c r="AL80" s="14" t="str">
        <f t="shared" si="32"/>
        <v/>
      </c>
      <c r="AM80" s="14" t="str">
        <f t="shared" si="33"/>
        <v/>
      </c>
      <c r="AN80" s="14" t="str">
        <f t="shared" si="34"/>
        <v/>
      </c>
      <c r="AO80" s="14">
        <f t="shared" si="35"/>
        <v>0</v>
      </c>
      <c r="AP80" s="14" t="str">
        <f t="shared" si="36"/>
        <v/>
      </c>
      <c r="AQ80" s="14" t="str">
        <f t="shared" si="37"/>
        <v/>
      </c>
      <c r="AR80" s="14" t="str">
        <f t="shared" si="38"/>
        <v/>
      </c>
      <c r="AS80" s="14" t="str">
        <f t="shared" si="39"/>
        <v/>
      </c>
      <c r="AT80" s="14" t="str">
        <f t="shared" si="40"/>
        <v/>
      </c>
    </row>
    <row r="81" spans="4:46">
      <c r="D81" s="21" t="s">
        <v>140</v>
      </c>
      <c r="E81" s="22" t="str">
        <f t="shared" si="4"/>
        <v/>
      </c>
      <c r="F81" s="22">
        <f>IF(WEEKDAY(F$49,2)=1,SUM($E44:F44),"")</f>
        <v>0</v>
      </c>
      <c r="G81" s="22" t="str">
        <f>IF(WEEKDAY(G$49,2)=1,SUM($E44:G44),"")</f>
        <v/>
      </c>
      <c r="H81" s="22" t="str">
        <f>IF(WEEKDAY(H$49,2)=1,SUM($E44:H44),"")</f>
        <v/>
      </c>
      <c r="I81" s="22" t="str">
        <f>IF(WEEKDAY(I$49,2)=1,SUM($E44:I44),"")</f>
        <v/>
      </c>
      <c r="J81" s="22" t="str">
        <f>IF(WEEKDAY(J$49,2)=1,SUM($E44:J44),"")</f>
        <v/>
      </c>
      <c r="K81" s="22" t="str">
        <f>IF(WEEKDAY(K$49,2)=1,SUM($E44:K44),"")</f>
        <v/>
      </c>
      <c r="L81" s="22" t="str">
        <f t="shared" si="6"/>
        <v/>
      </c>
      <c r="M81" s="22">
        <f t="shared" si="7"/>
        <v>0</v>
      </c>
      <c r="N81" s="22" t="str">
        <f t="shared" si="8"/>
        <v/>
      </c>
      <c r="O81" s="22" t="str">
        <f t="shared" si="9"/>
        <v/>
      </c>
      <c r="P81" s="22" t="str">
        <f t="shared" si="10"/>
        <v/>
      </c>
      <c r="Q81" s="22" t="str">
        <f t="shared" si="11"/>
        <v/>
      </c>
      <c r="R81" s="22" t="str">
        <f t="shared" si="12"/>
        <v/>
      </c>
      <c r="S81" s="22" t="str">
        <f t="shared" si="13"/>
        <v/>
      </c>
      <c r="T81" s="22">
        <f t="shared" si="14"/>
        <v>0</v>
      </c>
      <c r="U81" s="22" t="str">
        <f t="shared" si="15"/>
        <v/>
      </c>
      <c r="V81" s="22" t="str">
        <f t="shared" si="16"/>
        <v/>
      </c>
      <c r="W81" s="22" t="str">
        <f t="shared" si="17"/>
        <v/>
      </c>
      <c r="X81" s="22" t="str">
        <f t="shared" si="18"/>
        <v/>
      </c>
      <c r="Y81" s="22" t="str">
        <f t="shared" si="19"/>
        <v/>
      </c>
      <c r="Z81" s="22" t="str">
        <f t="shared" si="20"/>
        <v/>
      </c>
      <c r="AA81" s="22">
        <f t="shared" si="21"/>
        <v>0</v>
      </c>
      <c r="AB81" s="22" t="str">
        <f t="shared" si="22"/>
        <v/>
      </c>
      <c r="AC81" s="22" t="str">
        <f t="shared" si="23"/>
        <v/>
      </c>
      <c r="AD81" s="22" t="str">
        <f t="shared" si="24"/>
        <v/>
      </c>
      <c r="AE81" s="22" t="str">
        <f t="shared" si="25"/>
        <v/>
      </c>
      <c r="AF81" s="22" t="str">
        <f t="shared" si="26"/>
        <v/>
      </c>
      <c r="AG81" s="22" t="str">
        <f t="shared" si="27"/>
        <v/>
      </c>
      <c r="AH81" s="22">
        <f t="shared" si="28"/>
        <v>0</v>
      </c>
      <c r="AI81" s="22" t="str">
        <f t="shared" si="29"/>
        <v/>
      </c>
      <c r="AJ81" s="14" t="str">
        <f t="shared" si="30"/>
        <v/>
      </c>
      <c r="AK81" s="14" t="str">
        <f t="shared" si="31"/>
        <v/>
      </c>
      <c r="AL81" s="14" t="str">
        <f t="shared" si="32"/>
        <v/>
      </c>
      <c r="AM81" s="14" t="str">
        <f t="shared" si="33"/>
        <v/>
      </c>
      <c r="AN81" s="14" t="str">
        <f t="shared" si="34"/>
        <v/>
      </c>
      <c r="AO81" s="14">
        <f t="shared" si="35"/>
        <v>0</v>
      </c>
      <c r="AP81" s="14" t="str">
        <f t="shared" si="36"/>
        <v/>
      </c>
      <c r="AQ81" s="14" t="str">
        <f t="shared" si="37"/>
        <v/>
      </c>
      <c r="AR81" s="14" t="str">
        <f t="shared" si="38"/>
        <v/>
      </c>
      <c r="AS81" s="14" t="str">
        <f t="shared" si="39"/>
        <v/>
      </c>
      <c r="AT81" s="14" t="str">
        <f t="shared" si="40"/>
        <v/>
      </c>
    </row>
    <row r="82" spans="4:46">
      <c r="D82" s="21" t="s">
        <v>142</v>
      </c>
      <c r="E82" s="22" t="str">
        <f t="shared" si="4"/>
        <v/>
      </c>
      <c r="F82" s="22">
        <f>IF(WEEKDAY(F$49,2)=1,SUM($E45:F45),"")</f>
        <v>0</v>
      </c>
      <c r="G82" s="22" t="str">
        <f>IF(WEEKDAY(G$49,2)=1,SUM($E45:G45),"")</f>
        <v/>
      </c>
      <c r="H82" s="22" t="str">
        <f>IF(WEEKDAY(H$49,2)=1,SUM($E45:H45),"")</f>
        <v/>
      </c>
      <c r="I82" s="22" t="str">
        <f>IF(WEEKDAY(I$49,2)=1,SUM($E45:I45),"")</f>
        <v/>
      </c>
      <c r="J82" s="22" t="str">
        <f>IF(WEEKDAY(J$49,2)=1,SUM($E45:J45),"")</f>
        <v/>
      </c>
      <c r="K82" s="22" t="str">
        <f>IF(WEEKDAY(K$49,2)=1,SUM($E45:K45),"")</f>
        <v/>
      </c>
      <c r="L82" s="22" t="str">
        <f t="shared" si="6"/>
        <v/>
      </c>
      <c r="M82" s="22">
        <f t="shared" si="7"/>
        <v>0</v>
      </c>
      <c r="N82" s="22" t="str">
        <f t="shared" si="8"/>
        <v/>
      </c>
      <c r="O82" s="22" t="str">
        <f t="shared" si="9"/>
        <v/>
      </c>
      <c r="P82" s="22" t="str">
        <f t="shared" si="10"/>
        <v/>
      </c>
      <c r="Q82" s="22" t="str">
        <f t="shared" si="11"/>
        <v/>
      </c>
      <c r="R82" s="22" t="str">
        <f t="shared" si="12"/>
        <v/>
      </c>
      <c r="S82" s="22" t="str">
        <f t="shared" si="13"/>
        <v/>
      </c>
      <c r="T82" s="22">
        <f t="shared" si="14"/>
        <v>0</v>
      </c>
      <c r="U82" s="22" t="str">
        <f t="shared" si="15"/>
        <v/>
      </c>
      <c r="V82" s="22" t="str">
        <f t="shared" si="16"/>
        <v/>
      </c>
      <c r="W82" s="22" t="str">
        <f t="shared" si="17"/>
        <v/>
      </c>
      <c r="X82" s="22" t="str">
        <f t="shared" si="18"/>
        <v/>
      </c>
      <c r="Y82" s="22" t="str">
        <f t="shared" si="19"/>
        <v/>
      </c>
      <c r="Z82" s="22" t="str">
        <f t="shared" si="20"/>
        <v/>
      </c>
      <c r="AA82" s="22">
        <f t="shared" si="21"/>
        <v>0</v>
      </c>
      <c r="AB82" s="22" t="str">
        <f t="shared" si="22"/>
        <v/>
      </c>
      <c r="AC82" s="22" t="str">
        <f t="shared" si="23"/>
        <v/>
      </c>
      <c r="AD82" s="22" t="str">
        <f t="shared" si="24"/>
        <v/>
      </c>
      <c r="AE82" s="22" t="str">
        <f t="shared" si="25"/>
        <v/>
      </c>
      <c r="AF82" s="22" t="str">
        <f t="shared" si="26"/>
        <v/>
      </c>
      <c r="AG82" s="22" t="str">
        <f t="shared" si="27"/>
        <v/>
      </c>
      <c r="AH82" s="22">
        <f t="shared" si="28"/>
        <v>0</v>
      </c>
      <c r="AI82" s="22" t="str">
        <f t="shared" si="29"/>
        <v/>
      </c>
      <c r="AJ82" s="14" t="str">
        <f t="shared" si="30"/>
        <v/>
      </c>
      <c r="AK82" s="14" t="str">
        <f t="shared" si="31"/>
        <v/>
      </c>
      <c r="AL82" s="14" t="str">
        <f t="shared" si="32"/>
        <v/>
      </c>
      <c r="AM82" s="14" t="str">
        <f t="shared" si="33"/>
        <v/>
      </c>
      <c r="AN82" s="14" t="str">
        <f t="shared" si="34"/>
        <v/>
      </c>
      <c r="AO82" s="14">
        <f t="shared" si="35"/>
        <v>0</v>
      </c>
      <c r="AP82" s="14" t="str">
        <f t="shared" si="36"/>
        <v/>
      </c>
      <c r="AQ82" s="14" t="str">
        <f t="shared" si="37"/>
        <v/>
      </c>
      <c r="AR82" s="14" t="str">
        <f t="shared" si="38"/>
        <v/>
      </c>
      <c r="AS82" s="14" t="str">
        <f t="shared" si="39"/>
        <v/>
      </c>
      <c r="AT82" s="14" t="str">
        <f t="shared" si="40"/>
        <v/>
      </c>
    </row>
    <row r="83" spans="4:46">
      <c r="D83" s="21" t="s">
        <v>144</v>
      </c>
      <c r="E83" s="22" t="str">
        <f t="shared" si="4"/>
        <v/>
      </c>
      <c r="F83" s="22">
        <f>IF(WEEKDAY(F$49,2)=1,SUM($E46:F46),"")</f>
        <v>0</v>
      </c>
      <c r="G83" s="22" t="str">
        <f>IF(WEEKDAY(G$49,2)=1,SUM($E46:G46),"")</f>
        <v/>
      </c>
      <c r="H83" s="22" t="str">
        <f>IF(WEEKDAY(H$49,2)=1,SUM($E46:H46),"")</f>
        <v/>
      </c>
      <c r="I83" s="22" t="str">
        <f>IF(WEEKDAY(I$49,2)=1,SUM($E46:I46),"")</f>
        <v/>
      </c>
      <c r="J83" s="22" t="str">
        <f>IF(WEEKDAY(J$49,2)=1,SUM($E46:J46),"")</f>
        <v/>
      </c>
      <c r="K83" s="22" t="str">
        <f>IF(WEEKDAY(K$49,2)=1,SUM($E46:K46),"")</f>
        <v/>
      </c>
      <c r="L83" s="22" t="str">
        <f t="shared" si="6"/>
        <v/>
      </c>
      <c r="M83" s="22">
        <f t="shared" si="7"/>
        <v>0</v>
      </c>
      <c r="N83" s="22" t="str">
        <f t="shared" si="8"/>
        <v/>
      </c>
      <c r="O83" s="22" t="str">
        <f t="shared" si="9"/>
        <v/>
      </c>
      <c r="P83" s="22" t="str">
        <f t="shared" si="10"/>
        <v/>
      </c>
      <c r="Q83" s="22" t="str">
        <f t="shared" si="11"/>
        <v/>
      </c>
      <c r="R83" s="22" t="str">
        <f t="shared" si="12"/>
        <v/>
      </c>
      <c r="S83" s="22" t="str">
        <f t="shared" si="13"/>
        <v/>
      </c>
      <c r="T83" s="22">
        <f t="shared" si="14"/>
        <v>0</v>
      </c>
      <c r="U83" s="22" t="str">
        <f t="shared" si="15"/>
        <v/>
      </c>
      <c r="V83" s="22" t="str">
        <f t="shared" si="16"/>
        <v/>
      </c>
      <c r="W83" s="22" t="str">
        <f t="shared" si="17"/>
        <v/>
      </c>
      <c r="X83" s="22" t="str">
        <f t="shared" si="18"/>
        <v/>
      </c>
      <c r="Y83" s="22" t="str">
        <f t="shared" si="19"/>
        <v/>
      </c>
      <c r="Z83" s="22" t="str">
        <f t="shared" si="20"/>
        <v/>
      </c>
      <c r="AA83" s="22">
        <f t="shared" si="21"/>
        <v>0</v>
      </c>
      <c r="AB83" s="22" t="str">
        <f t="shared" si="22"/>
        <v/>
      </c>
      <c r="AC83" s="22" t="str">
        <f t="shared" si="23"/>
        <v/>
      </c>
      <c r="AD83" s="22" t="str">
        <f t="shared" si="24"/>
        <v/>
      </c>
      <c r="AE83" s="22" t="str">
        <f t="shared" si="25"/>
        <v/>
      </c>
      <c r="AF83" s="22" t="str">
        <f t="shared" si="26"/>
        <v/>
      </c>
      <c r="AG83" s="22" t="str">
        <f t="shared" si="27"/>
        <v/>
      </c>
      <c r="AH83" s="22">
        <f t="shared" si="28"/>
        <v>0</v>
      </c>
      <c r="AI83" s="22" t="str">
        <f t="shared" si="29"/>
        <v/>
      </c>
      <c r="AJ83" s="14" t="str">
        <f t="shared" si="30"/>
        <v/>
      </c>
      <c r="AK83" s="14" t="str">
        <f t="shared" si="31"/>
        <v/>
      </c>
      <c r="AL83" s="14" t="str">
        <f t="shared" si="32"/>
        <v/>
      </c>
      <c r="AM83" s="14" t="str">
        <f t="shared" si="33"/>
        <v/>
      </c>
      <c r="AN83" s="14" t="str">
        <f t="shared" si="34"/>
        <v/>
      </c>
      <c r="AO83" s="14">
        <f t="shared" si="35"/>
        <v>0</v>
      </c>
      <c r="AP83" s="14" t="str">
        <f t="shared" si="36"/>
        <v/>
      </c>
      <c r="AQ83" s="14" t="str">
        <f t="shared" si="37"/>
        <v/>
      </c>
      <c r="AR83" s="14" t="str">
        <f t="shared" si="38"/>
        <v/>
      </c>
      <c r="AS83" s="14" t="str">
        <f t="shared" si="39"/>
        <v/>
      </c>
      <c r="AT83" s="14" t="str">
        <f t="shared" si="40"/>
        <v/>
      </c>
    </row>
    <row r="311" spans="5:35">
      <c r="E311" s="18" t="str">
        <f t="shared" ref="E311:AI311" si="41">E48</f>
        <v>с:</v>
      </c>
      <c r="F311" s="18" t="e">
        <f t="shared" si="41"/>
        <v>#VALUE!</v>
      </c>
      <c r="G311" s="18" t="e">
        <f t="shared" si="41"/>
        <v>#VALUE!</v>
      </c>
      <c r="H311" s="18" t="e">
        <f t="shared" si="41"/>
        <v>#VALUE!</v>
      </c>
      <c r="I311" s="18" t="e">
        <f t="shared" si="41"/>
        <v>#VALUE!</v>
      </c>
      <c r="J311" s="18" t="e">
        <f t="shared" si="41"/>
        <v>#VALUE!</v>
      </c>
      <c r="K311" s="18" t="e">
        <f t="shared" si="41"/>
        <v>#VALUE!</v>
      </c>
      <c r="L311" s="18" t="e">
        <f t="shared" si="41"/>
        <v>#VALUE!</v>
      </c>
      <c r="M311" s="18" t="e">
        <f t="shared" si="41"/>
        <v>#VALUE!</v>
      </c>
      <c r="N311" s="18" t="e">
        <f t="shared" si="41"/>
        <v>#VALUE!</v>
      </c>
      <c r="O311" s="18" t="e">
        <f t="shared" si="41"/>
        <v>#VALUE!</v>
      </c>
      <c r="P311" s="18" t="e">
        <f t="shared" si="41"/>
        <v>#VALUE!</v>
      </c>
      <c r="Q311" s="18" t="e">
        <f t="shared" si="41"/>
        <v>#VALUE!</v>
      </c>
      <c r="R311" s="18" t="e">
        <f t="shared" si="41"/>
        <v>#VALUE!</v>
      </c>
      <c r="S311" s="18" t="e">
        <f t="shared" si="41"/>
        <v>#VALUE!</v>
      </c>
      <c r="T311" s="18" t="e">
        <f t="shared" si="41"/>
        <v>#VALUE!</v>
      </c>
      <c r="U311" s="18" t="e">
        <f t="shared" si="41"/>
        <v>#VALUE!</v>
      </c>
      <c r="V311" s="18" t="e">
        <f t="shared" si="41"/>
        <v>#VALUE!</v>
      </c>
      <c r="W311" s="18" t="e">
        <f t="shared" si="41"/>
        <v>#VALUE!</v>
      </c>
      <c r="X311" s="18" t="e">
        <f t="shared" si="41"/>
        <v>#VALUE!</v>
      </c>
      <c r="Y311" s="18" t="e">
        <f t="shared" si="41"/>
        <v>#VALUE!</v>
      </c>
      <c r="Z311" s="18" t="e">
        <f t="shared" si="41"/>
        <v>#VALUE!</v>
      </c>
      <c r="AA311" s="18" t="e">
        <f t="shared" si="41"/>
        <v>#VALUE!</v>
      </c>
      <c r="AB311" s="18" t="e">
        <f t="shared" si="41"/>
        <v>#VALUE!</v>
      </c>
      <c r="AC311" s="18" t="e">
        <f t="shared" si="41"/>
        <v>#VALUE!</v>
      </c>
      <c r="AD311" s="18" t="e">
        <f t="shared" si="41"/>
        <v>#VALUE!</v>
      </c>
      <c r="AE311" s="18" t="e">
        <f t="shared" si="41"/>
        <v>#VALUE!</v>
      </c>
      <c r="AF311" s="18" t="e">
        <f t="shared" si="41"/>
        <v>#VALUE!</v>
      </c>
      <c r="AG311" s="18" t="e">
        <f t="shared" si="41"/>
        <v>#VALUE!</v>
      </c>
      <c r="AH311" s="18" t="e">
        <f t="shared" si="41"/>
        <v>#VALUE!</v>
      </c>
      <c r="AI311" s="18" t="e">
        <f t="shared" si="41"/>
        <v>#VALUE!</v>
      </c>
    </row>
    <row r="312" spans="5:35">
      <c r="E312" s="18">
        <f>E49</f>
        <v>1</v>
      </c>
      <c r="F312" s="18">
        <f t="shared" ref="F312:AI312" si="42">F49</f>
        <v>2</v>
      </c>
      <c r="G312" s="18">
        <f t="shared" si="42"/>
        <v>3</v>
      </c>
      <c r="H312" s="18">
        <f t="shared" si="42"/>
        <v>4</v>
      </c>
      <c r="I312" s="18">
        <f t="shared" si="42"/>
        <v>5</v>
      </c>
      <c r="J312" s="18">
        <f t="shared" si="42"/>
        <v>6</v>
      </c>
      <c r="K312" s="18">
        <f t="shared" si="42"/>
        <v>7</v>
      </c>
      <c r="L312" s="18">
        <f t="shared" si="42"/>
        <v>8</v>
      </c>
      <c r="M312" s="18">
        <f t="shared" si="42"/>
        <v>9</v>
      </c>
      <c r="N312" s="18">
        <f t="shared" si="42"/>
        <v>10</v>
      </c>
      <c r="O312" s="18">
        <f t="shared" si="42"/>
        <v>11</v>
      </c>
      <c r="P312" s="18">
        <f t="shared" si="42"/>
        <v>12</v>
      </c>
      <c r="Q312" s="18">
        <f t="shared" si="42"/>
        <v>13</v>
      </c>
      <c r="R312" s="18">
        <f t="shared" si="42"/>
        <v>14</v>
      </c>
      <c r="S312" s="18">
        <f t="shared" si="42"/>
        <v>15</v>
      </c>
      <c r="T312" s="18">
        <f t="shared" si="42"/>
        <v>16</v>
      </c>
      <c r="U312" s="18">
        <f t="shared" si="42"/>
        <v>17</v>
      </c>
      <c r="V312" s="18">
        <f t="shared" si="42"/>
        <v>18</v>
      </c>
      <c r="W312" s="18">
        <f t="shared" si="42"/>
        <v>19</v>
      </c>
      <c r="X312" s="18">
        <f t="shared" si="42"/>
        <v>20</v>
      </c>
      <c r="Y312" s="18">
        <f t="shared" si="42"/>
        <v>21</v>
      </c>
      <c r="Z312" s="18">
        <f t="shared" si="42"/>
        <v>22</v>
      </c>
      <c r="AA312" s="18">
        <f t="shared" si="42"/>
        <v>23</v>
      </c>
      <c r="AB312" s="18">
        <f t="shared" si="42"/>
        <v>24</v>
      </c>
      <c r="AC312" s="18">
        <f t="shared" si="42"/>
        <v>25</v>
      </c>
      <c r="AD312" s="18">
        <f t="shared" si="42"/>
        <v>26</v>
      </c>
      <c r="AE312" s="18">
        <f t="shared" si="42"/>
        <v>27</v>
      </c>
      <c r="AF312" s="18">
        <f t="shared" si="42"/>
        <v>28</v>
      </c>
      <c r="AG312" s="18">
        <f t="shared" si="42"/>
        <v>29</v>
      </c>
      <c r="AH312" s="18">
        <f t="shared" si="42"/>
        <v>30</v>
      </c>
      <c r="AI312" s="18">
        <f t="shared" si="42"/>
        <v>31</v>
      </c>
    </row>
  </sheetData>
  <mergeCells count="7">
    <mergeCell ref="G6:H6"/>
    <mergeCell ref="E12:G12"/>
    <mergeCell ref="E11:G11"/>
    <mergeCell ref="E9:F9"/>
    <mergeCell ref="E10:F10"/>
    <mergeCell ref="G9:H9"/>
    <mergeCell ref="G10:H10"/>
  </mergeCells>
  <phoneticPr fontId="0" type="noConversion"/>
  <conditionalFormatting sqref="J51:J83">
    <cfRule type="expression" dxfId="2" priority="1" stopIfTrue="1">
      <formula>"jeżeli(j22&lt;&gt;"""")"</formula>
    </cfRule>
  </conditionalFormatting>
  <dataValidations count="1">
    <dataValidation type="list" allowBlank="1" showInputMessage="1" showErrorMessage="1" sqref="E4" xr:uid="{00000000-0002-0000-0200-000000000000}">
      <formula1>$A$1:$A$59</formula1>
    </dataValidation>
  </dataValidations>
  <pageMargins left="0.75" right="0.75" top="1" bottom="1" header="0.5" footer="0.5"/>
  <pageSetup paperSize="9" orientation="portrait" horizont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B2:U127"/>
  <sheetViews>
    <sheetView showGridLines="0" zoomScale="80" workbookViewId="0">
      <selection activeCell="N2" sqref="N2"/>
    </sheetView>
  </sheetViews>
  <sheetFormatPr defaultColWidth="24.85546875" defaultRowHeight="12.95"/>
  <cols>
    <col min="1" max="1" width="2" style="38" customWidth="1"/>
    <col min="2" max="2" width="39.140625" style="39" customWidth="1"/>
    <col min="3" max="8" width="24.85546875" style="38" customWidth="1"/>
    <col min="9" max="9" width="24.85546875" style="38" hidden="1" customWidth="1"/>
    <col min="10" max="17" width="24.85546875" style="38" customWidth="1"/>
    <col min="18" max="16384" width="24.85546875" style="38"/>
  </cols>
  <sheetData>
    <row r="2" spans="2:21">
      <c r="B2" s="40"/>
      <c r="C2" s="41" t="s">
        <v>145</v>
      </c>
      <c r="D2" s="41" t="e">
        <f>#REF!</f>
        <v>#REF!</v>
      </c>
      <c r="E2" s="41" t="e">
        <f>#REF!</f>
        <v>#REF!</v>
      </c>
      <c r="F2" s="41" t="e">
        <f>#REF!</f>
        <v>#REF!</v>
      </c>
      <c r="G2" s="41" t="e">
        <f>#REF!</f>
        <v>#REF!</v>
      </c>
      <c r="H2" s="41" t="e">
        <f>#REF!</f>
        <v>#REF!</v>
      </c>
      <c r="I2" s="41"/>
      <c r="J2" s="41" t="e">
        <f>#REF!</f>
        <v>#REF!</v>
      </c>
      <c r="K2" s="42" t="s">
        <v>68</v>
      </c>
      <c r="L2" s="43" t="s">
        <v>146</v>
      </c>
      <c r="M2" s="43" t="s">
        <v>146</v>
      </c>
      <c r="N2" s="43" t="s">
        <v>146</v>
      </c>
      <c r="O2" s="43" t="s">
        <v>146</v>
      </c>
      <c r="P2" s="43" t="s">
        <v>146</v>
      </c>
      <c r="Q2" s="43" t="s">
        <v>146</v>
      </c>
      <c r="R2" s="44"/>
      <c r="S2" s="44"/>
      <c r="T2" s="44"/>
      <c r="U2" s="44"/>
    </row>
    <row r="3" spans="2:21" ht="15.75" customHeight="1">
      <c r="B3" s="45" t="s">
        <v>31</v>
      </c>
      <c r="C3" s="46" t="e">
        <f>#REF!</f>
        <v>#REF!</v>
      </c>
      <c r="D3" s="46" t="e">
        <f>#REF!</f>
        <v>#REF!</v>
      </c>
      <c r="E3" s="46" t="e">
        <f>#REF!</f>
        <v>#REF!</v>
      </c>
      <c r="F3" s="46" t="e">
        <f>#REF!</f>
        <v>#REF!</v>
      </c>
      <c r="G3" s="46" t="e">
        <f>#REF!</f>
        <v>#REF!</v>
      </c>
      <c r="H3" s="46" t="e">
        <f>#REF!</f>
        <v>#REF!</v>
      </c>
      <c r="I3" s="46" t="e">
        <f>#REF!/(#REF!-#REF!)</f>
        <v>#REF!</v>
      </c>
      <c r="J3" s="46" t="e">
        <f>#REF!</f>
        <v>#REF!</v>
      </c>
      <c r="K3" s="46" t="e">
        <f>C3/#REF!</f>
        <v>#REF!</v>
      </c>
      <c r="L3" s="46" t="e">
        <f>K3*#REF!+D3</f>
        <v>#REF!</v>
      </c>
      <c r="M3" s="46" t="e">
        <f>K3*#REF!+E3</f>
        <v>#REF!</v>
      </c>
      <c r="N3" s="46" t="e">
        <f>K3*#REF!+F3</f>
        <v>#REF!</v>
      </c>
      <c r="O3" s="46" t="e">
        <f>K3*#REF!+G3</f>
        <v>#REF!</v>
      </c>
      <c r="P3" s="46" t="e">
        <f>K3*#REF!+H3</f>
        <v>#REF!</v>
      </c>
      <c r="Q3" s="46" t="e">
        <f>K3*#REF!+J3</f>
        <v>#REF!</v>
      </c>
      <c r="R3" s="44"/>
      <c r="S3" s="44"/>
      <c r="T3" s="44"/>
      <c r="U3" s="44"/>
    </row>
    <row r="4" spans="2:21" ht="15.75" customHeight="1">
      <c r="B4" s="45" t="s">
        <v>32</v>
      </c>
      <c r="C4" s="46" t="e">
        <f>#REF!</f>
        <v>#REF!</v>
      </c>
      <c r="D4" s="46" t="e">
        <f>#REF!</f>
        <v>#REF!</v>
      </c>
      <c r="E4" s="46" t="e">
        <f>#REF!</f>
        <v>#REF!</v>
      </c>
      <c r="F4" s="46" t="e">
        <f>#REF!</f>
        <v>#REF!</v>
      </c>
      <c r="G4" s="46" t="e">
        <f>#REF!</f>
        <v>#REF!</v>
      </c>
      <c r="H4" s="46" t="e">
        <f>#REF!</f>
        <v>#REF!</v>
      </c>
      <c r="I4" s="47"/>
      <c r="J4" s="46" t="e">
        <f>#REF!</f>
        <v>#REF!</v>
      </c>
      <c r="K4" s="46" t="e">
        <f>C4/#REF!</f>
        <v>#REF!</v>
      </c>
      <c r="L4" s="46" t="e">
        <f>K4*#REF!+D4</f>
        <v>#REF!</v>
      </c>
      <c r="M4" s="46" t="e">
        <f>K4*#REF!+E4</f>
        <v>#REF!</v>
      </c>
      <c r="N4" s="46" t="e">
        <f>K4*#REF!+F4</f>
        <v>#REF!</v>
      </c>
      <c r="O4" s="46" t="e">
        <f>K4*#REF!+G4</f>
        <v>#REF!</v>
      </c>
      <c r="P4" s="46" t="e">
        <f>K4*#REF!+H4</f>
        <v>#REF!</v>
      </c>
      <c r="Q4" s="46" t="e">
        <f>K4*#REF!+J4</f>
        <v>#REF!</v>
      </c>
      <c r="R4" s="44"/>
      <c r="S4" s="44"/>
      <c r="T4" s="44"/>
      <c r="U4" s="44"/>
    </row>
    <row r="5" spans="2:21" ht="15.75" customHeight="1">
      <c r="B5" s="45" t="s">
        <v>33</v>
      </c>
      <c r="C5" s="46" t="e">
        <f>#REF!</f>
        <v>#REF!</v>
      </c>
      <c r="D5" s="46" t="e">
        <f>#REF!</f>
        <v>#REF!</v>
      </c>
      <c r="E5" s="46" t="e">
        <f>#REF!</f>
        <v>#REF!</v>
      </c>
      <c r="F5" s="46" t="e">
        <f>#REF!</f>
        <v>#REF!</v>
      </c>
      <c r="G5" s="46" t="e">
        <f>#REF!</f>
        <v>#REF!</v>
      </c>
      <c r="H5" s="46" t="e">
        <f>#REF!</f>
        <v>#REF!</v>
      </c>
      <c r="I5" s="47"/>
      <c r="J5" s="46" t="e">
        <f>#REF!</f>
        <v>#REF!</v>
      </c>
      <c r="K5" s="46" t="e">
        <f>C5/#REF!</f>
        <v>#REF!</v>
      </c>
      <c r="L5" s="46" t="e">
        <f>K5*#REF!+D5</f>
        <v>#REF!</v>
      </c>
      <c r="M5" s="46" t="e">
        <f>K5*#REF!+E5</f>
        <v>#REF!</v>
      </c>
      <c r="N5" s="46" t="e">
        <f>K5*#REF!+F5</f>
        <v>#REF!</v>
      </c>
      <c r="O5" s="46" t="e">
        <f>K5*#REF!+G5</f>
        <v>#REF!</v>
      </c>
      <c r="P5" s="46" t="e">
        <f>K5*#REF!+H5</f>
        <v>#REF!</v>
      </c>
      <c r="Q5" s="46" t="e">
        <f>K5*#REF!+J5</f>
        <v>#REF!</v>
      </c>
      <c r="R5" s="44"/>
      <c r="S5" s="44"/>
      <c r="T5" s="44"/>
      <c r="U5" s="44"/>
    </row>
    <row r="6" spans="2:21" ht="15.75" customHeight="1">
      <c r="B6" s="45" t="s">
        <v>34</v>
      </c>
      <c r="C6" s="46" t="e">
        <f>#REF!</f>
        <v>#REF!</v>
      </c>
      <c r="D6" s="46" t="e">
        <f>#REF!</f>
        <v>#REF!</v>
      </c>
      <c r="E6" s="46" t="e">
        <f>#REF!</f>
        <v>#REF!</v>
      </c>
      <c r="F6" s="46" t="e">
        <f>#REF!</f>
        <v>#REF!</v>
      </c>
      <c r="G6" s="46" t="e">
        <f>#REF!</f>
        <v>#REF!</v>
      </c>
      <c r="H6" s="46" t="e">
        <f>#REF!</f>
        <v>#REF!</v>
      </c>
      <c r="I6" s="47"/>
      <c r="J6" s="46" t="e">
        <f>#REF!</f>
        <v>#REF!</v>
      </c>
      <c r="K6" s="46" t="e">
        <f>C6/#REF!</f>
        <v>#REF!</v>
      </c>
      <c r="L6" s="46" t="e">
        <f>K6*#REF!+D6</f>
        <v>#REF!</v>
      </c>
      <c r="M6" s="46" t="e">
        <f>K6*#REF!+E6</f>
        <v>#REF!</v>
      </c>
      <c r="N6" s="46" t="e">
        <f>K6*#REF!+F6</f>
        <v>#REF!</v>
      </c>
      <c r="O6" s="46" t="e">
        <f>K6*#REF!+G6</f>
        <v>#REF!</v>
      </c>
      <c r="P6" s="46" t="e">
        <f>K6*#REF!+H6</f>
        <v>#REF!</v>
      </c>
      <c r="Q6" s="46" t="e">
        <f>K6*#REF!+J6</f>
        <v>#REF!</v>
      </c>
      <c r="R6" s="44"/>
      <c r="S6" s="44"/>
      <c r="T6" s="44"/>
      <c r="U6" s="44"/>
    </row>
    <row r="7" spans="2:21" ht="15.75" customHeight="1">
      <c r="B7" s="45" t="s">
        <v>35</v>
      </c>
      <c r="C7" s="46" t="e">
        <f>#REF!</f>
        <v>#REF!</v>
      </c>
      <c r="D7" s="46" t="e">
        <f>#REF!</f>
        <v>#REF!</v>
      </c>
      <c r="E7" s="46" t="e">
        <f>#REF!</f>
        <v>#REF!</v>
      </c>
      <c r="F7" s="46" t="e">
        <f>#REF!</f>
        <v>#REF!</v>
      </c>
      <c r="G7" s="46" t="e">
        <f>#REF!</f>
        <v>#REF!</v>
      </c>
      <c r="H7" s="46" t="e">
        <f>#REF!</f>
        <v>#REF!</v>
      </c>
      <c r="I7" s="47"/>
      <c r="J7" s="46" t="e">
        <f>#REF!</f>
        <v>#REF!</v>
      </c>
      <c r="K7" s="46" t="e">
        <f>C7/#REF!</f>
        <v>#REF!</v>
      </c>
      <c r="L7" s="46" t="e">
        <f>K7*#REF!+D7</f>
        <v>#REF!</v>
      </c>
      <c r="M7" s="46" t="e">
        <f>K7*#REF!+E7</f>
        <v>#REF!</v>
      </c>
      <c r="N7" s="46" t="e">
        <f>K7*#REF!+F7</f>
        <v>#REF!</v>
      </c>
      <c r="O7" s="46" t="e">
        <f>K7*#REF!+G7</f>
        <v>#REF!</v>
      </c>
      <c r="P7" s="46" t="e">
        <f>K7*#REF!+H7</f>
        <v>#REF!</v>
      </c>
      <c r="Q7" s="46" t="e">
        <f>K7*#REF!+J7</f>
        <v>#REF!</v>
      </c>
      <c r="R7" s="44"/>
      <c r="S7" s="44"/>
      <c r="T7" s="44"/>
      <c r="U7" s="44"/>
    </row>
    <row r="8" spans="2:21" ht="15.75" customHeight="1">
      <c r="B8" s="45" t="s">
        <v>36</v>
      </c>
      <c r="C8" s="46" t="e">
        <f>#REF!</f>
        <v>#REF!</v>
      </c>
      <c r="D8" s="46" t="e">
        <f>#REF!+SUM(СЧЕТА!E82:K82)</f>
        <v>#REF!</v>
      </c>
      <c r="E8" s="46" t="e">
        <f>#REF!+SUM(СЧЕТА!L82:R82)</f>
        <v>#REF!</v>
      </c>
      <c r="F8" s="46" t="e">
        <f>#REF!+SUM(СЧЕТА!S82:Y82)</f>
        <v>#REF!</v>
      </c>
      <c r="G8" s="46" t="e">
        <f>#REF!+SUM(СЧЕТА!Z82:AF82)</f>
        <v>#REF!</v>
      </c>
      <c r="H8" s="46" t="e">
        <f>#REF!+SUM(СЧЕТА!AG82:AM82)</f>
        <v>#REF!</v>
      </c>
      <c r="I8" s="46" t="e">
        <f>#REF!+SUM(СЧЕТА!J82:P82)</f>
        <v>#REF!</v>
      </c>
      <c r="J8" s="46" t="e">
        <f>#REF!+SUM(СЧЕТА!AN82:AT82)</f>
        <v>#REF!</v>
      </c>
      <c r="K8" s="46" t="e">
        <f>C8/#REF!</f>
        <v>#REF!</v>
      </c>
      <c r="L8" s="46" t="e">
        <f>K8*#REF!+D8</f>
        <v>#REF!</v>
      </c>
      <c r="M8" s="46" t="e">
        <f>K8*#REF!+E8</f>
        <v>#REF!</v>
      </c>
      <c r="N8" s="46" t="e">
        <f>K8*#REF!+F8</f>
        <v>#REF!</v>
      </c>
      <c r="O8" s="46" t="e">
        <f>K8*#REF!+G8</f>
        <v>#REF!</v>
      </c>
      <c r="P8" s="46" t="e">
        <f>K8*#REF!+H8</f>
        <v>#REF!</v>
      </c>
      <c r="Q8" s="46" t="e">
        <f>K8*#REF!+J8</f>
        <v>#REF!</v>
      </c>
      <c r="R8" s="44"/>
      <c r="S8" s="44"/>
      <c r="T8" s="44"/>
      <c r="U8" s="44"/>
    </row>
    <row r="9" spans="2:21" ht="15.75" customHeight="1">
      <c r="B9" s="40" t="s">
        <v>38</v>
      </c>
      <c r="C9" s="46" t="e">
        <f>#REF!</f>
        <v>#REF!</v>
      </c>
      <c r="D9" s="46" t="e">
        <f>#REF!+SUM(СЧЕТА!E71:K71)</f>
        <v>#REF!</v>
      </c>
      <c r="E9" s="46" t="e">
        <f>#REF!+SUM(СЧЕТА!L71:R71)</f>
        <v>#REF!</v>
      </c>
      <c r="F9" s="46" t="e">
        <f>#REF!+SUM(СЧЕТА!S71:Y71)</f>
        <v>#REF!</v>
      </c>
      <c r="G9" s="46" t="e">
        <f>#REF!+SUM(СЧЕТА!Z71:AF71)</f>
        <v>#REF!</v>
      </c>
      <c r="H9" s="46" t="e">
        <f>#REF!+SUM(СЧЕТА!AG71:AM71)</f>
        <v>#REF!</v>
      </c>
      <c r="I9" s="46" t="e">
        <f>#REF!+SUM(СЧЕТА!J71:P71)</f>
        <v>#REF!</v>
      </c>
      <c r="J9" s="46" t="e">
        <f>#REF!+SUM(СЧЕТА!AN71:AT71)</f>
        <v>#REF!</v>
      </c>
      <c r="K9" s="46" t="e">
        <f>C9/#REF!</f>
        <v>#REF!</v>
      </c>
      <c r="L9" s="46" t="e">
        <f>K9*#REF!+D9</f>
        <v>#REF!</v>
      </c>
      <c r="M9" s="46" t="e">
        <f>K9*#REF!+E9</f>
        <v>#REF!</v>
      </c>
      <c r="N9" s="46" t="e">
        <f>K9*#REF!+F9</f>
        <v>#REF!</v>
      </c>
      <c r="O9" s="46" t="e">
        <f>K9*#REF!+G9</f>
        <v>#REF!</v>
      </c>
      <c r="P9" s="46" t="e">
        <f>K9*#REF!+H9</f>
        <v>#REF!</v>
      </c>
      <c r="Q9" s="46" t="e">
        <f>K9*#REF!+J9</f>
        <v>#REF!</v>
      </c>
      <c r="R9" s="44"/>
      <c r="S9" s="44"/>
      <c r="T9" s="44"/>
      <c r="U9" s="44"/>
    </row>
    <row r="10" spans="2:21" ht="15.75" customHeight="1">
      <c r="B10" s="48" t="s">
        <v>147</v>
      </c>
      <c r="C10" s="46" t="e">
        <f>#REF!</f>
        <v>#REF!</v>
      </c>
      <c r="D10" s="49" t="e">
        <f>#REF!+SUM(СЧЕТА!E61:K61)</f>
        <v>#REF!</v>
      </c>
      <c r="E10" s="46" t="e">
        <f>#REF!+SUM(СЧЕТА!L61:R61)</f>
        <v>#REF!</v>
      </c>
      <c r="F10" s="46" t="e">
        <f>#REF!+SUM(СЧЕТА!S61:Y61)</f>
        <v>#REF!</v>
      </c>
      <c r="G10" s="46" t="e">
        <f>#REF!+SUM(СЧЕТА!Z61:AF61)</f>
        <v>#REF!</v>
      </c>
      <c r="H10" s="46" t="e">
        <f>#REF!+SUM(СЧЕТА!AG61:AM61)</f>
        <v>#REF!</v>
      </c>
      <c r="I10" s="46" t="e">
        <f>#REF!+SUM(СЧЕТА!J72:P72)</f>
        <v>#REF!</v>
      </c>
      <c r="J10" s="46" t="e">
        <f>#REF!+SUM(СЧЕТА!AN61:AT61)</f>
        <v>#REF!</v>
      </c>
      <c r="K10" s="46" t="e">
        <f>C10/#REF!</f>
        <v>#REF!</v>
      </c>
      <c r="L10" s="46" t="e">
        <f>K10*#REF!+D10</f>
        <v>#REF!</v>
      </c>
      <c r="M10" s="46" t="e">
        <f>K10*#REF!+E10</f>
        <v>#REF!</v>
      </c>
      <c r="N10" s="46" t="e">
        <f>K10*#REF!+F10</f>
        <v>#REF!</v>
      </c>
      <c r="O10" s="46" t="e">
        <f>K10*#REF!+G10</f>
        <v>#REF!</v>
      </c>
      <c r="P10" s="46" t="e">
        <f>K10*#REF!+H10</f>
        <v>#REF!</v>
      </c>
      <c r="Q10" s="46" t="e">
        <f>K10*#REF!+J10</f>
        <v>#REF!</v>
      </c>
      <c r="R10" s="44"/>
      <c r="S10" s="44"/>
      <c r="T10" s="44"/>
      <c r="U10" s="44"/>
    </row>
    <row r="11" spans="2:21" ht="15.75" customHeight="1">
      <c r="B11" s="48" t="s">
        <v>148</v>
      </c>
      <c r="C11" s="46" t="e">
        <f>#REF!</f>
        <v>#REF!</v>
      </c>
      <c r="D11" s="49" t="e">
        <f>#REF!+SUM(СЧЕТА!E62:K62)+SUM(СЧЕТА!E63:K63)</f>
        <v>#REF!</v>
      </c>
      <c r="E11" s="49" t="e">
        <f>#REF!+SUM(СЧЕТА!L62:R62)+SUM(СЧЕТА!L63:R63)</f>
        <v>#REF!</v>
      </c>
      <c r="F11" s="49" t="e">
        <f>#REF!+SUM(СЧЕТА!S62:Y62)+SUM(СЧЕТА!S63:Y63)</f>
        <v>#REF!</v>
      </c>
      <c r="G11" s="49" t="e">
        <f>#REF!+SUM(СЧЕТА!Z62:AF62)+SUM(СЧЕТА!Z63:AF63)</f>
        <v>#REF!</v>
      </c>
      <c r="H11" s="49" t="e">
        <f>#REF!+SUM(СЧЕТА!AG62:AM62)+SUM(СЧЕТА!AG63:AM63)</f>
        <v>#REF!</v>
      </c>
      <c r="I11" s="49" t="e">
        <f>#REF!+SUM(СЧЕТА!J62:P62)+SUM(СЧЕТА!J63:P63)</f>
        <v>#REF!</v>
      </c>
      <c r="J11" s="49" t="e">
        <f>#REF!+SUM(СЧЕТА!AN62:AT62)+SUM(СЧЕТА!AN63:AT63)</f>
        <v>#REF!</v>
      </c>
      <c r="K11" s="46" t="e">
        <f>C11/#REF!</f>
        <v>#REF!</v>
      </c>
      <c r="L11" s="46" t="e">
        <f>K11*#REF!+D11</f>
        <v>#REF!</v>
      </c>
      <c r="M11" s="46" t="e">
        <f>K11*#REF!+E11</f>
        <v>#REF!</v>
      </c>
      <c r="N11" s="46" t="e">
        <f>K11*#REF!+F11</f>
        <v>#REF!</v>
      </c>
      <c r="O11" s="46" t="e">
        <f>K11*#REF!+G11</f>
        <v>#REF!</v>
      </c>
      <c r="P11" s="46" t="e">
        <f>K11*#REF!+H11</f>
        <v>#REF!</v>
      </c>
      <c r="Q11" s="46" t="e">
        <f>K11*#REF!+J11</f>
        <v>#REF!</v>
      </c>
      <c r="R11" s="44"/>
      <c r="S11" s="44"/>
      <c r="T11" s="44"/>
      <c r="U11" s="44"/>
    </row>
    <row r="12" spans="2:21" ht="15.75" customHeight="1">
      <c r="B12" s="48" t="s">
        <v>149</v>
      </c>
      <c r="C12" s="50" t="e">
        <f>#REF!</f>
        <v>#REF!</v>
      </c>
      <c r="D12" s="49" t="e">
        <f>#REF!+SUM(СЧЕТА!E77:K77)</f>
        <v>#REF!</v>
      </c>
      <c r="E12" s="49" t="e">
        <f>#REF!+SUM(СЧЕТА!L77:R77)</f>
        <v>#REF!</v>
      </c>
      <c r="F12" s="49" t="e">
        <f>#REF!+SUM(СЧЕТА!S77:Y77)</f>
        <v>#REF!</v>
      </c>
      <c r="G12" s="49" t="e">
        <f>#REF!+SUM(СЧЕТА!Z77:AF77)</f>
        <v>#REF!</v>
      </c>
      <c r="H12" s="49" t="e">
        <f>#REF!+SUM(СЧЕТА!AG77:AM77)</f>
        <v>#REF!</v>
      </c>
      <c r="I12" s="49" t="e">
        <f>#REF!+SUM(СЧЕТА!J77:P77)</f>
        <v>#REF!</v>
      </c>
      <c r="J12" s="49" t="e">
        <f>#REF!+SUM(СЧЕТА!AN77:AT77)</f>
        <v>#REF!</v>
      </c>
      <c r="K12" s="46" t="e">
        <f>C12/#REF!</f>
        <v>#REF!</v>
      </c>
      <c r="L12" s="46" t="e">
        <f>K12*#REF!+D12</f>
        <v>#REF!</v>
      </c>
      <c r="M12" s="46" t="e">
        <f>K12*#REF!+E12</f>
        <v>#REF!</v>
      </c>
      <c r="N12" s="46" t="e">
        <f>K12*#REF!+F12</f>
        <v>#REF!</v>
      </c>
      <c r="O12" s="46" t="e">
        <f>K12*#REF!+G12</f>
        <v>#REF!</v>
      </c>
      <c r="P12" s="46" t="e">
        <f>K12*#REF!+H12</f>
        <v>#REF!</v>
      </c>
      <c r="Q12" s="46" t="e">
        <f>K12*#REF!+J12</f>
        <v>#REF!</v>
      </c>
      <c r="R12" s="44"/>
      <c r="S12" s="44"/>
      <c r="T12" s="44"/>
      <c r="U12" s="44"/>
    </row>
    <row r="13" spans="2:21" ht="15.75" customHeight="1">
      <c r="B13" s="48" t="s">
        <v>150</v>
      </c>
      <c r="C13" s="46" t="e">
        <f>#REF!</f>
        <v>#REF!</v>
      </c>
      <c r="D13" s="49" t="e">
        <f>#REF!+SUM(СЧЕТА!E51:K51)+SUM(СЧЕТА!E68:K68)+SUM(СЧЕТА!E81:K81)+SUM(СЧЕТА!E57:K57)</f>
        <v>#REF!</v>
      </c>
      <c r="E13" s="49" t="e">
        <f>#REF!+SUM(СЧЕТА!L51:R51)+SUM(СЧЕТА!L68:R68)+SUM(СЧЕТА!L81:R81)+SUM(СЧЕТА!L57:R57)</f>
        <v>#REF!</v>
      </c>
      <c r="F13" s="49" t="e">
        <f>#REF!+SUM(СЧЕТА!S51:Y51)+SUM(СЧЕТА!S68:Y68)+SUM(СЧЕТА!S81:Y81)+SUM(СЧЕТА!S57:Y57)</f>
        <v>#REF!</v>
      </c>
      <c r="G13" s="49" t="e">
        <f>#REF!+SUM(СЧЕТА!Z51:AF51)+SUM(СЧЕТА!Z68:AF68)+SUM(СЧЕТА!Z81:AF81)+SUM(СЧЕТА!Z57:AF57)</f>
        <v>#REF!</v>
      </c>
      <c r="H13" s="49" t="e">
        <f>#REF!+SUM(СЧЕТА!AG51:AM51)+SUM(СЧЕТА!AG68:AM68)+SUM(СЧЕТА!AG81:AM81)+SUM(СЧЕТА!AG57:AM57)</f>
        <v>#REF!</v>
      </c>
      <c r="I13" s="49" t="e">
        <f>#REF!+SUM(СЧЕТА!J51:P51)+SUM(СЧЕТА!J68:P68)+SUM(СЧЕТА!J81:P81)</f>
        <v>#REF!</v>
      </c>
      <c r="J13" s="49" t="e">
        <f>#REF!+SUM(СЧЕТА!AN51:AT51)+SUM(СЧЕТА!AN68:AT68)+SUM(СЧЕТА!AN81:AT81)+SUM(СЧЕТА!AN57:AT57)</f>
        <v>#REF!</v>
      </c>
      <c r="K13" s="46" t="e">
        <f>C13/#REF!</f>
        <v>#REF!</v>
      </c>
      <c r="L13" s="46" t="e">
        <f>K13*#REF!+D13</f>
        <v>#REF!</v>
      </c>
      <c r="M13" s="46" t="e">
        <f>K13*#REF!+E13</f>
        <v>#REF!</v>
      </c>
      <c r="N13" s="46" t="e">
        <f>K13*#REF!+F13</f>
        <v>#REF!</v>
      </c>
      <c r="O13" s="46" t="e">
        <f>K13*#REF!+G13</f>
        <v>#REF!</v>
      </c>
      <c r="P13" s="46" t="e">
        <f>K13*#REF!+H13</f>
        <v>#REF!</v>
      </c>
      <c r="Q13" s="46" t="e">
        <f>K13*#REF!+J13</f>
        <v>#REF!</v>
      </c>
      <c r="R13" s="44"/>
      <c r="S13" s="44"/>
      <c r="T13" s="44"/>
      <c r="U13" s="44"/>
    </row>
    <row r="14" spans="2:21" ht="15.75" customHeight="1">
      <c r="B14" s="48" t="s">
        <v>151</v>
      </c>
      <c r="C14" s="46" t="e">
        <f>#REF!</f>
        <v>#REF!</v>
      </c>
      <c r="D14" s="49" t="e">
        <f>#REF!+SUM(СЧЕТА!E65:K65)</f>
        <v>#REF!</v>
      </c>
      <c r="E14" s="49" t="e">
        <f>#REF!+SUM(СЧЕТА!L65:R65)</f>
        <v>#REF!</v>
      </c>
      <c r="F14" s="49" t="e">
        <f>#REF!+SUM(СЧЕТА!S65:Y65)</f>
        <v>#REF!</v>
      </c>
      <c r="G14" s="49" t="e">
        <f>#REF!+SUM(СЧЕТА!Z65:AF65)</f>
        <v>#REF!</v>
      </c>
      <c r="H14" s="49" t="e">
        <f>#REF!+SUM(СЧЕТА!AG65:AM65)</f>
        <v>#REF!</v>
      </c>
      <c r="I14" s="49" t="e">
        <f>#REF!+SUM(СЧЕТА!J65,СЧЕТА!P65)</f>
        <v>#REF!</v>
      </c>
      <c r="J14" s="49" t="e">
        <f>#REF!+SUM(СЧЕТА!AN65:AT65)</f>
        <v>#REF!</v>
      </c>
      <c r="K14" s="46" t="e">
        <f>C14/#REF!</f>
        <v>#REF!</v>
      </c>
      <c r="L14" s="46" t="e">
        <f>K14*#REF!+D14</f>
        <v>#REF!</v>
      </c>
      <c r="M14" s="46" t="e">
        <f>K14*#REF!+E14</f>
        <v>#REF!</v>
      </c>
      <c r="N14" s="46" t="e">
        <f>K14*#REF!+F14</f>
        <v>#REF!</v>
      </c>
      <c r="O14" s="46" t="e">
        <f>K14*#REF!+G14</f>
        <v>#REF!</v>
      </c>
      <c r="P14" s="46" t="e">
        <f>K14*#REF!+H14</f>
        <v>#REF!</v>
      </c>
      <c r="Q14" s="46" t="e">
        <f>K14*#REF!+J14</f>
        <v>#REF!</v>
      </c>
      <c r="R14" s="44"/>
      <c r="S14" s="44"/>
      <c r="T14" s="44"/>
      <c r="U14" s="44"/>
    </row>
    <row r="15" spans="2:21" ht="15.75" customHeight="1">
      <c r="B15" s="48" t="s">
        <v>49</v>
      </c>
      <c r="C15" s="46" t="e">
        <f>#REF!</f>
        <v>#REF!</v>
      </c>
      <c r="D15" s="49" t="e">
        <f>#REF!+SUM(СЧЕТА!E54:K54)+SUM(СЧЕТА!E59:K59)+SUM(СЧЕТА!E75:K75)+SUM(СЧЕТА!E76:K76)</f>
        <v>#REF!</v>
      </c>
      <c r="E15" s="49" t="e">
        <f>#REF!+SUM(СЧЕТА!L54:R54)+SUM(СЧЕТА!L59:R59)+SUM(СЧЕТА!L75:R75)+SUM(СЧЕТА!L76:R76)</f>
        <v>#REF!</v>
      </c>
      <c r="F15" s="49" t="e">
        <f>#REF!+SUM(СЧЕТА!S54:Y54)+SUM(СЧЕТА!S59:Y59)+SUM(СЧЕТА!S75:Y75)+SUM(СЧЕТА!S76:Y76)</f>
        <v>#REF!</v>
      </c>
      <c r="G15" s="49" t="e">
        <f>#REF!+SUM(СЧЕТА!Z54:AF54)+SUM(СЧЕТА!Z59:AF59)+SUM(СЧЕТА!Z75:AF75)+SUM(СЧЕТА!Z76:AF76)</f>
        <v>#REF!</v>
      </c>
      <c r="H15" s="49" t="e">
        <f>#REF!+SUM(СЧЕТА!AG54:AM54)+SUM(СЧЕТА!AG59:AM59)+SUM(СЧЕТА!AG75:AM75)+SUM(СЧЕТА!AG76:AM76)</f>
        <v>#REF!</v>
      </c>
      <c r="I15" s="49" t="e">
        <f>#REF!+SUM(СЧЕТА!J54:P54)+SUM(СЧЕТА!J59:P59)+SUM(СЧЕТА!J75:P75)+SUM(СЧЕТА!J76:P76)</f>
        <v>#REF!</v>
      </c>
      <c r="J15" s="49" t="e">
        <f>#REF!+SUM(СЧЕТА!AN54:AT54)+SUM(СЧЕТА!AN59:AT59)+SUM(СЧЕТА!AN75:AT75)+SUM(СЧЕТА!AN76:AT76)</f>
        <v>#REF!</v>
      </c>
      <c r="K15" s="46" t="e">
        <f>C15/#REF!</f>
        <v>#REF!</v>
      </c>
      <c r="L15" s="46" t="e">
        <f>K15*#REF!+D15</f>
        <v>#REF!</v>
      </c>
      <c r="M15" s="46" t="e">
        <f>K15*#REF!+E15</f>
        <v>#REF!</v>
      </c>
      <c r="N15" s="46" t="e">
        <f>K15*#REF!+F15</f>
        <v>#REF!</v>
      </c>
      <c r="O15" s="46" t="e">
        <f>K15*#REF!+G15</f>
        <v>#REF!</v>
      </c>
      <c r="P15" s="46" t="e">
        <f>K15*#REF!+H15</f>
        <v>#REF!</v>
      </c>
      <c r="Q15" s="46" t="e">
        <f>K15*#REF!+J15</f>
        <v>#REF!</v>
      </c>
      <c r="R15" s="44"/>
      <c r="S15" s="44"/>
      <c r="T15" s="44"/>
      <c r="U15" s="44"/>
    </row>
    <row r="16" spans="2:21" ht="15.75" customHeight="1">
      <c r="B16" s="40" t="s">
        <v>69</v>
      </c>
      <c r="C16" s="46" t="e">
        <f>#REF!</f>
        <v>#REF!</v>
      </c>
      <c r="D16" s="49" t="e">
        <f>#REF!+SUM(СЧЕТА!E69:K69)</f>
        <v>#REF!</v>
      </c>
      <c r="E16" s="49" t="e">
        <f>#REF!+SUM(СЧЕТА!L69:R69)</f>
        <v>#REF!</v>
      </c>
      <c r="F16" s="49" t="e">
        <f>#REF!+SUM(СЧЕТА!S69:Y69)</f>
        <v>#REF!</v>
      </c>
      <c r="G16" s="49" t="e">
        <f>#REF!+SUM(СЧЕТА!Z69:AF69)</f>
        <v>#REF!</v>
      </c>
      <c r="H16" s="49" t="e">
        <f>#REF!+SUM(СЧЕТА!AG69:AM69)</f>
        <v>#REF!</v>
      </c>
      <c r="I16" s="49" t="e">
        <f>#REF!+SUM(СЧЕТА!J69:P69)</f>
        <v>#REF!</v>
      </c>
      <c r="J16" s="49" t="e">
        <f>#REF!+SUM(СЧЕТА!AN69:AT69)</f>
        <v>#REF!</v>
      </c>
      <c r="K16" s="46" t="e">
        <f>C16/#REF!</f>
        <v>#REF!</v>
      </c>
      <c r="L16" s="46" t="e">
        <f>K16*#REF!+D16</f>
        <v>#REF!</v>
      </c>
      <c r="M16" s="46" t="e">
        <f>K16*#REF!+E16</f>
        <v>#REF!</v>
      </c>
      <c r="N16" s="46" t="e">
        <f>K16*#REF!+F16</f>
        <v>#REF!</v>
      </c>
      <c r="O16" s="46" t="e">
        <f>K16*#REF!+G16</f>
        <v>#REF!</v>
      </c>
      <c r="P16" s="46" t="e">
        <f>K16*#REF!+H16</f>
        <v>#REF!</v>
      </c>
      <c r="Q16" s="46" t="e">
        <f>K16*#REF!+J16</f>
        <v>#REF!</v>
      </c>
      <c r="R16" s="44"/>
      <c r="S16" s="44"/>
      <c r="T16" s="44"/>
      <c r="U16" s="44"/>
    </row>
    <row r="17" spans="2:21" ht="15.75" customHeight="1">
      <c r="B17" s="40" t="s">
        <v>47</v>
      </c>
      <c r="C17" s="46" t="e">
        <f>#REF!</f>
        <v>#REF!</v>
      </c>
      <c r="D17" s="49" t="e">
        <f>#REF!</f>
        <v>#REF!</v>
      </c>
      <c r="E17" s="46" t="e">
        <f>#REF!</f>
        <v>#REF!</v>
      </c>
      <c r="F17" s="46" t="e">
        <f>#REF!</f>
        <v>#REF!</v>
      </c>
      <c r="G17" s="46" t="e">
        <f>#REF!</f>
        <v>#REF!</v>
      </c>
      <c r="H17" s="46" t="e">
        <f>#REF!</f>
        <v>#REF!</v>
      </c>
      <c r="I17" s="47"/>
      <c r="J17" s="46" t="e">
        <f>#REF!</f>
        <v>#REF!</v>
      </c>
      <c r="K17" s="46" t="e">
        <f>C17/#REF!</f>
        <v>#REF!</v>
      </c>
      <c r="L17" s="46" t="e">
        <f>K17*#REF!+D17</f>
        <v>#REF!</v>
      </c>
      <c r="M17" s="46" t="e">
        <f>K17*#REF!+E17</f>
        <v>#REF!</v>
      </c>
      <c r="N17" s="46" t="e">
        <f>K17*#REF!+F17</f>
        <v>#REF!</v>
      </c>
      <c r="O17" s="46" t="e">
        <f>K17*#REF!+G17</f>
        <v>#REF!</v>
      </c>
      <c r="P17" s="46" t="e">
        <f>K17*#REF!+H17</f>
        <v>#REF!</v>
      </c>
      <c r="Q17" s="46" t="e">
        <f>K17*#REF!+J17</f>
        <v>#REF!</v>
      </c>
      <c r="R17" s="44"/>
      <c r="S17" s="44"/>
      <c r="T17" s="44"/>
      <c r="U17" s="44"/>
    </row>
    <row r="18" spans="2:21" ht="15.75" customHeight="1">
      <c r="B18" s="48" t="s">
        <v>53</v>
      </c>
      <c r="C18" s="46" t="e">
        <f>#REF!</f>
        <v>#REF!</v>
      </c>
      <c r="D18" s="49" t="e">
        <f>#REF!+SUM(СЧЕТА!E53:K53)+SUM(СЧЕТА!E58:K58)+SUM(СЧЕТА!E79:K79)+SUM(СЧЕТА!E80:K80)+SUM(СЧЕТА!E74:K74)+SUM(СЧЕТА!E66:K66)+SUM(СЧЕТА!E67:K67)</f>
        <v>#REF!</v>
      </c>
      <c r="E18" s="49" t="e">
        <f>#REF!+SUM(СЧЕТА!R53:FL53)+SUM(СЧЕТА!L58:R58)+SUM(СЧЕТА!L79:R79)+SUM(СЧЕТА!L80:R80)+SUM(СЧЕТА!L74:R74)+SUM(СЧЕТА!L66:R66)+SUM(СЧЕТА!L67:R67)</f>
        <v>#REF!</v>
      </c>
      <c r="F18" s="49" t="e">
        <f>#REF!+SUM(СЧЕТА!S53:Y53)+SUM(СЧЕТА!S58:Y58)+SUM(СЧЕТА!S79:Y79)+SUM(СЧЕТА!S80:Y80)+SUM(СЧЕТА!S74:Y74)+SUM(СЧЕТА!S66:Y66)+SUM(СЧЕТА!S67:Y67)</f>
        <v>#REF!</v>
      </c>
      <c r="G18" s="49" t="e">
        <f>#REF!+SUM(СЧЕТА!Z53:AF53)+SUM(СЧЕТА!Z58:AF58)+SUM(СЧЕТА!Z79:AF79)+SUM(СЧЕТА!Z80:AF80)+SUM(СЧЕТА!Z74:AF74)+SUM(СЧЕТА!Z66:AF66)+SUM(СЧЕТА!Z67:AF67)</f>
        <v>#REF!</v>
      </c>
      <c r="H18" s="49" t="e">
        <f>#REF!+SUM(СЧЕТА!AG53:AM53)+SUM(СЧЕТА!AG58:AM58)+SUM(СЧЕТА!AG79:AM79)+SUM(СЧЕТА!AG80:AM80)+SUM(СЧЕТА!AG74:AM74)+SUM(СЧЕТА!AG66:AM66)+SUM(СЧЕТА!AG67:AM67)</f>
        <v>#REF!</v>
      </c>
      <c r="I18" s="49" t="e">
        <f>#REF!+SUM(СЧЕТА!J53:P53)+SUM(СЧЕТА!J58:P58)+SUM(СЧЕТА!J79:P79)+SUM(СЧЕТА!J80:P80)+SUM(СЧЕТА!J74:P74)+SUM(СЧЕТА!J66:P66)</f>
        <v>#REF!</v>
      </c>
      <c r="J18" s="49" t="e">
        <f>#REF!+SUM(СЧЕТА!AN53:AT53)+SUM(СЧЕТА!AN58:AT58)+SUM(СЧЕТА!AN79:AT79)+SUM(СЧЕТА!AN80:AT80)+SUM(СЧЕТА!AM74:AT74)+SUM(СЧЕТА!AM66:AT66)+SUM(СЧЕТА!AN67:AT67)</f>
        <v>#REF!</v>
      </c>
      <c r="K18" s="46" t="e">
        <f>C18/#REF!</f>
        <v>#REF!</v>
      </c>
      <c r="L18" s="46" t="e">
        <f>K18*#REF!+D18</f>
        <v>#REF!</v>
      </c>
      <c r="M18" s="46" t="e">
        <f>K18*#REF!+E18</f>
        <v>#REF!</v>
      </c>
      <c r="N18" s="46" t="e">
        <f>K18*#REF!+F18</f>
        <v>#REF!</v>
      </c>
      <c r="O18" s="46" t="e">
        <f>K18*#REF!+G18</f>
        <v>#REF!</v>
      </c>
      <c r="P18" s="46" t="e">
        <f>K18*#REF!+H18</f>
        <v>#REF!</v>
      </c>
      <c r="Q18" s="46" t="e">
        <f>K18*#REF!+J18</f>
        <v>#REF!</v>
      </c>
      <c r="R18" s="44"/>
      <c r="S18" s="44"/>
      <c r="T18" s="44"/>
      <c r="U18" s="44"/>
    </row>
    <row r="19" spans="2:21" ht="15.75" customHeight="1">
      <c r="B19" s="40" t="s">
        <v>152</v>
      </c>
      <c r="C19" s="46" t="e">
        <f>#REF!</f>
        <v>#REF!</v>
      </c>
      <c r="D19" s="49" t="e">
        <f ca="1">#REF!+ SUM(СЧЕТА!E73:'СЧЕТА'!K73)</f>
        <v>#REF!</v>
      </c>
      <c r="E19" s="49" t="e">
        <f ca="1">#REF!+ SUM(СЧЕТА!L73:'СЧЕТА'!R73)</f>
        <v>#REF!</v>
      </c>
      <c r="F19" s="49" t="e">
        <f ca="1">#REF!+ SUM(СЧЕТА!S73:'СЧЕТА'!Y73)</f>
        <v>#REF!</v>
      </c>
      <c r="G19" s="49" t="e">
        <f ca="1">#REF!+ SUM(СЧЕТА!Z73:'СЧЕТА'!AF73)</f>
        <v>#REF!</v>
      </c>
      <c r="H19" s="49" t="e">
        <f ca="1">#REF!+ SUM(СЧЕТА!AG73:'СЧЕТА'!AM73)</f>
        <v>#REF!</v>
      </c>
      <c r="I19" s="49" t="e">
        <f ca="1">#REF!+ SUM(СЧЕТА!J73:'СЧЕТА'!P73)</f>
        <v>#REF!</v>
      </c>
      <c r="J19" s="49" t="e">
        <f ca="1">#REF!+ SUM(СЧЕТА!AN73:'СЧЕТА'!AT73)</f>
        <v>#REF!</v>
      </c>
      <c r="K19" s="46" t="e">
        <f>C19/#REF!</f>
        <v>#REF!</v>
      </c>
      <c r="L19" s="46" t="e">
        <f ca="1">K19*#REF!+D19</f>
        <v>#REF!</v>
      </c>
      <c r="M19" s="46" t="e">
        <f ca="1">K19*#REF!+E19</f>
        <v>#REF!</v>
      </c>
      <c r="N19" s="46" t="e">
        <f ca="1">K19*#REF!+F19</f>
        <v>#REF!</v>
      </c>
      <c r="O19" s="46" t="e">
        <f ca="1">K19*#REF!+G19</f>
        <v>#REF!</v>
      </c>
      <c r="P19" s="46" t="e">
        <f ca="1">K19*#REF!+H19</f>
        <v>#REF!</v>
      </c>
      <c r="Q19" s="46" t="e">
        <f ca="1">K19*#REF!+J19</f>
        <v>#REF!</v>
      </c>
      <c r="R19" s="44"/>
      <c r="S19" s="44"/>
      <c r="T19" s="44"/>
      <c r="U19" s="44"/>
    </row>
    <row r="20" spans="2:21" ht="15.75" customHeight="1">
      <c r="B20" s="40" t="s">
        <v>56</v>
      </c>
      <c r="C20" s="46" t="e">
        <f>#REF!</f>
        <v>#REF!</v>
      </c>
      <c r="D20" s="49" t="e">
        <f ca="1">#REF!+SUM(СЧЕТА!E70:K70)+SUM(СЧЕТА!E72:'СЧЕТА'!K72)</f>
        <v>#REF!</v>
      </c>
      <c r="E20" s="49" t="e">
        <f ca="1">#REF!+SUM(СЧЕТА!L70:R70)+SUM(СЧЕТА!L72:'СЧЕТА'!R72)</f>
        <v>#REF!</v>
      </c>
      <c r="F20" s="49" t="e">
        <f ca="1">#REF!+SUM(СЧЕТА!S70:Y70)+SUM(СЧЕТА!S72:'СЧЕТА'!Y72)</f>
        <v>#REF!</v>
      </c>
      <c r="G20" s="49" t="e">
        <f ca="1">#REF!+SUM(СЧЕТА!Z70:AF70)+SUM(СЧЕТА!Z72:'СЧЕТА'!AF72)</f>
        <v>#REF!</v>
      </c>
      <c r="H20" s="49" t="e">
        <f ca="1">#REF!+SUM(СЧЕТА!AG70:AM70)+SUM(СЧЕТА!AG72:'СЧЕТА'!AM72)</f>
        <v>#REF!</v>
      </c>
      <c r="I20" s="49" t="e">
        <f ca="1">#REF!+SUM(СЧЕТА!J70:P70)+SUM(СЧЕТА!J72:'СЧЕТА'!P72)</f>
        <v>#REF!</v>
      </c>
      <c r="J20" s="49" t="e">
        <f ca="1">#REF!+SUM(СЧЕТА!AN70:AT70)+SUM(СЧЕТА!AN72:'СЧЕТА'!AT72)</f>
        <v>#REF!</v>
      </c>
      <c r="K20" s="46" t="e">
        <f>C20/#REF!</f>
        <v>#REF!</v>
      </c>
      <c r="L20" s="46" t="e">
        <f ca="1">K20*#REF!+D20</f>
        <v>#REF!</v>
      </c>
      <c r="M20" s="46" t="e">
        <f ca="1">K20*#REF!+E20</f>
        <v>#REF!</v>
      </c>
      <c r="N20" s="46" t="e">
        <f ca="1">K20*#REF!+F20</f>
        <v>#REF!</v>
      </c>
      <c r="O20" s="46" t="e">
        <f ca="1">K20*#REF!+G20</f>
        <v>#REF!</v>
      </c>
      <c r="P20" s="46" t="e">
        <f ca="1">K20*#REF!+H20</f>
        <v>#REF!</v>
      </c>
      <c r="Q20" s="46" t="e">
        <f ca="1">K20*#REF!+J20</f>
        <v>#REF!</v>
      </c>
      <c r="R20" s="44"/>
      <c r="S20" s="44"/>
      <c r="T20" s="44"/>
      <c r="U20" s="44"/>
    </row>
    <row r="21" spans="2:21">
      <c r="B21" s="40"/>
      <c r="C21" s="51"/>
      <c r="D21" s="52"/>
      <c r="E21" s="52"/>
      <c r="F21" s="52"/>
      <c r="G21" s="52"/>
      <c r="H21" s="52"/>
      <c r="I21" s="53"/>
      <c r="J21" s="53"/>
      <c r="K21" s="43"/>
      <c r="L21" s="43"/>
      <c r="M21" s="43"/>
      <c r="N21" s="43"/>
      <c r="O21" s="43"/>
      <c r="P21" s="43"/>
      <c r="Q21" s="43"/>
      <c r="R21" s="44"/>
      <c r="S21" s="44"/>
      <c r="T21" s="44"/>
      <c r="U21" s="44"/>
    </row>
    <row r="22" spans="2:21">
      <c r="B22" s="54"/>
      <c r="C22" s="44"/>
      <c r="D22" s="292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2:21">
      <c r="B23" s="54"/>
      <c r="C23" s="44"/>
      <c r="D23" s="292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2:21">
      <c r="B24" s="55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2:21">
      <c r="B25" s="55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2:21">
      <c r="B26" s="55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2:21">
      <c r="B27" s="55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2:21">
      <c r="B28" s="55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2:21">
      <c r="B29" s="55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2:21">
      <c r="B30" s="55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2:21">
      <c r="B31" s="55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</row>
    <row r="32" spans="2:21">
      <c r="B32" s="55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2:21">
      <c r="B33" s="5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</row>
    <row r="34" spans="2:21">
      <c r="B34" s="55"/>
      <c r="C34" s="44"/>
      <c r="D34" s="44"/>
      <c r="E34" s="44"/>
      <c r="F34" s="44"/>
      <c r="G34" s="44"/>
      <c r="H34" s="44"/>
      <c r="I34" s="44">
        <f>C34:C46</f>
        <v>0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</row>
    <row r="35" spans="2:21">
      <c r="B35" s="55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spans="2:21">
      <c r="B36" s="55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spans="2:21">
      <c r="B37" s="55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</row>
    <row r="38" spans="2:21">
      <c r="B38" s="55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</row>
    <row r="39" spans="2:21">
      <c r="B39" s="55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</row>
    <row r="40" spans="2:21">
      <c r="B40" s="5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</row>
    <row r="41" spans="2:21">
      <c r="B41" s="55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2:21">
      <c r="B42" s="55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2:21">
      <c r="B43" s="55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2:21">
      <c r="B44" s="55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2:21">
      <c r="B45" s="55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2:21">
      <c r="B46" s="5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2:21">
      <c r="B47" s="55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2:21">
      <c r="B48" s="55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2:21">
      <c r="B49" s="55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2:21">
      <c r="B50" s="55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2:21">
      <c r="B51" s="5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2:21">
      <c r="B52" s="55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2:21">
      <c r="B53" s="55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2:21">
      <c r="B54" s="55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2:21">
      <c r="B55" s="55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2:21">
      <c r="B56" s="55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57" spans="2:21">
      <c r="B57" s="55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</row>
    <row r="58" spans="2:21">
      <c r="B58" s="55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</row>
    <row r="59" spans="2:21">
      <c r="B59" s="55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</row>
    <row r="60" spans="2:21">
      <c r="B60" s="55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spans="2:21">
      <c r="B61" s="55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spans="2:21">
      <c r="B62" s="55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</row>
    <row r="63" spans="2:21">
      <c r="B63" s="55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</row>
    <row r="64" spans="2:21">
      <c r="B64" s="55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</row>
    <row r="65" spans="2:21">
      <c r="B65" s="55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</row>
    <row r="66" spans="2:21">
      <c r="B66" s="55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spans="2:21">
      <c r="B67" s="5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spans="2:21" ht="12" customHeight="1">
      <c r="B68" s="55"/>
      <c r="C68" s="44"/>
      <c r="D68" s="44"/>
      <c r="E68" s="44"/>
      <c r="F68" s="44"/>
      <c r="G68" s="44"/>
      <c r="H68" s="44"/>
      <c r="I68" s="44">
        <v>40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spans="2:21" ht="12" customHeight="1">
      <c r="B69" s="55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</row>
    <row r="70" spans="2:21" ht="12" customHeight="1">
      <c r="B70" s="55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</row>
    <row r="71" spans="2:21" ht="12" customHeight="1">
      <c r="B71" s="56"/>
      <c r="C71" s="57"/>
      <c r="D71" s="58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9"/>
      <c r="R71" s="44"/>
      <c r="S71" s="44"/>
      <c r="T71" s="44"/>
      <c r="U71" s="44"/>
    </row>
    <row r="72" spans="2:21">
      <c r="B72" s="55"/>
      <c r="C72" s="44"/>
      <c r="D72" s="60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61"/>
      <c r="R72" s="44"/>
      <c r="S72" s="44"/>
      <c r="T72" s="44"/>
      <c r="U72" s="44"/>
    </row>
    <row r="73" spans="2:21">
      <c r="B73" s="55"/>
      <c r="C73" s="44"/>
      <c r="D73" s="60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61"/>
      <c r="R73" s="44"/>
      <c r="S73" s="44"/>
      <c r="T73" s="44"/>
      <c r="U73" s="44"/>
    </row>
    <row r="74" spans="2:21">
      <c r="B74" s="55"/>
      <c r="C74" s="44"/>
      <c r="D74" s="60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61"/>
      <c r="R74" s="44"/>
      <c r="S74" s="44"/>
      <c r="T74" s="44"/>
      <c r="U74" s="44"/>
    </row>
    <row r="75" spans="2:21">
      <c r="B75" s="55"/>
      <c r="C75" s="44"/>
      <c r="D75" s="60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61"/>
      <c r="R75" s="44"/>
      <c r="S75" s="44"/>
      <c r="T75" s="44"/>
      <c r="U75" s="44"/>
    </row>
    <row r="76" spans="2:21">
      <c r="B76" s="55"/>
      <c r="C76" s="44"/>
      <c r="D76" s="60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61"/>
      <c r="R76" s="44"/>
      <c r="S76" s="44"/>
      <c r="T76" s="44"/>
      <c r="U76" s="44"/>
    </row>
    <row r="77" spans="2:21">
      <c r="B77" s="55"/>
      <c r="C77" s="44"/>
      <c r="D77" s="60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61"/>
      <c r="R77" s="44"/>
      <c r="S77" s="44"/>
      <c r="T77" s="44"/>
      <c r="U77" s="44"/>
    </row>
    <row r="78" spans="2:21">
      <c r="B78" s="55"/>
      <c r="C78" s="44"/>
      <c r="D78" s="60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61"/>
      <c r="R78" s="44"/>
      <c r="S78" s="44"/>
      <c r="T78" s="44"/>
      <c r="U78" s="44"/>
    </row>
    <row r="79" spans="2:21">
      <c r="B79" s="55"/>
      <c r="C79" s="44"/>
      <c r="D79" s="60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61"/>
      <c r="R79" s="44"/>
      <c r="S79" s="44"/>
      <c r="T79" s="44"/>
      <c r="U79" s="44"/>
    </row>
    <row r="80" spans="2:21">
      <c r="B80" s="55"/>
      <c r="C80" s="44"/>
      <c r="D80" s="60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61"/>
      <c r="R80" s="44"/>
      <c r="S80" s="44"/>
      <c r="T80" s="44"/>
      <c r="U80" s="44"/>
    </row>
    <row r="81" spans="2:21">
      <c r="B81" s="55"/>
      <c r="C81" s="44"/>
      <c r="D81" s="60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61"/>
      <c r="R81" s="44"/>
      <c r="S81" s="44"/>
      <c r="T81" s="44"/>
      <c r="U81" s="44"/>
    </row>
    <row r="82" spans="2:21">
      <c r="B82" s="55"/>
      <c r="C82" s="44"/>
      <c r="D82" s="60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61"/>
      <c r="R82" s="44"/>
      <c r="S82" s="44"/>
      <c r="T82" s="44"/>
      <c r="U82" s="44"/>
    </row>
    <row r="83" spans="2:21">
      <c r="B83" s="55"/>
      <c r="C83" s="44"/>
      <c r="D83" s="60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61"/>
      <c r="R83" s="44"/>
      <c r="S83" s="44"/>
      <c r="T83" s="44"/>
      <c r="U83" s="44"/>
    </row>
    <row r="84" spans="2:21">
      <c r="B84" s="55"/>
      <c r="C84" s="44"/>
      <c r="D84" s="60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61"/>
      <c r="R84" s="44"/>
      <c r="S84" s="44"/>
      <c r="T84" s="44"/>
      <c r="U84" s="44"/>
    </row>
    <row r="85" spans="2:21">
      <c r="B85" s="55"/>
      <c r="C85" s="44"/>
      <c r="D85" s="60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61"/>
      <c r="R85" s="44"/>
      <c r="S85" s="44"/>
      <c r="T85" s="44"/>
      <c r="U85" s="44"/>
    </row>
    <row r="86" spans="2:21">
      <c r="B86" s="55"/>
      <c r="C86" s="44"/>
      <c r="D86" s="60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61"/>
      <c r="R86" s="44"/>
      <c r="S86" s="44"/>
      <c r="T86" s="44"/>
      <c r="U86" s="44"/>
    </row>
    <row r="87" spans="2:21">
      <c r="B87" s="55"/>
      <c r="C87" s="44"/>
      <c r="D87" s="60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61"/>
      <c r="R87" s="44"/>
      <c r="S87" s="44"/>
      <c r="T87" s="44"/>
      <c r="U87" s="44"/>
    </row>
    <row r="88" spans="2:21">
      <c r="B88" s="55"/>
      <c r="C88" s="44"/>
      <c r="D88" s="60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61"/>
      <c r="R88" s="44"/>
      <c r="S88" s="44"/>
      <c r="T88" s="44"/>
      <c r="U88" s="44"/>
    </row>
    <row r="89" spans="2:21">
      <c r="B89" s="55"/>
      <c r="C89" s="44"/>
      <c r="D89" s="60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61"/>
      <c r="R89" s="44"/>
      <c r="S89" s="44"/>
      <c r="T89" s="44"/>
      <c r="U89" s="44"/>
    </row>
    <row r="90" spans="2:21">
      <c r="B90" s="55"/>
      <c r="C90" s="44"/>
      <c r="D90" s="60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61"/>
      <c r="R90" s="44"/>
      <c r="S90" s="44"/>
      <c r="T90" s="44"/>
      <c r="U90" s="44"/>
    </row>
    <row r="91" spans="2:21">
      <c r="B91" s="55"/>
      <c r="C91" s="44"/>
      <c r="D91" s="60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61"/>
      <c r="R91" s="44"/>
      <c r="S91" s="44"/>
      <c r="T91" s="44"/>
      <c r="U91" s="44"/>
    </row>
    <row r="92" spans="2:21">
      <c r="B92" s="55"/>
      <c r="C92" s="44"/>
      <c r="D92" s="60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61"/>
      <c r="R92" s="44"/>
      <c r="S92" s="44"/>
      <c r="T92" s="44"/>
      <c r="U92" s="44"/>
    </row>
    <row r="93" spans="2:21">
      <c r="B93" s="55"/>
      <c r="C93" s="44"/>
      <c r="D93" s="60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61"/>
      <c r="R93" s="44"/>
      <c r="S93" s="44"/>
      <c r="T93" s="44"/>
      <c r="U93" s="44"/>
    </row>
    <row r="94" spans="2:21">
      <c r="B94" s="55"/>
      <c r="C94" s="44"/>
      <c r="D94" s="60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61"/>
      <c r="R94" s="44"/>
      <c r="S94" s="44"/>
      <c r="T94" s="44"/>
      <c r="U94" s="44"/>
    </row>
    <row r="95" spans="2:21">
      <c r="B95" s="55"/>
      <c r="C95" s="44"/>
      <c r="D95" s="60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61"/>
      <c r="R95" s="44"/>
      <c r="S95" s="44"/>
      <c r="T95" s="44"/>
      <c r="U95" s="44"/>
    </row>
    <row r="96" spans="2:21">
      <c r="B96" s="55"/>
      <c r="C96" s="44"/>
      <c r="D96" s="60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61"/>
      <c r="R96" s="44"/>
      <c r="S96" s="44"/>
      <c r="T96" s="44"/>
      <c r="U96" s="44"/>
    </row>
    <row r="97" spans="2:21">
      <c r="B97" s="55"/>
      <c r="C97" s="44"/>
      <c r="D97" s="60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61"/>
      <c r="R97" s="44"/>
      <c r="S97" s="44"/>
      <c r="T97" s="44"/>
      <c r="U97" s="44"/>
    </row>
    <row r="98" spans="2:21">
      <c r="B98" s="55"/>
      <c r="C98" s="44"/>
      <c r="D98" s="60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61"/>
      <c r="R98" s="44"/>
      <c r="S98" s="44"/>
      <c r="T98" s="44"/>
      <c r="U98" s="44"/>
    </row>
    <row r="99" spans="2:21">
      <c r="B99" s="55"/>
      <c r="C99" s="44"/>
      <c r="D99" s="60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61"/>
      <c r="R99" s="44"/>
      <c r="S99" s="44"/>
      <c r="T99" s="44"/>
      <c r="U99" s="44"/>
    </row>
    <row r="100" spans="2:21">
      <c r="B100" s="55"/>
      <c r="C100" s="44"/>
      <c r="D100" s="60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61"/>
      <c r="R100" s="44"/>
      <c r="S100" s="44"/>
      <c r="T100" s="44"/>
      <c r="U100" s="44"/>
    </row>
    <row r="101" spans="2:21">
      <c r="B101" s="55"/>
      <c r="C101" s="44"/>
      <c r="D101" s="60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61"/>
      <c r="R101" s="44"/>
      <c r="S101" s="44"/>
      <c r="T101" s="44"/>
      <c r="U101" s="44"/>
    </row>
    <row r="102" spans="2:21">
      <c r="B102" s="55"/>
      <c r="C102" s="44"/>
      <c r="D102" s="60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61"/>
      <c r="R102" s="44"/>
      <c r="S102" s="44"/>
      <c r="T102" s="44"/>
      <c r="U102" s="44"/>
    </row>
    <row r="103" spans="2:21">
      <c r="B103" s="55"/>
      <c r="C103" s="44"/>
      <c r="D103" s="60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61"/>
      <c r="R103" s="44"/>
      <c r="S103" s="44"/>
      <c r="T103" s="44"/>
      <c r="U103" s="44"/>
    </row>
    <row r="104" spans="2:21">
      <c r="B104" s="55"/>
      <c r="C104" s="44"/>
      <c r="D104" s="60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61"/>
      <c r="R104" s="44"/>
      <c r="S104" s="44"/>
      <c r="T104" s="44"/>
      <c r="U104" s="44"/>
    </row>
    <row r="105" spans="2:21">
      <c r="B105" s="55"/>
      <c r="C105" s="44"/>
      <c r="D105" s="60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61"/>
      <c r="R105" s="44"/>
      <c r="S105" s="44"/>
      <c r="T105" s="44"/>
      <c r="U105" s="44"/>
    </row>
    <row r="106" spans="2:21">
      <c r="B106" s="55"/>
      <c r="C106" s="44"/>
      <c r="D106" s="60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61"/>
      <c r="R106" s="44"/>
      <c r="S106" s="44"/>
      <c r="T106" s="44"/>
      <c r="U106" s="44"/>
    </row>
    <row r="107" spans="2:21">
      <c r="B107" s="55"/>
      <c r="C107" s="44"/>
      <c r="D107" s="60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61"/>
      <c r="R107" s="44"/>
      <c r="S107" s="44"/>
      <c r="T107" s="44"/>
      <c r="U107" s="44"/>
    </row>
    <row r="108" spans="2:21">
      <c r="B108" s="55"/>
      <c r="C108" s="44"/>
      <c r="D108" s="60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61"/>
      <c r="R108" s="44"/>
      <c r="S108" s="44"/>
      <c r="T108" s="44"/>
      <c r="U108" s="44"/>
    </row>
    <row r="109" spans="2:21">
      <c r="B109" s="55"/>
      <c r="C109" s="44"/>
      <c r="D109" s="60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61"/>
      <c r="R109" s="44"/>
      <c r="S109" s="44"/>
      <c r="T109" s="44"/>
      <c r="U109" s="44"/>
    </row>
    <row r="110" spans="2:21">
      <c r="B110" s="55"/>
      <c r="C110" s="44"/>
      <c r="D110" s="60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61"/>
      <c r="R110" s="44"/>
      <c r="S110" s="44"/>
      <c r="T110" s="44"/>
      <c r="U110" s="44"/>
    </row>
    <row r="111" spans="2:21">
      <c r="B111" s="55"/>
      <c r="C111" s="44"/>
      <c r="D111" s="60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61"/>
      <c r="R111" s="44"/>
      <c r="S111" s="44"/>
      <c r="T111" s="44"/>
      <c r="U111" s="44"/>
    </row>
    <row r="112" spans="2:21">
      <c r="B112" s="55"/>
      <c r="C112" s="44"/>
      <c r="D112" s="60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61"/>
      <c r="R112" s="44"/>
      <c r="S112" s="44"/>
      <c r="T112" s="44"/>
      <c r="U112" s="44"/>
    </row>
    <row r="113" spans="2:21">
      <c r="B113" s="55"/>
      <c r="C113" s="44"/>
      <c r="D113" s="60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61"/>
      <c r="R113" s="44"/>
      <c r="S113" s="44"/>
      <c r="T113" s="44"/>
      <c r="U113" s="44"/>
    </row>
    <row r="114" spans="2:21">
      <c r="B114" s="55"/>
      <c r="C114" s="44"/>
      <c r="D114" s="60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61"/>
      <c r="R114" s="44"/>
      <c r="S114" s="44"/>
      <c r="T114" s="44"/>
      <c r="U114" s="44"/>
    </row>
    <row r="115" spans="2:21">
      <c r="B115" s="55"/>
      <c r="C115" s="44"/>
      <c r="D115" s="60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61"/>
      <c r="R115" s="44"/>
      <c r="S115" s="44"/>
      <c r="T115" s="44"/>
      <c r="U115" s="44"/>
    </row>
    <row r="116" spans="2:21">
      <c r="B116" s="55"/>
      <c r="C116" s="44"/>
      <c r="D116" s="60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61"/>
      <c r="R116" s="44"/>
      <c r="S116" s="44"/>
      <c r="T116" s="44"/>
      <c r="U116" s="44"/>
    </row>
    <row r="117" spans="2:21">
      <c r="B117" s="55"/>
      <c r="C117" s="44"/>
      <c r="D117" s="60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61"/>
      <c r="R117" s="44"/>
      <c r="S117" s="44"/>
      <c r="T117" s="44"/>
      <c r="U117" s="44"/>
    </row>
    <row r="118" spans="2:21">
      <c r="B118" s="55"/>
      <c r="C118" s="44"/>
      <c r="D118" s="60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61"/>
      <c r="R118" s="44"/>
      <c r="S118" s="44"/>
      <c r="T118" s="44"/>
      <c r="U118" s="44"/>
    </row>
    <row r="119" spans="2:21">
      <c r="B119" s="55"/>
      <c r="C119" s="44"/>
      <c r="D119" s="60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61"/>
      <c r="R119" s="44"/>
      <c r="S119" s="44"/>
      <c r="T119" s="44"/>
      <c r="U119" s="44"/>
    </row>
    <row r="120" spans="2:21">
      <c r="B120" s="55"/>
      <c r="C120" s="44"/>
    </row>
    <row r="121" spans="2:21">
      <c r="B121" s="55"/>
      <c r="C121" s="44"/>
    </row>
    <row r="122" spans="2:21">
      <c r="B122" s="55"/>
      <c r="C122" s="44"/>
    </row>
    <row r="123" spans="2:21">
      <c r="B123" s="55"/>
      <c r="C123" s="44"/>
    </row>
    <row r="124" spans="2:21">
      <c r="B124" s="55"/>
      <c r="C124" s="44"/>
    </row>
    <row r="125" spans="2:21">
      <c r="B125" s="55"/>
      <c r="C125" s="44"/>
    </row>
    <row r="126" spans="2:21">
      <c r="B126" s="55"/>
      <c r="C126" s="44"/>
    </row>
    <row r="127" spans="2:21">
      <c r="B127" s="55"/>
      <c r="C127" s="44"/>
    </row>
  </sheetData>
  <customSheetViews>
    <customSheetView guid="{66AC86E0-1433-11D8-BD9C-000AE6DDA19B}" showRuler="0" topLeftCell="J1">
      <selection activeCell="O10" sqref="O10"/>
      <pageMargins left="0" right="0" top="0" bottom="0" header="0" footer="0"/>
      <pageSetup paperSize="9" orientation="landscape" horizontalDpi="0" verticalDpi="0" r:id="rId1"/>
      <headerFooter alignWithMargins="0"/>
    </customSheetView>
  </customSheetViews>
  <mergeCells count="1">
    <mergeCell ref="D22:D23"/>
  </mergeCells>
  <phoneticPr fontId="0" type="noConversion"/>
  <pageMargins left="0.75" right="0.75" top="1" bottom="1" header="0.5" footer="0.5"/>
  <pageSetup paperSize="9" orientation="landscape" horizontalDpi="0" verticalDpi="0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57"/>
  <sheetViews>
    <sheetView topLeftCell="A32" zoomScale="60" zoomScaleNormal="60" workbookViewId="0">
      <selection activeCell="U3" sqref="U3"/>
    </sheetView>
  </sheetViews>
  <sheetFormatPr defaultColWidth="9.140625" defaultRowHeight="15.6" outlineLevelRow="1"/>
  <cols>
    <col min="1" max="1" width="16.5703125" style="80" customWidth="1"/>
    <col min="2" max="2" width="9.42578125" style="80" customWidth="1"/>
    <col min="3" max="3" width="14.42578125" style="80" customWidth="1"/>
    <col min="4" max="4" width="11.85546875" style="80" customWidth="1"/>
    <col min="5" max="5" width="10.5703125" style="80" customWidth="1"/>
    <col min="6" max="6" width="11.140625" style="80" customWidth="1"/>
    <col min="7" max="7" width="9.42578125" style="80" customWidth="1"/>
    <col min="8" max="8" width="10.85546875" style="80" customWidth="1"/>
    <col min="9" max="9" width="13" style="80" customWidth="1"/>
    <col min="10" max="10" width="11.140625" style="80" customWidth="1"/>
    <col min="11" max="11" width="9.42578125" style="80" customWidth="1"/>
    <col min="12" max="12" width="11.5703125" style="80" customWidth="1"/>
    <col min="13" max="13" width="9.42578125" style="80" customWidth="1"/>
    <col min="14" max="15" width="9" style="80" hidden="1" customWidth="1"/>
    <col min="16" max="16" width="10.42578125" style="80" customWidth="1"/>
    <col min="17" max="17" width="13.5703125" style="81" customWidth="1"/>
    <col min="18" max="18" width="11.5703125" style="80" customWidth="1"/>
    <col min="19" max="19" width="10.5703125" style="81" customWidth="1"/>
    <col min="20" max="20" width="12.42578125" style="82" customWidth="1"/>
    <col min="21" max="21" width="48.140625" style="91" customWidth="1"/>
    <col min="22" max="22" width="11.42578125" style="80" customWidth="1"/>
    <col min="23" max="23" width="42.5703125" style="80" hidden="1" customWidth="1"/>
    <col min="24" max="24" width="5.5703125" style="80" hidden="1" customWidth="1"/>
    <col min="25" max="25" width="19.42578125" style="80" hidden="1" customWidth="1"/>
    <col min="26" max="26" width="12.140625" style="80" hidden="1" customWidth="1"/>
    <col min="27" max="27" width="12.42578125" style="80" hidden="1" customWidth="1"/>
    <col min="28" max="28" width="11.42578125" style="80" hidden="1" customWidth="1"/>
    <col min="29" max="29" width="12.85546875" style="80" hidden="1" customWidth="1"/>
    <col min="30" max="30" width="10.5703125" style="80" hidden="1" customWidth="1"/>
    <col min="31" max="31" width="9.140625" style="80" hidden="1" customWidth="1"/>
    <col min="32" max="32" width="15.140625" style="80" hidden="1" customWidth="1"/>
    <col min="33" max="34" width="9.140625" style="80" hidden="1" customWidth="1"/>
    <col min="35" max="16384" width="9.140625" style="80"/>
  </cols>
  <sheetData>
    <row r="1" spans="1:34" ht="12" customHeight="1">
      <c r="A1" s="293" t="s">
        <v>153</v>
      </c>
      <c r="B1" s="293"/>
      <c r="C1" s="78"/>
      <c r="D1" s="79"/>
      <c r="E1" s="79"/>
      <c r="F1" s="79"/>
      <c r="U1" s="83" t="s">
        <v>154</v>
      </c>
      <c r="Z1" s="84"/>
      <c r="AA1" s="84"/>
      <c r="AB1" s="85" t="s">
        <v>155</v>
      </c>
      <c r="AC1" s="86" t="s">
        <v>156</v>
      </c>
      <c r="AD1" s="87" t="s">
        <v>157</v>
      </c>
      <c r="AE1" s="88"/>
      <c r="AF1" s="88"/>
      <c r="AG1" s="88"/>
      <c r="AH1" s="88"/>
    </row>
    <row r="2" spans="1:34" ht="12" customHeight="1">
      <c r="A2" s="293" t="s">
        <v>158</v>
      </c>
      <c r="B2" s="293"/>
      <c r="C2" s="89"/>
      <c r="D2" s="90"/>
      <c r="E2" s="90"/>
      <c r="F2" s="90"/>
      <c r="X2" s="80">
        <v>1</v>
      </c>
      <c r="Y2" s="92" t="s">
        <v>159</v>
      </c>
      <c r="Z2" s="93">
        <v>42736</v>
      </c>
      <c r="AA2" s="84"/>
      <c r="AB2" s="94">
        <f>P11</f>
        <v>530000</v>
      </c>
      <c r="AC2" s="95">
        <v>4133000</v>
      </c>
      <c r="AE2" s="88"/>
      <c r="AF2" s="96" t="e">
        <f>AB3/AB2</f>
        <v>#REF!</v>
      </c>
      <c r="AG2" s="97">
        <f>AC3/AC2</f>
        <v>0.23440454875393177</v>
      </c>
      <c r="AH2" s="98" t="e">
        <f>AD3/AB8</f>
        <v>#DIV/0!</v>
      </c>
    </row>
    <row r="3" spans="1:34" ht="12" customHeight="1">
      <c r="A3" s="293" t="s">
        <v>160</v>
      </c>
      <c r="B3" s="293"/>
      <c r="C3" s="99">
        <v>30</v>
      </c>
      <c r="D3" s="79"/>
      <c r="E3" s="79"/>
      <c r="F3" s="79"/>
      <c r="U3" s="226" t="s">
        <v>161</v>
      </c>
      <c r="X3" s="80">
        <v>2</v>
      </c>
      <c r="Y3" s="80" t="s">
        <v>162</v>
      </c>
      <c r="Z3" s="93">
        <v>42767</v>
      </c>
      <c r="AA3" s="84"/>
      <c r="AB3" s="100" t="e">
        <f>P25+#REF!+P47+#REF!+#REF!</f>
        <v>#REF!</v>
      </c>
      <c r="AC3" s="101">
        <v>968794</v>
      </c>
      <c r="AD3" s="102"/>
      <c r="AE3" s="88"/>
      <c r="AF3" s="100" t="e">
        <f>AB2/P17</f>
        <v>#DIV/0!</v>
      </c>
      <c r="AG3" s="103"/>
      <c r="AH3" s="102">
        <f>R14</f>
        <v>0</v>
      </c>
    </row>
    <row r="4" spans="1:34" ht="12" hidden="1" customHeight="1">
      <c r="A4" s="294"/>
      <c r="B4" s="295"/>
      <c r="C4" s="104"/>
      <c r="D4" s="105"/>
      <c r="E4" s="105"/>
      <c r="F4" s="105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106"/>
      <c r="U4" s="80"/>
      <c r="X4" s="80">
        <v>3</v>
      </c>
      <c r="Y4" s="91" t="s">
        <v>163</v>
      </c>
      <c r="Z4" s="93">
        <v>42795</v>
      </c>
      <c r="AA4" s="84"/>
      <c r="AB4" s="108"/>
      <c r="AC4" s="109"/>
      <c r="AD4" s="110"/>
      <c r="AE4" s="88"/>
      <c r="AF4" s="108"/>
      <c r="AG4" s="111"/>
      <c r="AH4" s="110"/>
    </row>
    <row r="5" spans="1:34" ht="12" hidden="1" customHeight="1">
      <c r="A5" s="293"/>
      <c r="B5" s="293"/>
      <c r="C5" s="112"/>
      <c r="D5" s="105"/>
      <c r="E5" s="105"/>
      <c r="F5" s="105"/>
      <c r="U5" s="80"/>
      <c r="X5" s="80">
        <v>4</v>
      </c>
      <c r="Y5" s="91" t="s">
        <v>164</v>
      </c>
      <c r="Z5" s="93">
        <v>42826</v>
      </c>
      <c r="AB5" s="113">
        <f>DATE(YEAR(C2),MONTH(C2)+1,0)</f>
        <v>31</v>
      </c>
      <c r="AC5" s="84"/>
      <c r="AD5" s="84"/>
      <c r="AE5" s="84"/>
    </row>
    <row r="6" spans="1:34" ht="5.25" customHeight="1">
      <c r="D6" s="105"/>
      <c r="E6" s="105"/>
      <c r="F6" s="105"/>
      <c r="U6" s="80"/>
      <c r="X6" s="80">
        <v>5</v>
      </c>
      <c r="Y6" s="91" t="s">
        <v>165</v>
      </c>
      <c r="Z6" s="93">
        <v>42856</v>
      </c>
      <c r="AB6" s="113"/>
      <c r="AC6" s="84"/>
      <c r="AD6" s="84"/>
      <c r="AE6" s="84"/>
    </row>
    <row r="7" spans="1:34" ht="5.25" customHeight="1">
      <c r="U7" s="80"/>
      <c r="X7" s="80">
        <v>6</v>
      </c>
      <c r="Y7" s="91" t="s">
        <v>166</v>
      </c>
      <c r="Z7" s="93">
        <v>42887</v>
      </c>
      <c r="AB7" s="114">
        <f>WEEKDAY(C2,2)</f>
        <v>6</v>
      </c>
    </row>
    <row r="8" spans="1:34" ht="12" customHeight="1">
      <c r="A8" s="307" t="s">
        <v>167</v>
      </c>
      <c r="B8" s="308"/>
      <c r="C8" s="309"/>
      <c r="D8" s="306">
        <f>1+INT((C2-(DATE(YEAR(C2),1,2)-WEEKDAY(DATE(YEAR(C2),1,0))))/7)</f>
        <v>1</v>
      </c>
      <c r="E8" s="306"/>
      <c r="F8" s="306">
        <f>D8+1</f>
        <v>2</v>
      </c>
      <c r="G8" s="306"/>
      <c r="H8" s="306">
        <f>F8+1</f>
        <v>3</v>
      </c>
      <c r="I8" s="306"/>
      <c r="J8" s="306">
        <f>H8+1</f>
        <v>4</v>
      </c>
      <c r="K8" s="306"/>
      <c r="L8" s="306">
        <f>J8+1</f>
        <v>5</v>
      </c>
      <c r="M8" s="306"/>
      <c r="N8" s="306">
        <f>L8+1</f>
        <v>6</v>
      </c>
      <c r="O8" s="306"/>
      <c r="P8" s="313" t="s">
        <v>155</v>
      </c>
      <c r="Q8" s="314"/>
      <c r="R8" s="313" t="s">
        <v>157</v>
      </c>
      <c r="S8" s="314"/>
      <c r="T8" s="296" t="s">
        <v>168</v>
      </c>
      <c r="U8" s="299" t="s">
        <v>169</v>
      </c>
      <c r="X8" s="80">
        <v>7</v>
      </c>
      <c r="Y8" s="91" t="s">
        <v>170</v>
      </c>
      <c r="Z8" s="93">
        <v>42917</v>
      </c>
      <c r="AB8" s="115">
        <f>R11</f>
        <v>0</v>
      </c>
    </row>
    <row r="9" spans="1:34" ht="12" customHeight="1">
      <c r="A9" s="301" t="s">
        <v>171</v>
      </c>
      <c r="B9" s="302"/>
      <c r="C9" s="302"/>
      <c r="D9" s="303">
        <v>7</v>
      </c>
      <c r="E9" s="304"/>
      <c r="F9" s="303">
        <v>7</v>
      </c>
      <c r="G9" s="305"/>
      <c r="H9" s="303">
        <v>7</v>
      </c>
      <c r="I9" s="305"/>
      <c r="J9" s="303">
        <v>7</v>
      </c>
      <c r="K9" s="305"/>
      <c r="L9" s="303">
        <v>3</v>
      </c>
      <c r="M9" s="305"/>
      <c r="N9" s="303"/>
      <c r="O9" s="305"/>
      <c r="P9" s="315"/>
      <c r="Q9" s="316"/>
      <c r="R9" s="315"/>
      <c r="S9" s="316"/>
      <c r="T9" s="297"/>
      <c r="U9" s="300"/>
      <c r="X9" s="80">
        <v>8</v>
      </c>
      <c r="Y9" s="91" t="s">
        <v>172</v>
      </c>
      <c r="Z9" s="93">
        <v>42948</v>
      </c>
    </row>
    <row r="10" spans="1:34" s="106" customFormat="1" ht="16.5" customHeight="1">
      <c r="A10" s="310" t="s">
        <v>173</v>
      </c>
      <c r="B10" s="311"/>
      <c r="C10" s="312"/>
      <c r="D10" s="116" t="s">
        <v>155</v>
      </c>
      <c r="E10" s="117" t="s">
        <v>157</v>
      </c>
      <c r="F10" s="116" t="s">
        <v>155</v>
      </c>
      <c r="G10" s="117" t="s">
        <v>157</v>
      </c>
      <c r="H10" s="116" t="s">
        <v>155</v>
      </c>
      <c r="I10" s="117" t="s">
        <v>157</v>
      </c>
      <c r="J10" s="116" t="s">
        <v>155</v>
      </c>
      <c r="K10" s="117" t="s">
        <v>157</v>
      </c>
      <c r="L10" s="116" t="s">
        <v>155</v>
      </c>
      <c r="M10" s="117" t="s">
        <v>157</v>
      </c>
      <c r="N10" s="116" t="s">
        <v>155</v>
      </c>
      <c r="O10" s="117" t="s">
        <v>157</v>
      </c>
      <c r="P10" s="116" t="s">
        <v>174</v>
      </c>
      <c r="Q10" s="118" t="s">
        <v>175</v>
      </c>
      <c r="R10" s="116" t="s">
        <v>174</v>
      </c>
      <c r="S10" s="118" t="s">
        <v>175</v>
      </c>
      <c r="T10" s="298"/>
      <c r="U10" s="300"/>
      <c r="X10" s="80">
        <v>9</v>
      </c>
      <c r="Y10" s="91" t="s">
        <v>176</v>
      </c>
      <c r="Z10" s="93">
        <v>42979</v>
      </c>
    </row>
    <row r="11" spans="1:34" s="106" customFormat="1" ht="16.5" customHeight="1">
      <c r="A11" s="317" t="s">
        <v>177</v>
      </c>
      <c r="B11" s="318"/>
      <c r="C11" s="318"/>
      <c r="D11" s="199"/>
      <c r="E11" s="199"/>
      <c r="F11" s="199"/>
      <c r="G11" s="200"/>
      <c r="H11" s="199"/>
      <c r="I11" s="200"/>
      <c r="J11" s="199"/>
      <c r="K11" s="200"/>
      <c r="L11" s="199"/>
      <c r="M11" s="200"/>
      <c r="N11" s="199">
        <v>530000</v>
      </c>
      <c r="O11" s="200"/>
      <c r="P11" s="319">
        <f>SUM(F11+H11+J11+L11+N11+D11)</f>
        <v>530000</v>
      </c>
      <c r="Q11" s="319"/>
      <c r="R11" s="319">
        <f>E11+G11+I11+K11+M11+O11</f>
        <v>0</v>
      </c>
      <c r="S11" s="319"/>
      <c r="T11" s="119">
        <f>R11-P11</f>
        <v>-530000</v>
      </c>
      <c r="U11" s="120"/>
      <c r="X11" s="80">
        <v>10</v>
      </c>
      <c r="Y11" s="91" t="s">
        <v>178</v>
      </c>
      <c r="Z11" s="93">
        <v>43009</v>
      </c>
    </row>
    <row r="12" spans="1:34" s="106" customFormat="1" ht="16.5" hidden="1" customHeight="1">
      <c r="A12" s="231"/>
      <c r="B12" s="232"/>
      <c r="C12" s="232"/>
      <c r="D12" s="121"/>
      <c r="E12" s="121"/>
      <c r="F12" s="121"/>
      <c r="G12" s="233"/>
      <c r="H12" s="121"/>
      <c r="I12" s="233"/>
      <c r="J12" s="121"/>
      <c r="K12" s="233"/>
      <c r="L12" s="121"/>
      <c r="M12" s="233"/>
      <c r="N12" s="121"/>
      <c r="O12" s="233"/>
      <c r="P12" s="236"/>
      <c r="Q12" s="122"/>
      <c r="R12" s="320"/>
      <c r="S12" s="321"/>
      <c r="T12" s="123"/>
      <c r="U12" s="124"/>
      <c r="X12" s="80"/>
      <c r="Y12" s="91"/>
      <c r="Z12" s="93"/>
    </row>
    <row r="13" spans="1:34" s="106" customFormat="1" ht="16.5" hidden="1" customHeight="1">
      <c r="A13" s="231"/>
      <c r="B13" s="232"/>
      <c r="C13" s="232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233"/>
      <c r="P13" s="236"/>
      <c r="Q13" s="122"/>
      <c r="R13" s="320"/>
      <c r="S13" s="321"/>
      <c r="T13" s="123"/>
      <c r="U13" s="124"/>
      <c r="X13" s="80"/>
      <c r="Y13" s="91"/>
      <c r="Z13" s="93"/>
    </row>
    <row r="14" spans="1:34" ht="15.75" hidden="1" customHeight="1">
      <c r="A14" s="322"/>
      <c r="B14" s="323"/>
      <c r="C14" s="323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324"/>
      <c r="Q14" s="324"/>
      <c r="R14" s="324"/>
      <c r="S14" s="324"/>
      <c r="T14" s="123"/>
      <c r="U14" s="124"/>
      <c r="W14" s="125">
        <f>SUM(P15:Q16)</f>
        <v>0</v>
      </c>
      <c r="X14" s="80">
        <v>11</v>
      </c>
      <c r="Y14" s="91" t="s">
        <v>179</v>
      </c>
      <c r="Z14" s="93">
        <v>43040</v>
      </c>
    </row>
    <row r="15" spans="1:34" ht="14.25" hidden="1" customHeight="1">
      <c r="A15" s="322"/>
      <c r="B15" s="323"/>
      <c r="C15" s="323"/>
      <c r="D15" s="234"/>
      <c r="E15" s="235"/>
      <c r="F15" s="234"/>
      <c r="G15" s="235"/>
      <c r="H15" s="234"/>
      <c r="I15" s="235"/>
      <c r="J15" s="234"/>
      <c r="K15" s="235"/>
      <c r="L15" s="234"/>
      <c r="M15" s="235"/>
      <c r="N15" s="234"/>
      <c r="O15" s="235"/>
      <c r="P15" s="325"/>
      <c r="Q15" s="325"/>
      <c r="R15" s="324"/>
      <c r="S15" s="324"/>
      <c r="T15" s="123"/>
      <c r="U15" s="124"/>
      <c r="X15" s="80">
        <v>12</v>
      </c>
      <c r="Y15" s="80" t="s">
        <v>180</v>
      </c>
      <c r="Z15" s="93">
        <v>43070</v>
      </c>
    </row>
    <row r="16" spans="1:34" ht="18" hidden="1" customHeight="1">
      <c r="A16" s="322"/>
      <c r="B16" s="323"/>
      <c r="C16" s="323"/>
      <c r="D16" s="234"/>
      <c r="E16" s="233"/>
      <c r="F16" s="234"/>
      <c r="G16" s="235"/>
      <c r="H16" s="234"/>
      <c r="I16" s="235"/>
      <c r="J16" s="234"/>
      <c r="K16" s="235"/>
      <c r="L16" s="234"/>
      <c r="M16" s="235"/>
      <c r="N16" s="234"/>
      <c r="O16" s="233"/>
      <c r="P16" s="325"/>
      <c r="Q16" s="325"/>
      <c r="R16" s="324"/>
      <c r="S16" s="324"/>
      <c r="T16" s="123"/>
      <c r="U16" s="124"/>
      <c r="X16" s="80">
        <v>13</v>
      </c>
      <c r="Y16" s="91" t="s">
        <v>181</v>
      </c>
    </row>
    <row r="17" spans="1:26" ht="15.75" hidden="1" customHeight="1">
      <c r="A17" s="322"/>
      <c r="B17" s="323"/>
      <c r="C17" s="323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326"/>
      <c r="Q17" s="326"/>
      <c r="R17" s="324"/>
      <c r="S17" s="324"/>
      <c r="T17" s="123"/>
      <c r="U17" s="124"/>
      <c r="X17" s="80">
        <v>14</v>
      </c>
      <c r="Y17" s="91" t="s">
        <v>182</v>
      </c>
    </row>
    <row r="18" spans="1:26" s="126" customFormat="1" ht="8.25" hidden="1" customHeight="1">
      <c r="A18" s="329"/>
      <c r="B18" s="330"/>
      <c r="C18" s="330"/>
      <c r="D18" s="330"/>
      <c r="E18" s="330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0"/>
      <c r="Q18" s="330"/>
      <c r="R18" s="330"/>
      <c r="S18" s="330"/>
      <c r="T18" s="330"/>
      <c r="U18" s="331"/>
      <c r="X18" s="80">
        <v>15</v>
      </c>
      <c r="Y18" s="80" t="s">
        <v>183</v>
      </c>
      <c r="Z18" s="80"/>
    </row>
    <row r="19" spans="1:26" ht="15.75" customHeight="1" outlineLevel="1">
      <c r="A19" s="327" t="s">
        <v>184</v>
      </c>
      <c r="B19" s="328"/>
      <c r="C19" s="328"/>
      <c r="D19" s="179">
        <f t="shared" ref="D19:D24" si="0">($P19/$C$3)*$D$9</f>
        <v>0</v>
      </c>
      <c r="E19" s="127"/>
      <c r="F19" s="181">
        <f t="shared" ref="F19:F24" si="1">($P19/$C$3)*F$9</f>
        <v>0</v>
      </c>
      <c r="G19" s="235"/>
      <c r="H19" s="179">
        <f t="shared" ref="H19:H24" si="2">($P19/$C$3)*H$9</f>
        <v>0</v>
      </c>
      <c r="I19" s="127"/>
      <c r="J19" s="181">
        <f t="shared" ref="J19:J24" si="3">($P19/$C$3)*J$9</f>
        <v>0</v>
      </c>
      <c r="K19" s="235"/>
      <c r="L19" s="179">
        <f t="shared" ref="L19:L24" si="4">($P19/$C$3)*L$9</f>
        <v>0</v>
      </c>
      <c r="M19" s="127"/>
      <c r="N19" s="181">
        <f t="shared" ref="N19:N24" si="5">($P19/$C$3)*N$9</f>
        <v>0</v>
      </c>
      <c r="O19" s="235"/>
      <c r="P19" s="182"/>
      <c r="Q19" s="186">
        <f t="shared" ref="Q19:Q54" si="6">P19/$AB$2</f>
        <v>0</v>
      </c>
      <c r="R19" s="128">
        <f>SUM(E19+G19+I19+K19+M19+O19)</f>
        <v>0</v>
      </c>
      <c r="S19" s="188" t="e">
        <f>R19/R11</f>
        <v>#DIV/0!</v>
      </c>
      <c r="T19" s="189">
        <f>P19-R19</f>
        <v>0</v>
      </c>
      <c r="U19" s="124"/>
      <c r="X19" s="80">
        <v>16</v>
      </c>
      <c r="Y19" s="80" t="s">
        <v>185</v>
      </c>
    </row>
    <row r="20" spans="1:26" ht="15.75" customHeight="1" outlineLevel="1">
      <c r="A20" s="327" t="s">
        <v>186</v>
      </c>
      <c r="B20" s="328"/>
      <c r="C20" s="328"/>
      <c r="D20" s="180">
        <f t="shared" si="0"/>
        <v>0</v>
      </c>
      <c r="E20" s="129"/>
      <c r="F20" s="181">
        <f t="shared" si="1"/>
        <v>0</v>
      </c>
      <c r="G20" s="235"/>
      <c r="H20" s="180">
        <f t="shared" si="2"/>
        <v>0</v>
      </c>
      <c r="I20" s="129"/>
      <c r="J20" s="181">
        <f t="shared" si="3"/>
        <v>0</v>
      </c>
      <c r="K20" s="235"/>
      <c r="L20" s="180">
        <f t="shared" si="4"/>
        <v>0</v>
      </c>
      <c r="M20" s="129"/>
      <c r="N20" s="181">
        <f t="shared" si="5"/>
        <v>0</v>
      </c>
      <c r="O20" s="235"/>
      <c r="P20" s="183"/>
      <c r="Q20" s="187">
        <f t="shared" si="6"/>
        <v>0</v>
      </c>
      <c r="R20" s="128">
        <f>SUM(E20+G20+I20+K20+M20+O20)</f>
        <v>0</v>
      </c>
      <c r="S20" s="188" t="e">
        <f>R20/R11</f>
        <v>#DIV/0!</v>
      </c>
      <c r="T20" s="190">
        <f t="shared" ref="T20:T46" si="7">P20-R20</f>
        <v>0</v>
      </c>
      <c r="U20" s="124"/>
      <c r="X20" s="80">
        <v>17</v>
      </c>
      <c r="Y20" s="80" t="s">
        <v>187</v>
      </c>
    </row>
    <row r="21" spans="1:26" ht="15.75" customHeight="1" outlineLevel="1">
      <c r="A21" s="229" t="s">
        <v>188</v>
      </c>
      <c r="B21" s="230"/>
      <c r="C21" s="230"/>
      <c r="D21" s="180">
        <f t="shared" si="0"/>
        <v>0</v>
      </c>
      <c r="E21" s="129"/>
      <c r="F21" s="181">
        <f t="shared" si="1"/>
        <v>0</v>
      </c>
      <c r="G21" s="235"/>
      <c r="H21" s="180">
        <f t="shared" si="2"/>
        <v>0</v>
      </c>
      <c r="I21" s="129"/>
      <c r="J21" s="181">
        <f t="shared" si="3"/>
        <v>0</v>
      </c>
      <c r="K21" s="235"/>
      <c r="L21" s="180">
        <f t="shared" si="4"/>
        <v>0</v>
      </c>
      <c r="M21" s="129"/>
      <c r="N21" s="181">
        <f t="shared" si="5"/>
        <v>0</v>
      </c>
      <c r="O21" s="235"/>
      <c r="P21" s="183"/>
      <c r="Q21" s="187">
        <f t="shared" si="6"/>
        <v>0</v>
      </c>
      <c r="R21" s="128">
        <f>SUM(E21+G21+I21+K21+M21+O21)</f>
        <v>0</v>
      </c>
      <c r="S21" s="188" t="e">
        <f>R21/R11</f>
        <v>#DIV/0!</v>
      </c>
      <c r="T21" s="190">
        <f t="shared" si="7"/>
        <v>0</v>
      </c>
      <c r="U21" s="124"/>
      <c r="X21" s="80">
        <v>19</v>
      </c>
      <c r="Y21" s="91" t="s">
        <v>189</v>
      </c>
    </row>
    <row r="22" spans="1:26" ht="15.75" customHeight="1" outlineLevel="1">
      <c r="A22" s="229" t="s">
        <v>190</v>
      </c>
      <c r="B22" s="230"/>
      <c r="C22" s="230"/>
      <c r="D22" s="180">
        <f t="shared" si="0"/>
        <v>0</v>
      </c>
      <c r="E22" s="129"/>
      <c r="F22" s="181">
        <f t="shared" si="1"/>
        <v>0</v>
      </c>
      <c r="G22" s="235"/>
      <c r="H22" s="180">
        <f t="shared" si="2"/>
        <v>0</v>
      </c>
      <c r="I22" s="129"/>
      <c r="J22" s="181">
        <f t="shared" si="3"/>
        <v>0</v>
      </c>
      <c r="K22" s="235"/>
      <c r="L22" s="180">
        <f t="shared" si="4"/>
        <v>0</v>
      </c>
      <c r="M22" s="129"/>
      <c r="N22" s="181">
        <f t="shared" si="5"/>
        <v>0</v>
      </c>
      <c r="O22" s="235"/>
      <c r="P22" s="183"/>
      <c r="Q22" s="187">
        <f t="shared" si="6"/>
        <v>0</v>
      </c>
      <c r="R22" s="128">
        <f>SUM(E22+G22+I22+K22+M22+O22)</f>
        <v>0</v>
      </c>
      <c r="S22" s="188" t="e">
        <f>R22/R11</f>
        <v>#DIV/0!</v>
      </c>
      <c r="T22" s="190">
        <f t="shared" si="7"/>
        <v>0</v>
      </c>
      <c r="U22" s="124"/>
      <c r="X22" s="80">
        <v>18</v>
      </c>
      <c r="Y22" s="80" t="s">
        <v>191</v>
      </c>
    </row>
    <row r="23" spans="1:26" ht="17.25" customHeight="1" outlineLevel="1">
      <c r="A23" s="229" t="s">
        <v>192</v>
      </c>
      <c r="B23" s="230"/>
      <c r="C23" s="230"/>
      <c r="D23" s="180">
        <f t="shared" si="0"/>
        <v>0</v>
      </c>
      <c r="E23" s="129"/>
      <c r="F23" s="181">
        <f t="shared" si="1"/>
        <v>0</v>
      </c>
      <c r="G23" s="235"/>
      <c r="H23" s="180">
        <f t="shared" si="2"/>
        <v>0</v>
      </c>
      <c r="I23" s="129"/>
      <c r="J23" s="181">
        <f t="shared" si="3"/>
        <v>0</v>
      </c>
      <c r="K23" s="235"/>
      <c r="L23" s="180">
        <f t="shared" si="4"/>
        <v>0</v>
      </c>
      <c r="M23" s="129"/>
      <c r="N23" s="181">
        <f t="shared" si="5"/>
        <v>0</v>
      </c>
      <c r="O23" s="235"/>
      <c r="P23" s="183"/>
      <c r="Q23" s="187">
        <f>P23/$AB$2</f>
        <v>0</v>
      </c>
      <c r="R23" s="128">
        <f>E23+G23+I23+K23+M23+O23</f>
        <v>0</v>
      </c>
      <c r="S23" s="188" t="e">
        <f>R23/R11</f>
        <v>#DIV/0!</v>
      </c>
      <c r="T23" s="190">
        <f t="shared" si="7"/>
        <v>0</v>
      </c>
      <c r="U23" s="124"/>
      <c r="X23" s="80">
        <v>21</v>
      </c>
      <c r="Y23" s="80" t="s">
        <v>193</v>
      </c>
    </row>
    <row r="24" spans="1:26" ht="16.5" outlineLevel="1">
      <c r="A24" s="327" t="s">
        <v>194</v>
      </c>
      <c r="B24" s="328"/>
      <c r="C24" s="328"/>
      <c r="D24" s="180">
        <f t="shared" si="0"/>
        <v>0</v>
      </c>
      <c r="E24" s="129"/>
      <c r="F24" s="181">
        <f t="shared" si="1"/>
        <v>0</v>
      </c>
      <c r="G24" s="235"/>
      <c r="H24" s="180">
        <f t="shared" si="2"/>
        <v>0</v>
      </c>
      <c r="I24" s="129"/>
      <c r="J24" s="181">
        <f t="shared" si="3"/>
        <v>0</v>
      </c>
      <c r="K24" s="235"/>
      <c r="L24" s="180">
        <f t="shared" si="4"/>
        <v>0</v>
      </c>
      <c r="M24" s="129"/>
      <c r="N24" s="181">
        <f t="shared" si="5"/>
        <v>0</v>
      </c>
      <c r="O24" s="235"/>
      <c r="P24" s="183"/>
      <c r="Q24" s="187">
        <f>P24/$AB$2</f>
        <v>0</v>
      </c>
      <c r="R24" s="128">
        <f>E24+G24+I24+K24+M24+O24</f>
        <v>0</v>
      </c>
      <c r="S24" s="188" t="e">
        <f>R24/R11</f>
        <v>#DIV/0!</v>
      </c>
      <c r="T24" s="190">
        <f t="shared" si="7"/>
        <v>0</v>
      </c>
      <c r="U24" s="124"/>
      <c r="X24" s="80">
        <v>22</v>
      </c>
    </row>
    <row r="25" spans="1:26" ht="15.75" customHeight="1">
      <c r="A25" s="332" t="s">
        <v>30</v>
      </c>
      <c r="B25" s="333"/>
      <c r="C25" s="333"/>
      <c r="D25" s="130">
        <f t="shared" ref="D25:P25" si="8">SUM(D19:D24)</f>
        <v>0</v>
      </c>
      <c r="E25" s="131">
        <f t="shared" si="8"/>
        <v>0</v>
      </c>
      <c r="F25" s="132">
        <f t="shared" si="8"/>
        <v>0</v>
      </c>
      <c r="G25" s="132">
        <f t="shared" si="8"/>
        <v>0</v>
      </c>
      <c r="H25" s="130">
        <f t="shared" si="8"/>
        <v>0</v>
      </c>
      <c r="I25" s="131">
        <f t="shared" si="8"/>
        <v>0</v>
      </c>
      <c r="J25" s="132">
        <f t="shared" si="8"/>
        <v>0</v>
      </c>
      <c r="K25" s="132">
        <f t="shared" si="8"/>
        <v>0</v>
      </c>
      <c r="L25" s="130">
        <f t="shared" si="8"/>
        <v>0</v>
      </c>
      <c r="M25" s="131">
        <f t="shared" si="8"/>
        <v>0</v>
      </c>
      <c r="N25" s="132">
        <f t="shared" si="8"/>
        <v>0</v>
      </c>
      <c r="O25" s="132">
        <f t="shared" si="8"/>
        <v>0</v>
      </c>
      <c r="P25" s="133">
        <f t="shared" si="8"/>
        <v>0</v>
      </c>
      <c r="Q25" s="134">
        <f t="shared" si="6"/>
        <v>0</v>
      </c>
      <c r="R25" s="135">
        <f>SUM(R19:R24)</f>
        <v>0</v>
      </c>
      <c r="S25" s="178" t="e">
        <f>SUM(S19:S24)</f>
        <v>#DIV/0!</v>
      </c>
      <c r="T25" s="136">
        <f t="shared" si="7"/>
        <v>0</v>
      </c>
      <c r="U25" s="137"/>
      <c r="X25" s="80">
        <v>25</v>
      </c>
    </row>
    <row r="26" spans="1:26" ht="15" customHeight="1" outlineLevel="1">
      <c r="A26" s="327" t="s">
        <v>39</v>
      </c>
      <c r="B26" s="328"/>
      <c r="C26" s="328"/>
      <c r="D26" s="184">
        <f>P26/C3*D9</f>
        <v>0</v>
      </c>
      <c r="E26" s="138"/>
      <c r="F26" s="185">
        <f>P26/C3*F9</f>
        <v>0</v>
      </c>
      <c r="G26" s="139"/>
      <c r="H26" s="184">
        <f>P26/C3*H9</f>
        <v>0</v>
      </c>
      <c r="I26" s="138"/>
      <c r="J26" s="185">
        <f>P26/C3*J9</f>
        <v>0</v>
      </c>
      <c r="K26" s="139"/>
      <c r="L26" s="184">
        <f>P26/C3*L9</f>
        <v>0</v>
      </c>
      <c r="M26" s="138"/>
      <c r="N26" s="185">
        <f>P26/C3*N9</f>
        <v>0</v>
      </c>
      <c r="O26" s="139"/>
      <c r="P26" s="183"/>
      <c r="Q26" s="192">
        <f t="shared" si="6"/>
        <v>0</v>
      </c>
      <c r="R26" s="140">
        <f t="shared" ref="R26:R31" si="9">E26+G26+I26+K26+M26+O26</f>
        <v>0</v>
      </c>
      <c r="S26" s="191" t="e">
        <f>R26/R11</f>
        <v>#DIV/0!</v>
      </c>
      <c r="T26" s="190">
        <f t="shared" si="7"/>
        <v>0</v>
      </c>
      <c r="U26" s="141"/>
      <c r="X26" s="80">
        <v>26</v>
      </c>
    </row>
    <row r="27" spans="1:26" ht="15" customHeight="1" outlineLevel="1">
      <c r="A27" s="229" t="s">
        <v>40</v>
      </c>
      <c r="B27" s="230"/>
      <c r="C27" s="230"/>
      <c r="D27" s="184">
        <f>P27/C3*D9</f>
        <v>0</v>
      </c>
      <c r="E27" s="138"/>
      <c r="F27" s="185">
        <f>P27/C3*F9</f>
        <v>0</v>
      </c>
      <c r="G27" s="139"/>
      <c r="H27" s="184">
        <f>P27/C3*H9</f>
        <v>0</v>
      </c>
      <c r="I27" s="138"/>
      <c r="J27" s="185">
        <f>P27/C3*J9</f>
        <v>0</v>
      </c>
      <c r="K27" s="139"/>
      <c r="L27" s="184">
        <f>P27/C3*L9</f>
        <v>0</v>
      </c>
      <c r="M27" s="138"/>
      <c r="N27" s="185">
        <f>P27/C3*N9</f>
        <v>0</v>
      </c>
      <c r="O27" s="139"/>
      <c r="P27" s="183"/>
      <c r="Q27" s="192">
        <f t="shared" si="6"/>
        <v>0</v>
      </c>
      <c r="R27" s="140">
        <f t="shared" si="9"/>
        <v>0</v>
      </c>
      <c r="S27" s="191" t="e">
        <f>R27/R11</f>
        <v>#DIV/0!</v>
      </c>
      <c r="T27" s="190">
        <f t="shared" si="7"/>
        <v>0</v>
      </c>
      <c r="U27" s="141"/>
    </row>
    <row r="28" spans="1:26" ht="15" customHeight="1" outlineLevel="1">
      <c r="A28" s="229" t="s">
        <v>41</v>
      </c>
      <c r="B28" s="230"/>
      <c r="C28" s="230"/>
      <c r="D28" s="184">
        <f>P28/C3*D9</f>
        <v>0</v>
      </c>
      <c r="E28" s="138"/>
      <c r="F28" s="185">
        <f>P28/C3*F9</f>
        <v>0</v>
      </c>
      <c r="G28" s="139"/>
      <c r="H28" s="184">
        <f>P28/C3*H9</f>
        <v>0</v>
      </c>
      <c r="I28" s="138"/>
      <c r="J28" s="185">
        <f>P28/C3*J9</f>
        <v>0</v>
      </c>
      <c r="K28" s="139"/>
      <c r="L28" s="184">
        <f>P28/C3*L9</f>
        <v>0</v>
      </c>
      <c r="M28" s="138"/>
      <c r="N28" s="185">
        <f>P28/C3*N9</f>
        <v>0</v>
      </c>
      <c r="O28" s="139"/>
      <c r="P28" s="183"/>
      <c r="Q28" s="192">
        <f t="shared" si="6"/>
        <v>0</v>
      </c>
      <c r="R28" s="140">
        <f t="shared" si="9"/>
        <v>0</v>
      </c>
      <c r="S28" s="191" t="e">
        <f>R28/R11</f>
        <v>#DIV/0!</v>
      </c>
      <c r="T28" s="190">
        <f t="shared" si="7"/>
        <v>0</v>
      </c>
      <c r="U28" s="141"/>
    </row>
    <row r="29" spans="1:26" ht="15" customHeight="1" outlineLevel="1">
      <c r="A29" s="229" t="s">
        <v>42</v>
      </c>
      <c r="B29" s="230"/>
      <c r="C29" s="230"/>
      <c r="D29" s="184">
        <f>P29/C3*D9</f>
        <v>0</v>
      </c>
      <c r="E29" s="138"/>
      <c r="F29" s="185">
        <f>P29/C3*F9</f>
        <v>0</v>
      </c>
      <c r="G29" s="139"/>
      <c r="H29" s="184">
        <f>P29/C3*H9</f>
        <v>0</v>
      </c>
      <c r="I29" s="138"/>
      <c r="J29" s="185">
        <f>P29/C3*J9</f>
        <v>0</v>
      </c>
      <c r="K29" s="139"/>
      <c r="L29" s="184">
        <f>P29/C3*L9</f>
        <v>0</v>
      </c>
      <c r="M29" s="138"/>
      <c r="N29" s="185">
        <f>P29/C3*N9</f>
        <v>0</v>
      </c>
      <c r="O29" s="139"/>
      <c r="P29" s="183"/>
      <c r="Q29" s="192">
        <f t="shared" si="6"/>
        <v>0</v>
      </c>
      <c r="R29" s="140">
        <f t="shared" si="9"/>
        <v>0</v>
      </c>
      <c r="S29" s="191" t="e">
        <f>R29/R11</f>
        <v>#DIV/0!</v>
      </c>
      <c r="T29" s="190">
        <f t="shared" si="7"/>
        <v>0</v>
      </c>
      <c r="U29" s="141"/>
    </row>
    <row r="30" spans="1:26" ht="15" customHeight="1" outlineLevel="1">
      <c r="A30" s="229" t="s">
        <v>43</v>
      </c>
      <c r="B30" s="230"/>
      <c r="C30" s="230"/>
      <c r="D30" s="184">
        <f>P30/C3*D9</f>
        <v>0</v>
      </c>
      <c r="E30" s="138"/>
      <c r="F30" s="185">
        <f>P30/C3*F9</f>
        <v>0</v>
      </c>
      <c r="G30" s="139"/>
      <c r="H30" s="184">
        <f>P30/C3*H9</f>
        <v>0</v>
      </c>
      <c r="I30" s="138"/>
      <c r="J30" s="185">
        <f>P30/C3*J9</f>
        <v>0</v>
      </c>
      <c r="K30" s="139"/>
      <c r="L30" s="184">
        <f>P30/C3*L9</f>
        <v>0</v>
      </c>
      <c r="M30" s="138"/>
      <c r="N30" s="185">
        <f>P30/C3*N9</f>
        <v>0</v>
      </c>
      <c r="O30" s="139"/>
      <c r="P30" s="183"/>
      <c r="Q30" s="192">
        <f t="shared" si="6"/>
        <v>0</v>
      </c>
      <c r="R30" s="140">
        <f t="shared" si="9"/>
        <v>0</v>
      </c>
      <c r="S30" s="191" t="e">
        <f>R30/R11</f>
        <v>#DIV/0!</v>
      </c>
      <c r="T30" s="190">
        <f t="shared" si="7"/>
        <v>0</v>
      </c>
      <c r="U30" s="141"/>
    </row>
    <row r="31" spans="1:26" ht="19.350000000000001" customHeight="1" outlineLevel="1">
      <c r="A31" s="327" t="s">
        <v>44</v>
      </c>
      <c r="B31" s="328"/>
      <c r="C31" s="328"/>
      <c r="D31" s="184">
        <f>P31/C3*D9</f>
        <v>0</v>
      </c>
      <c r="E31" s="129"/>
      <c r="F31" s="185">
        <f>P31/C3*F9</f>
        <v>0</v>
      </c>
      <c r="G31" s="235"/>
      <c r="H31" s="184">
        <f>P31/C3*H9</f>
        <v>0</v>
      </c>
      <c r="I31" s="129"/>
      <c r="J31" s="185">
        <f>P31/C3*J9</f>
        <v>0</v>
      </c>
      <c r="K31" s="235"/>
      <c r="L31" s="184">
        <f>P31/C3*L9</f>
        <v>0</v>
      </c>
      <c r="M31" s="129"/>
      <c r="N31" s="185">
        <f>P31/C3*N9</f>
        <v>0</v>
      </c>
      <c r="O31" s="235"/>
      <c r="P31" s="183"/>
      <c r="Q31" s="192">
        <f t="shared" si="6"/>
        <v>0</v>
      </c>
      <c r="R31" s="140">
        <f t="shared" si="9"/>
        <v>0</v>
      </c>
      <c r="S31" s="188" t="e">
        <f>R31/R11</f>
        <v>#DIV/0!</v>
      </c>
      <c r="T31" s="190">
        <f t="shared" si="7"/>
        <v>0</v>
      </c>
      <c r="U31" s="142"/>
      <c r="X31" s="80">
        <v>27</v>
      </c>
    </row>
    <row r="32" spans="1:26" ht="15.75" customHeight="1">
      <c r="A32" s="332" t="s">
        <v>38</v>
      </c>
      <c r="B32" s="333"/>
      <c r="C32" s="333"/>
      <c r="D32" s="130">
        <f t="shared" ref="D32:P32" si="10">SUM(D26:D31)</f>
        <v>0</v>
      </c>
      <c r="E32" s="131">
        <f t="shared" si="10"/>
        <v>0</v>
      </c>
      <c r="F32" s="132">
        <f t="shared" si="10"/>
        <v>0</v>
      </c>
      <c r="G32" s="132">
        <f t="shared" si="10"/>
        <v>0</v>
      </c>
      <c r="H32" s="130">
        <f t="shared" si="10"/>
        <v>0</v>
      </c>
      <c r="I32" s="131">
        <f t="shared" si="10"/>
        <v>0</v>
      </c>
      <c r="J32" s="132">
        <f t="shared" si="10"/>
        <v>0</v>
      </c>
      <c r="K32" s="132">
        <f t="shared" si="10"/>
        <v>0</v>
      </c>
      <c r="L32" s="130">
        <f t="shared" si="10"/>
        <v>0</v>
      </c>
      <c r="M32" s="131">
        <f t="shared" si="10"/>
        <v>0</v>
      </c>
      <c r="N32" s="132">
        <f t="shared" si="10"/>
        <v>0</v>
      </c>
      <c r="O32" s="132">
        <f t="shared" si="10"/>
        <v>0</v>
      </c>
      <c r="P32" s="143">
        <f t="shared" si="10"/>
        <v>0</v>
      </c>
      <c r="Q32" s="134">
        <f t="shared" si="6"/>
        <v>0</v>
      </c>
      <c r="R32" s="144">
        <f>SUM(R26:R31)</f>
        <v>0</v>
      </c>
      <c r="S32" s="178" t="e">
        <f>SUM(S26:S31)</f>
        <v>#DIV/0!</v>
      </c>
      <c r="T32" s="136">
        <f t="shared" si="7"/>
        <v>0</v>
      </c>
      <c r="U32" s="137"/>
      <c r="X32" s="80">
        <v>29</v>
      </c>
    </row>
    <row r="33" spans="1:24" ht="18.75" customHeight="1" outlineLevel="1">
      <c r="A33" s="327" t="s">
        <v>195</v>
      </c>
      <c r="B33" s="328"/>
      <c r="C33" s="328"/>
      <c r="D33" s="180">
        <f t="shared" ref="D33:D43" si="11">($P33/$C$3)*$D$9</f>
        <v>0</v>
      </c>
      <c r="E33" s="129"/>
      <c r="F33" s="181">
        <f t="shared" ref="F33:F43" si="12">($P33/$C$3)*F$9</f>
        <v>0</v>
      </c>
      <c r="G33" s="235"/>
      <c r="H33" s="180">
        <f t="shared" ref="H33:H43" si="13">($P33/$C$3)*H$9</f>
        <v>0</v>
      </c>
      <c r="I33" s="129"/>
      <c r="J33" s="181">
        <f t="shared" ref="J33:J43" si="14">($P33/$C$3)*J$9</f>
        <v>0</v>
      </c>
      <c r="K33" s="235"/>
      <c r="L33" s="180">
        <f t="shared" ref="L33:L43" si="15">($P33/$C$3)*L$9</f>
        <v>0</v>
      </c>
      <c r="M33" s="129"/>
      <c r="N33" s="181">
        <f t="shared" ref="N33:N43" si="16">($P33/$C$3)*N$9</f>
        <v>0</v>
      </c>
      <c r="O33" s="235"/>
      <c r="P33" s="183"/>
      <c r="Q33" s="187">
        <f t="shared" si="6"/>
        <v>0</v>
      </c>
      <c r="R33" s="128">
        <f>SUM(E33+G33+I33+K33+M33+O33)</f>
        <v>0</v>
      </c>
      <c r="S33" s="188" t="e">
        <f>R33/R11</f>
        <v>#DIV/0!</v>
      </c>
      <c r="T33" s="190">
        <f t="shared" si="7"/>
        <v>0</v>
      </c>
      <c r="U33" s="124"/>
      <c r="X33" s="80">
        <v>30</v>
      </c>
    </row>
    <row r="34" spans="1:24" ht="18.75" customHeight="1" outlineLevel="1">
      <c r="A34" s="327" t="s">
        <v>47</v>
      </c>
      <c r="B34" s="328"/>
      <c r="C34" s="328"/>
      <c r="D34" s="180">
        <f t="shared" si="11"/>
        <v>0</v>
      </c>
      <c r="E34" s="129"/>
      <c r="F34" s="181">
        <f t="shared" si="12"/>
        <v>0</v>
      </c>
      <c r="G34" s="235"/>
      <c r="H34" s="180">
        <f t="shared" si="13"/>
        <v>0</v>
      </c>
      <c r="I34" s="129"/>
      <c r="J34" s="181">
        <f t="shared" si="14"/>
        <v>0</v>
      </c>
      <c r="K34" s="235"/>
      <c r="L34" s="180">
        <f t="shared" si="15"/>
        <v>0</v>
      </c>
      <c r="M34" s="129"/>
      <c r="N34" s="181">
        <f t="shared" si="16"/>
        <v>0</v>
      </c>
      <c r="O34" s="235"/>
      <c r="P34" s="183"/>
      <c r="Q34" s="187">
        <f t="shared" si="6"/>
        <v>0</v>
      </c>
      <c r="R34" s="128">
        <f>SUM(E34+G34+I34+K34+M34+O34)</f>
        <v>0</v>
      </c>
      <c r="S34" s="188" t="e">
        <f>R34/R11</f>
        <v>#DIV/0!</v>
      </c>
      <c r="T34" s="190">
        <f t="shared" si="7"/>
        <v>0</v>
      </c>
      <c r="U34" s="124"/>
    </row>
    <row r="35" spans="1:24" ht="18.75" customHeight="1" outlineLevel="1">
      <c r="A35" s="327" t="s">
        <v>148</v>
      </c>
      <c r="B35" s="328"/>
      <c r="C35" s="328"/>
      <c r="D35" s="180">
        <f t="shared" si="11"/>
        <v>0</v>
      </c>
      <c r="E35" s="129"/>
      <c r="F35" s="181">
        <f t="shared" si="12"/>
        <v>0</v>
      </c>
      <c r="G35" s="235"/>
      <c r="H35" s="180">
        <f t="shared" si="13"/>
        <v>0</v>
      </c>
      <c r="I35" s="129"/>
      <c r="J35" s="181">
        <f t="shared" si="14"/>
        <v>0</v>
      </c>
      <c r="K35" s="235"/>
      <c r="L35" s="180">
        <f t="shared" si="15"/>
        <v>0</v>
      </c>
      <c r="M35" s="129"/>
      <c r="N35" s="181">
        <f t="shared" si="16"/>
        <v>0</v>
      </c>
      <c r="O35" s="235"/>
      <c r="P35" s="183"/>
      <c r="Q35" s="187">
        <f t="shared" si="6"/>
        <v>0</v>
      </c>
      <c r="R35" s="128">
        <f t="shared" ref="R35:R41" si="17">SUM(E35+G35+I35+K35+M35+O35)</f>
        <v>0</v>
      </c>
      <c r="S35" s="188" t="e">
        <f>R35/R11</f>
        <v>#DIV/0!</v>
      </c>
      <c r="T35" s="190">
        <f t="shared" si="7"/>
        <v>0</v>
      </c>
      <c r="U35" s="124"/>
    </row>
    <row r="36" spans="1:24" ht="18.75" customHeight="1" outlineLevel="1">
      <c r="A36" s="327" t="s">
        <v>49</v>
      </c>
      <c r="B36" s="328"/>
      <c r="C36" s="328"/>
      <c r="D36" s="180">
        <f t="shared" si="11"/>
        <v>0</v>
      </c>
      <c r="E36" s="129"/>
      <c r="F36" s="181">
        <f t="shared" si="12"/>
        <v>0</v>
      </c>
      <c r="G36" s="235"/>
      <c r="H36" s="180">
        <f t="shared" si="13"/>
        <v>0</v>
      </c>
      <c r="I36" s="129"/>
      <c r="J36" s="181">
        <f t="shared" si="14"/>
        <v>0</v>
      </c>
      <c r="K36" s="235"/>
      <c r="L36" s="180">
        <f t="shared" si="15"/>
        <v>0</v>
      </c>
      <c r="M36" s="129"/>
      <c r="N36" s="181">
        <f t="shared" si="16"/>
        <v>0</v>
      </c>
      <c r="O36" s="235"/>
      <c r="P36" s="183"/>
      <c r="Q36" s="187">
        <f t="shared" si="6"/>
        <v>0</v>
      </c>
      <c r="R36" s="128">
        <f t="shared" si="17"/>
        <v>0</v>
      </c>
      <c r="S36" s="188" t="e">
        <f>R36/R11</f>
        <v>#DIV/0!</v>
      </c>
      <c r="T36" s="190">
        <f t="shared" si="7"/>
        <v>0</v>
      </c>
      <c r="U36" s="124"/>
    </row>
    <row r="37" spans="1:24" ht="18.75" customHeight="1" outlineLevel="1">
      <c r="A37" s="327" t="s">
        <v>50</v>
      </c>
      <c r="B37" s="328"/>
      <c r="C37" s="328"/>
      <c r="D37" s="180">
        <f t="shared" si="11"/>
        <v>0</v>
      </c>
      <c r="E37" s="129"/>
      <c r="F37" s="181">
        <f t="shared" si="12"/>
        <v>0</v>
      </c>
      <c r="G37" s="235"/>
      <c r="H37" s="180">
        <f t="shared" si="13"/>
        <v>0</v>
      </c>
      <c r="I37" s="129"/>
      <c r="J37" s="181">
        <f t="shared" si="14"/>
        <v>0</v>
      </c>
      <c r="K37" s="235"/>
      <c r="L37" s="180">
        <f t="shared" si="15"/>
        <v>0</v>
      </c>
      <c r="M37" s="129"/>
      <c r="N37" s="181">
        <f t="shared" si="16"/>
        <v>0</v>
      </c>
      <c r="O37" s="235"/>
      <c r="P37" s="183"/>
      <c r="Q37" s="187">
        <f t="shared" si="6"/>
        <v>0</v>
      </c>
      <c r="R37" s="128">
        <f t="shared" si="17"/>
        <v>0</v>
      </c>
      <c r="S37" s="188" t="e">
        <f>R37/R11</f>
        <v>#DIV/0!</v>
      </c>
      <c r="T37" s="190">
        <f t="shared" si="7"/>
        <v>0</v>
      </c>
      <c r="U37" s="124"/>
    </row>
    <row r="38" spans="1:24" ht="18.75" customHeight="1" outlineLevel="1">
      <c r="A38" s="327" t="s">
        <v>150</v>
      </c>
      <c r="B38" s="328"/>
      <c r="C38" s="328"/>
      <c r="D38" s="180">
        <f t="shared" si="11"/>
        <v>0</v>
      </c>
      <c r="E38" s="129"/>
      <c r="F38" s="181">
        <f t="shared" si="12"/>
        <v>0</v>
      </c>
      <c r="G38" s="235"/>
      <c r="H38" s="180">
        <f t="shared" si="13"/>
        <v>0</v>
      </c>
      <c r="I38" s="129"/>
      <c r="J38" s="181">
        <f t="shared" si="14"/>
        <v>0</v>
      </c>
      <c r="K38" s="235"/>
      <c r="L38" s="180">
        <f t="shared" si="15"/>
        <v>0</v>
      </c>
      <c r="M38" s="129"/>
      <c r="N38" s="181">
        <f t="shared" si="16"/>
        <v>0</v>
      </c>
      <c r="O38" s="235"/>
      <c r="P38" s="183"/>
      <c r="Q38" s="187">
        <f t="shared" si="6"/>
        <v>0</v>
      </c>
      <c r="R38" s="128">
        <f t="shared" si="17"/>
        <v>0</v>
      </c>
      <c r="S38" s="188" t="e">
        <f>R38/R11</f>
        <v>#DIV/0!</v>
      </c>
      <c r="T38" s="190">
        <f t="shared" si="7"/>
        <v>0</v>
      </c>
      <c r="U38" s="124"/>
    </row>
    <row r="39" spans="1:24" ht="18.75" customHeight="1" outlineLevel="1">
      <c r="A39" s="327" t="s">
        <v>52</v>
      </c>
      <c r="B39" s="328"/>
      <c r="C39" s="328"/>
      <c r="D39" s="180">
        <f t="shared" si="11"/>
        <v>0</v>
      </c>
      <c r="E39" s="129"/>
      <c r="F39" s="181">
        <f t="shared" si="12"/>
        <v>0</v>
      </c>
      <c r="G39" s="235"/>
      <c r="H39" s="180">
        <f t="shared" si="13"/>
        <v>0</v>
      </c>
      <c r="I39" s="129"/>
      <c r="J39" s="181">
        <f t="shared" si="14"/>
        <v>0</v>
      </c>
      <c r="K39" s="235"/>
      <c r="L39" s="180">
        <f t="shared" si="15"/>
        <v>0</v>
      </c>
      <c r="M39" s="129"/>
      <c r="N39" s="181">
        <f t="shared" si="16"/>
        <v>0</v>
      </c>
      <c r="O39" s="235"/>
      <c r="P39" s="183"/>
      <c r="Q39" s="187">
        <f t="shared" si="6"/>
        <v>0</v>
      </c>
      <c r="R39" s="128">
        <f t="shared" si="17"/>
        <v>0</v>
      </c>
      <c r="S39" s="188" t="e">
        <f>R39/R11</f>
        <v>#DIV/0!</v>
      </c>
      <c r="T39" s="190">
        <f t="shared" si="7"/>
        <v>0</v>
      </c>
      <c r="U39" s="124"/>
    </row>
    <row r="40" spans="1:24" ht="18.75" customHeight="1" outlineLevel="1">
      <c r="A40" s="229" t="s">
        <v>53</v>
      </c>
      <c r="B40" s="230"/>
      <c r="C40" s="230"/>
      <c r="D40" s="180">
        <f t="shared" si="11"/>
        <v>0</v>
      </c>
      <c r="E40" s="129"/>
      <c r="F40" s="181">
        <f t="shared" si="12"/>
        <v>0</v>
      </c>
      <c r="G40" s="235"/>
      <c r="H40" s="180">
        <f t="shared" si="13"/>
        <v>0</v>
      </c>
      <c r="I40" s="129"/>
      <c r="J40" s="181">
        <f t="shared" si="14"/>
        <v>0</v>
      </c>
      <c r="K40" s="235"/>
      <c r="L40" s="180">
        <f t="shared" si="15"/>
        <v>0</v>
      </c>
      <c r="M40" s="129"/>
      <c r="N40" s="181">
        <f t="shared" si="16"/>
        <v>0</v>
      </c>
      <c r="O40" s="235"/>
      <c r="P40" s="183"/>
      <c r="Q40" s="187">
        <f t="shared" si="6"/>
        <v>0</v>
      </c>
      <c r="R40" s="128">
        <f t="shared" si="17"/>
        <v>0</v>
      </c>
      <c r="S40" s="188" t="e">
        <f>R40/R11</f>
        <v>#DIV/0!</v>
      </c>
      <c r="T40" s="190">
        <f t="shared" si="7"/>
        <v>0</v>
      </c>
      <c r="U40" s="124"/>
    </row>
    <row r="41" spans="1:24" ht="18.75" customHeight="1" outlineLevel="1">
      <c r="A41" s="229" t="s">
        <v>54</v>
      </c>
      <c r="B41" s="230"/>
      <c r="C41" s="230"/>
      <c r="D41" s="180">
        <f t="shared" si="11"/>
        <v>0</v>
      </c>
      <c r="E41" s="129"/>
      <c r="F41" s="181">
        <f t="shared" si="12"/>
        <v>0</v>
      </c>
      <c r="G41" s="235"/>
      <c r="H41" s="180">
        <f t="shared" si="13"/>
        <v>0</v>
      </c>
      <c r="I41" s="129"/>
      <c r="J41" s="181">
        <f t="shared" si="14"/>
        <v>0</v>
      </c>
      <c r="K41" s="235"/>
      <c r="L41" s="180">
        <f t="shared" si="15"/>
        <v>0</v>
      </c>
      <c r="M41" s="129"/>
      <c r="N41" s="181">
        <f t="shared" si="16"/>
        <v>0</v>
      </c>
      <c r="O41" s="235"/>
      <c r="P41" s="183"/>
      <c r="Q41" s="187">
        <f t="shared" si="6"/>
        <v>0</v>
      </c>
      <c r="R41" s="128">
        <f t="shared" si="17"/>
        <v>0</v>
      </c>
      <c r="S41" s="188" t="e">
        <f>R41/R11</f>
        <v>#DIV/0!</v>
      </c>
      <c r="T41" s="190">
        <f t="shared" si="7"/>
        <v>0</v>
      </c>
      <c r="U41" s="124"/>
    </row>
    <row r="42" spans="1:24" ht="18.75" customHeight="1" outlineLevel="1">
      <c r="A42" s="229" t="s">
        <v>196</v>
      </c>
      <c r="B42" s="230"/>
      <c r="C42" s="230"/>
      <c r="D42" s="180">
        <f t="shared" si="11"/>
        <v>0</v>
      </c>
      <c r="E42" s="129"/>
      <c r="F42" s="181">
        <f t="shared" si="12"/>
        <v>0</v>
      </c>
      <c r="G42" s="235"/>
      <c r="H42" s="180">
        <f t="shared" si="13"/>
        <v>0</v>
      </c>
      <c r="I42" s="129"/>
      <c r="J42" s="181">
        <f t="shared" si="14"/>
        <v>0</v>
      </c>
      <c r="K42" s="235"/>
      <c r="L42" s="180">
        <f t="shared" si="15"/>
        <v>0</v>
      </c>
      <c r="M42" s="129"/>
      <c r="N42" s="181">
        <f t="shared" si="16"/>
        <v>0</v>
      </c>
      <c r="O42" s="235"/>
      <c r="P42" s="183"/>
      <c r="Q42" s="187">
        <f t="shared" si="6"/>
        <v>0</v>
      </c>
      <c r="R42" s="128">
        <f>E42+G42+I42+K42+M42+O42</f>
        <v>0</v>
      </c>
      <c r="S42" s="188" t="e">
        <f>R42/R11</f>
        <v>#DIV/0!</v>
      </c>
      <c r="T42" s="190">
        <f t="shared" si="7"/>
        <v>0</v>
      </c>
      <c r="U42" s="124"/>
    </row>
    <row r="43" spans="1:24" ht="18.75" customHeight="1" outlineLevel="1">
      <c r="A43" s="327" t="s">
        <v>197</v>
      </c>
      <c r="B43" s="328"/>
      <c r="C43" s="328"/>
      <c r="D43" s="180">
        <f t="shared" si="11"/>
        <v>0</v>
      </c>
      <c r="E43" s="129"/>
      <c r="F43" s="181">
        <f t="shared" si="12"/>
        <v>0</v>
      </c>
      <c r="G43" s="235"/>
      <c r="H43" s="180">
        <f t="shared" si="13"/>
        <v>0</v>
      </c>
      <c r="I43" s="129"/>
      <c r="J43" s="181">
        <f t="shared" si="14"/>
        <v>0</v>
      </c>
      <c r="K43" s="235"/>
      <c r="L43" s="180">
        <f t="shared" si="15"/>
        <v>0</v>
      </c>
      <c r="M43" s="129"/>
      <c r="N43" s="181">
        <f t="shared" si="16"/>
        <v>0</v>
      </c>
      <c r="O43" s="235"/>
      <c r="P43" s="183"/>
      <c r="Q43" s="187">
        <f t="shared" si="6"/>
        <v>0</v>
      </c>
      <c r="R43" s="128">
        <f>E43+G43+I43+K43+M43+O43</f>
        <v>0</v>
      </c>
      <c r="S43" s="188" t="e">
        <f>R43/R11</f>
        <v>#DIV/0!</v>
      </c>
      <c r="T43" s="190">
        <f t="shared" si="7"/>
        <v>0</v>
      </c>
      <c r="U43" s="124"/>
    </row>
    <row r="44" spans="1:24" ht="18" customHeight="1">
      <c r="A44" s="332" t="s">
        <v>45</v>
      </c>
      <c r="B44" s="333"/>
      <c r="C44" s="333"/>
      <c r="D44" s="130">
        <f t="shared" ref="D44:P44" si="18">SUM(D33:D43)</f>
        <v>0</v>
      </c>
      <c r="E44" s="131">
        <f t="shared" si="18"/>
        <v>0</v>
      </c>
      <c r="F44" s="132">
        <f t="shared" si="18"/>
        <v>0</v>
      </c>
      <c r="G44" s="132">
        <f t="shared" si="18"/>
        <v>0</v>
      </c>
      <c r="H44" s="130">
        <f t="shared" si="18"/>
        <v>0</v>
      </c>
      <c r="I44" s="131">
        <f t="shared" si="18"/>
        <v>0</v>
      </c>
      <c r="J44" s="132">
        <f t="shared" si="18"/>
        <v>0</v>
      </c>
      <c r="K44" s="132">
        <f t="shared" si="18"/>
        <v>0</v>
      </c>
      <c r="L44" s="130">
        <f t="shared" si="18"/>
        <v>0</v>
      </c>
      <c r="M44" s="131">
        <f t="shared" si="18"/>
        <v>0</v>
      </c>
      <c r="N44" s="132">
        <f t="shared" si="18"/>
        <v>0</v>
      </c>
      <c r="O44" s="132">
        <f t="shared" si="18"/>
        <v>0</v>
      </c>
      <c r="P44" s="133">
        <f t="shared" si="18"/>
        <v>0</v>
      </c>
      <c r="Q44" s="134">
        <f t="shared" si="6"/>
        <v>0</v>
      </c>
      <c r="R44" s="135">
        <f>SUM(R33:R43)</f>
        <v>0</v>
      </c>
      <c r="S44" s="178" t="e">
        <f>SUM(S33:S43)</f>
        <v>#DIV/0!</v>
      </c>
      <c r="T44" s="136">
        <f t="shared" si="7"/>
        <v>0</v>
      </c>
      <c r="U44" s="137"/>
    </row>
    <row r="45" spans="1:24" ht="15.75" customHeight="1" outlineLevel="1">
      <c r="A45" s="327" t="s">
        <v>198</v>
      </c>
      <c r="B45" s="328"/>
      <c r="C45" s="328"/>
      <c r="D45" s="180">
        <f>($P45/$C$3)*$D$9</f>
        <v>0</v>
      </c>
      <c r="E45" s="129"/>
      <c r="F45" s="181">
        <f>($P45/$C$3)*F$9</f>
        <v>0</v>
      </c>
      <c r="G45" s="235"/>
      <c r="H45" s="180">
        <f>($P45/$C$3)*H$9</f>
        <v>0</v>
      </c>
      <c r="I45" s="129"/>
      <c r="J45" s="181">
        <f>($P45/$C$3)*J$9</f>
        <v>0</v>
      </c>
      <c r="K45" s="235"/>
      <c r="L45" s="180">
        <f>($P45/$C$3)*L$9</f>
        <v>0</v>
      </c>
      <c r="M45" s="129"/>
      <c r="N45" s="181">
        <f>($P45/$C$3)*N$9</f>
        <v>0</v>
      </c>
      <c r="O45" s="235"/>
      <c r="P45" s="183"/>
      <c r="Q45" s="187">
        <f t="shared" si="6"/>
        <v>0</v>
      </c>
      <c r="R45" s="128">
        <f>SUM(E45+G45+I45+K45+M45+O45)</f>
        <v>0</v>
      </c>
      <c r="S45" s="188" t="e">
        <f>R45/R11</f>
        <v>#DIV/0!</v>
      </c>
      <c r="T45" s="190">
        <f t="shared" si="7"/>
        <v>0</v>
      </c>
      <c r="U45" s="124"/>
    </row>
    <row r="46" spans="1:24" ht="15.75" customHeight="1" outlineLevel="1">
      <c r="A46" s="327" t="s">
        <v>199</v>
      </c>
      <c r="B46" s="328"/>
      <c r="C46" s="328"/>
      <c r="D46" s="180">
        <f>($P46/$C$3)*$D$9</f>
        <v>0</v>
      </c>
      <c r="E46" s="129"/>
      <c r="F46" s="181">
        <f>($P46/$C$3)*F$9</f>
        <v>0</v>
      </c>
      <c r="G46" s="235"/>
      <c r="H46" s="180">
        <f>($P46/$C$3)*H$9</f>
        <v>0</v>
      </c>
      <c r="I46" s="129"/>
      <c r="J46" s="181">
        <f>($P46/$C$3)*J$9</f>
        <v>0</v>
      </c>
      <c r="K46" s="235"/>
      <c r="L46" s="180">
        <f>($P46/$C$3)*L$9</f>
        <v>0</v>
      </c>
      <c r="M46" s="129"/>
      <c r="N46" s="181">
        <f>($P46/$C$3)*N$9</f>
        <v>0</v>
      </c>
      <c r="O46" s="235"/>
      <c r="P46" s="183"/>
      <c r="Q46" s="187">
        <f t="shared" si="6"/>
        <v>0</v>
      </c>
      <c r="R46" s="128">
        <f>SUM(E46+G46+I46+K46+M46+O46)</f>
        <v>0</v>
      </c>
      <c r="S46" s="188" t="e">
        <f>R46/R11</f>
        <v>#DIV/0!</v>
      </c>
      <c r="T46" s="190">
        <f t="shared" si="7"/>
        <v>0</v>
      </c>
      <c r="U46" s="124"/>
    </row>
    <row r="47" spans="1:24" ht="15.75" customHeight="1">
      <c r="A47" s="332" t="s">
        <v>200</v>
      </c>
      <c r="B47" s="333"/>
      <c r="C47" s="333"/>
      <c r="D47" s="130">
        <f t="shared" ref="D47:P47" si="19">SUM(D45:D46)</f>
        <v>0</v>
      </c>
      <c r="E47" s="131">
        <f t="shared" si="19"/>
        <v>0</v>
      </c>
      <c r="F47" s="132">
        <f t="shared" si="19"/>
        <v>0</v>
      </c>
      <c r="G47" s="132">
        <f t="shared" si="19"/>
        <v>0</v>
      </c>
      <c r="H47" s="130">
        <f t="shared" si="19"/>
        <v>0</v>
      </c>
      <c r="I47" s="131">
        <f t="shared" si="19"/>
        <v>0</v>
      </c>
      <c r="J47" s="132">
        <f t="shared" si="19"/>
        <v>0</v>
      </c>
      <c r="K47" s="132">
        <f t="shared" si="19"/>
        <v>0</v>
      </c>
      <c r="L47" s="130">
        <f t="shared" si="19"/>
        <v>0</v>
      </c>
      <c r="M47" s="131">
        <f t="shared" si="19"/>
        <v>0</v>
      </c>
      <c r="N47" s="132">
        <f t="shared" si="19"/>
        <v>0</v>
      </c>
      <c r="O47" s="132">
        <f t="shared" si="19"/>
        <v>0</v>
      </c>
      <c r="P47" s="133">
        <f t="shared" si="19"/>
        <v>0</v>
      </c>
      <c r="Q47" s="134">
        <f t="shared" si="6"/>
        <v>0</v>
      </c>
      <c r="R47" s="135">
        <f>SUM(R45:R46)</f>
        <v>0</v>
      </c>
      <c r="S47" s="178" t="str">
        <f>IFERROR("-",R47/$AB$8)</f>
        <v>-</v>
      </c>
      <c r="T47" s="136">
        <f>SUM(T45:T46)</f>
        <v>0</v>
      </c>
      <c r="U47" s="137"/>
    </row>
    <row r="48" spans="1:24" ht="15.75" customHeight="1" outlineLevel="1">
      <c r="A48" s="327" t="s">
        <v>201</v>
      </c>
      <c r="B48" s="328"/>
      <c r="C48" s="328"/>
      <c r="D48" s="180">
        <f t="shared" ref="D48:D54" si="20">($P48/$C$3)*$D$9</f>
        <v>0</v>
      </c>
      <c r="E48" s="129"/>
      <c r="F48" s="181">
        <f t="shared" ref="F48:F54" si="21">($P48/$C$3)*F$9</f>
        <v>0</v>
      </c>
      <c r="G48" s="235"/>
      <c r="H48" s="180">
        <f t="shared" ref="H48:H54" si="22">($P48/$C$3)*H$9</f>
        <v>0</v>
      </c>
      <c r="I48" s="129"/>
      <c r="J48" s="181">
        <f t="shared" ref="J48:J54" si="23">($P48/$C$3)*J$9</f>
        <v>0</v>
      </c>
      <c r="K48" s="235"/>
      <c r="L48" s="180">
        <f t="shared" ref="L48:L54" si="24">($P48/$C$3)*L$9</f>
        <v>0</v>
      </c>
      <c r="M48" s="129"/>
      <c r="N48" s="181">
        <f t="shared" ref="N48:N54" si="25">($P48/$C$3)*N$9</f>
        <v>0</v>
      </c>
      <c r="O48" s="235"/>
      <c r="P48" s="183"/>
      <c r="Q48" s="187">
        <f>P48/$AB$2</f>
        <v>0</v>
      </c>
      <c r="R48" s="128">
        <f>SUM(E48+G48+I48+K48+M48+O48)</f>
        <v>0</v>
      </c>
      <c r="S48" s="188" t="e">
        <f>R48/R11</f>
        <v>#DIV/0!</v>
      </c>
      <c r="T48" s="190">
        <f t="shared" ref="T48:T55" si="26">P48-R48</f>
        <v>0</v>
      </c>
      <c r="U48" s="124"/>
    </row>
    <row r="49" spans="1:21" ht="15.75" customHeight="1" outlineLevel="1">
      <c r="A49" s="327" t="s">
        <v>202</v>
      </c>
      <c r="B49" s="328"/>
      <c r="C49" s="328"/>
      <c r="D49" s="180">
        <f t="shared" si="20"/>
        <v>0</v>
      </c>
      <c r="E49" s="129"/>
      <c r="F49" s="181">
        <f t="shared" si="21"/>
        <v>0</v>
      </c>
      <c r="G49" s="235"/>
      <c r="H49" s="180">
        <f t="shared" si="22"/>
        <v>0</v>
      </c>
      <c r="I49" s="129"/>
      <c r="J49" s="181">
        <f t="shared" si="23"/>
        <v>0</v>
      </c>
      <c r="K49" s="235"/>
      <c r="L49" s="180">
        <f t="shared" si="24"/>
        <v>0</v>
      </c>
      <c r="M49" s="129"/>
      <c r="N49" s="181">
        <f t="shared" si="25"/>
        <v>0</v>
      </c>
      <c r="O49" s="235"/>
      <c r="P49" s="183"/>
      <c r="Q49" s="187">
        <f t="shared" si="6"/>
        <v>0</v>
      </c>
      <c r="R49" s="128">
        <f>SUM(E49+G49+I49+K49+M49+O49)</f>
        <v>0</v>
      </c>
      <c r="S49" s="188" t="e">
        <f>R49/R11</f>
        <v>#DIV/0!</v>
      </c>
      <c r="T49" s="190">
        <f t="shared" si="26"/>
        <v>0</v>
      </c>
      <c r="U49" s="124"/>
    </row>
    <row r="50" spans="1:21" ht="15.75" customHeight="1" outlineLevel="1">
      <c r="A50" s="229" t="s">
        <v>203</v>
      </c>
      <c r="B50" s="230"/>
      <c r="C50" s="230"/>
      <c r="D50" s="180">
        <f t="shared" si="20"/>
        <v>0</v>
      </c>
      <c r="E50" s="129"/>
      <c r="F50" s="181">
        <f t="shared" si="21"/>
        <v>0</v>
      </c>
      <c r="G50" s="235"/>
      <c r="H50" s="180">
        <f t="shared" si="22"/>
        <v>0</v>
      </c>
      <c r="I50" s="129"/>
      <c r="J50" s="181">
        <f t="shared" si="23"/>
        <v>0</v>
      </c>
      <c r="K50" s="235"/>
      <c r="L50" s="180">
        <f t="shared" si="24"/>
        <v>0</v>
      </c>
      <c r="M50" s="129"/>
      <c r="N50" s="181">
        <f t="shared" si="25"/>
        <v>0</v>
      </c>
      <c r="O50" s="235"/>
      <c r="P50" s="183"/>
      <c r="Q50" s="187">
        <f t="shared" si="6"/>
        <v>0</v>
      </c>
      <c r="R50" s="128">
        <f>SUM(E50+G50+I50+K50+M50+O50)</f>
        <v>0</v>
      </c>
      <c r="S50" s="188" t="e">
        <f>R50/R11</f>
        <v>#DIV/0!</v>
      </c>
      <c r="T50" s="190">
        <f t="shared" si="26"/>
        <v>0</v>
      </c>
      <c r="U50" s="124"/>
    </row>
    <row r="51" spans="1:21" ht="15.75" customHeight="1">
      <c r="A51" s="332" t="s">
        <v>60</v>
      </c>
      <c r="B51" s="333"/>
      <c r="C51" s="333"/>
      <c r="D51" s="130">
        <f t="shared" ref="D51:P51" si="27">SUM(D48:D50)</f>
        <v>0</v>
      </c>
      <c r="E51" s="131">
        <f t="shared" si="27"/>
        <v>0</v>
      </c>
      <c r="F51" s="132">
        <f t="shared" si="27"/>
        <v>0</v>
      </c>
      <c r="G51" s="132">
        <f t="shared" si="27"/>
        <v>0</v>
      </c>
      <c r="H51" s="130">
        <f t="shared" si="27"/>
        <v>0</v>
      </c>
      <c r="I51" s="131">
        <f t="shared" si="27"/>
        <v>0</v>
      </c>
      <c r="J51" s="132">
        <f t="shared" si="27"/>
        <v>0</v>
      </c>
      <c r="K51" s="132">
        <f t="shared" si="27"/>
        <v>0</v>
      </c>
      <c r="L51" s="130">
        <f t="shared" si="27"/>
        <v>0</v>
      </c>
      <c r="M51" s="131">
        <f t="shared" si="27"/>
        <v>0</v>
      </c>
      <c r="N51" s="132">
        <f t="shared" si="27"/>
        <v>0</v>
      </c>
      <c r="O51" s="132">
        <f t="shared" si="27"/>
        <v>0</v>
      </c>
      <c r="P51" s="133">
        <f t="shared" si="27"/>
        <v>0</v>
      </c>
      <c r="Q51" s="134">
        <f>P51/$AB$2</f>
        <v>0</v>
      </c>
      <c r="R51" s="135">
        <f>SUM(R48:R50)</f>
        <v>0</v>
      </c>
      <c r="S51" s="178" t="e">
        <f>SUM(S48:S50)</f>
        <v>#DIV/0!</v>
      </c>
      <c r="T51" s="136">
        <f t="shared" si="26"/>
        <v>0</v>
      </c>
      <c r="U51" s="137"/>
    </row>
    <row r="52" spans="1:21" ht="15.75" customHeight="1" outlineLevel="1">
      <c r="A52" s="327" t="s">
        <v>65</v>
      </c>
      <c r="B52" s="328"/>
      <c r="C52" s="328"/>
      <c r="D52" s="180">
        <f t="shared" si="20"/>
        <v>0</v>
      </c>
      <c r="E52" s="129"/>
      <c r="F52" s="181">
        <f t="shared" si="21"/>
        <v>0</v>
      </c>
      <c r="G52" s="235"/>
      <c r="H52" s="180">
        <f t="shared" si="22"/>
        <v>0</v>
      </c>
      <c r="I52" s="129"/>
      <c r="J52" s="181">
        <f t="shared" si="23"/>
        <v>0</v>
      </c>
      <c r="K52" s="235"/>
      <c r="L52" s="180">
        <f t="shared" si="24"/>
        <v>0</v>
      </c>
      <c r="M52" s="129"/>
      <c r="N52" s="181">
        <f t="shared" si="25"/>
        <v>0</v>
      </c>
      <c r="O52" s="235"/>
      <c r="P52" s="183"/>
      <c r="Q52" s="187">
        <f>P52/$AB$2</f>
        <v>0</v>
      </c>
      <c r="R52" s="128">
        <f>SUM(E52+G52+I52+K52+M52+O52)</f>
        <v>0</v>
      </c>
      <c r="S52" s="188" t="e">
        <f>R52/R11</f>
        <v>#DIV/0!</v>
      </c>
      <c r="T52" s="190">
        <f t="shared" si="26"/>
        <v>0</v>
      </c>
      <c r="U52" s="124"/>
    </row>
    <row r="53" spans="1:21" ht="16.5" outlineLevel="1">
      <c r="A53" s="327" t="s">
        <v>66</v>
      </c>
      <c r="B53" s="328"/>
      <c r="C53" s="328"/>
      <c r="D53" s="180">
        <f t="shared" si="20"/>
        <v>0</v>
      </c>
      <c r="E53" s="129"/>
      <c r="F53" s="181">
        <f t="shared" si="21"/>
        <v>0</v>
      </c>
      <c r="G53" s="235"/>
      <c r="H53" s="180">
        <f t="shared" si="22"/>
        <v>0</v>
      </c>
      <c r="I53" s="129"/>
      <c r="J53" s="181">
        <f t="shared" si="23"/>
        <v>0</v>
      </c>
      <c r="K53" s="235"/>
      <c r="L53" s="180">
        <f t="shared" si="24"/>
        <v>0</v>
      </c>
      <c r="M53" s="129"/>
      <c r="N53" s="181">
        <f t="shared" si="25"/>
        <v>0</v>
      </c>
      <c r="O53" s="235"/>
      <c r="P53" s="183"/>
      <c r="Q53" s="187">
        <f t="shared" si="6"/>
        <v>0</v>
      </c>
      <c r="R53" s="128">
        <f>SUM(E53+G53+I53+K53+M53+O53)</f>
        <v>0</v>
      </c>
      <c r="S53" s="188" t="e">
        <f>R53/R11</f>
        <v>#DIV/0!</v>
      </c>
      <c r="T53" s="190">
        <f t="shared" si="26"/>
        <v>0</v>
      </c>
      <c r="U53" s="124"/>
    </row>
    <row r="54" spans="1:21" ht="16.5" outlineLevel="1">
      <c r="A54" s="229" t="s">
        <v>67</v>
      </c>
      <c r="B54" s="230"/>
      <c r="C54" s="230"/>
      <c r="D54" s="180">
        <f t="shared" si="20"/>
        <v>0</v>
      </c>
      <c r="E54" s="129"/>
      <c r="F54" s="181">
        <f t="shared" si="21"/>
        <v>0</v>
      </c>
      <c r="G54" s="235"/>
      <c r="H54" s="180">
        <f t="shared" si="22"/>
        <v>0</v>
      </c>
      <c r="I54" s="129"/>
      <c r="J54" s="181">
        <f t="shared" si="23"/>
        <v>0</v>
      </c>
      <c r="K54" s="235"/>
      <c r="L54" s="180">
        <f t="shared" si="24"/>
        <v>0</v>
      </c>
      <c r="M54" s="129"/>
      <c r="N54" s="181">
        <f t="shared" si="25"/>
        <v>0</v>
      </c>
      <c r="O54" s="235"/>
      <c r="P54" s="183"/>
      <c r="Q54" s="187">
        <f t="shared" si="6"/>
        <v>0</v>
      </c>
      <c r="R54" s="128">
        <f>SUM(E54+G54+I54+K54+M54+O54)</f>
        <v>0</v>
      </c>
      <c r="S54" s="188" t="e">
        <f>R54/R11</f>
        <v>#DIV/0!</v>
      </c>
      <c r="T54" s="190">
        <f t="shared" si="26"/>
        <v>0</v>
      </c>
      <c r="U54" s="124"/>
    </row>
    <row r="55" spans="1:21" ht="18.600000000000001">
      <c r="A55" s="332" t="s">
        <v>204</v>
      </c>
      <c r="B55" s="333"/>
      <c r="C55" s="333"/>
      <c r="D55" s="130">
        <f t="shared" ref="D55:P55" si="28">SUM(D52:D54)</f>
        <v>0</v>
      </c>
      <c r="E55" s="131">
        <f t="shared" si="28"/>
        <v>0</v>
      </c>
      <c r="F55" s="132">
        <f t="shared" si="28"/>
        <v>0</v>
      </c>
      <c r="G55" s="132">
        <f t="shared" si="28"/>
        <v>0</v>
      </c>
      <c r="H55" s="130">
        <f t="shared" si="28"/>
        <v>0</v>
      </c>
      <c r="I55" s="131">
        <f t="shared" si="28"/>
        <v>0</v>
      </c>
      <c r="J55" s="132">
        <f t="shared" si="28"/>
        <v>0</v>
      </c>
      <c r="K55" s="132">
        <f t="shared" si="28"/>
        <v>0</v>
      </c>
      <c r="L55" s="130">
        <f t="shared" si="28"/>
        <v>0</v>
      </c>
      <c r="M55" s="131">
        <f t="shared" si="28"/>
        <v>0</v>
      </c>
      <c r="N55" s="132">
        <f t="shared" si="28"/>
        <v>0</v>
      </c>
      <c r="O55" s="132">
        <f t="shared" si="28"/>
        <v>0</v>
      </c>
      <c r="P55" s="133">
        <f t="shared" si="28"/>
        <v>0</v>
      </c>
      <c r="Q55" s="134">
        <f>P55/$AB$2</f>
        <v>0</v>
      </c>
      <c r="R55" s="135">
        <f>SUM(R52:R54)</f>
        <v>0</v>
      </c>
      <c r="S55" s="178" t="e">
        <f>SUM(S52:S54)</f>
        <v>#DIV/0!</v>
      </c>
      <c r="T55" s="136">
        <f t="shared" si="26"/>
        <v>0</v>
      </c>
      <c r="U55" s="137"/>
    </row>
    <row r="56" spans="1:21">
      <c r="A56" s="340" t="s">
        <v>205</v>
      </c>
      <c r="B56" s="341"/>
      <c r="C56" s="341"/>
      <c r="D56" s="193">
        <f>D25+D32+D44+D47+D51+D55</f>
        <v>0</v>
      </c>
      <c r="E56" s="194">
        <f t="shared" ref="E56:O56" si="29">E25+E32+E44+E47+E51+E55</f>
        <v>0</v>
      </c>
      <c r="F56" s="195">
        <f t="shared" si="29"/>
        <v>0</v>
      </c>
      <c r="G56" s="195">
        <f t="shared" si="29"/>
        <v>0</v>
      </c>
      <c r="H56" s="193">
        <f t="shared" si="29"/>
        <v>0</v>
      </c>
      <c r="I56" s="194">
        <f t="shared" si="29"/>
        <v>0</v>
      </c>
      <c r="J56" s="195">
        <f t="shared" si="29"/>
        <v>0</v>
      </c>
      <c r="K56" s="195">
        <f t="shared" si="29"/>
        <v>0</v>
      </c>
      <c r="L56" s="193">
        <f t="shared" si="29"/>
        <v>0</v>
      </c>
      <c r="M56" s="194">
        <f t="shared" si="29"/>
        <v>0</v>
      </c>
      <c r="N56" s="195">
        <f t="shared" si="29"/>
        <v>0</v>
      </c>
      <c r="O56" s="195">
        <f t="shared" si="29"/>
        <v>0</v>
      </c>
      <c r="P56" s="344">
        <f>P25+P32+P44+P47+P51+P55</f>
        <v>0</v>
      </c>
      <c r="Q56" s="346">
        <f>P56/$AB$2</f>
        <v>0</v>
      </c>
      <c r="R56" s="348">
        <f>R25+R32+R44+R47+R51+R55</f>
        <v>0</v>
      </c>
      <c r="S56" s="334" t="e">
        <f>S64/R11</f>
        <v>#DIV/0!</v>
      </c>
      <c r="T56" s="336"/>
      <c r="U56" s="338"/>
    </row>
    <row r="57" spans="1:21" ht="18.600000000000001">
      <c r="A57" s="342"/>
      <c r="B57" s="343"/>
      <c r="C57" s="343"/>
      <c r="D57" s="196" t="str">
        <f t="shared" ref="D57:O57" si="30">IF(D11=0,"",D56/D11)</f>
        <v/>
      </c>
      <c r="E57" s="197" t="str">
        <f t="shared" si="30"/>
        <v/>
      </c>
      <c r="F57" s="198" t="str">
        <f t="shared" si="30"/>
        <v/>
      </c>
      <c r="G57" s="198" t="str">
        <f t="shared" si="30"/>
        <v/>
      </c>
      <c r="H57" s="196" t="str">
        <f t="shared" si="30"/>
        <v/>
      </c>
      <c r="I57" s="197" t="str">
        <f t="shared" si="30"/>
        <v/>
      </c>
      <c r="J57" s="198" t="str">
        <f t="shared" si="30"/>
        <v/>
      </c>
      <c r="K57" s="198" t="str">
        <f t="shared" si="30"/>
        <v/>
      </c>
      <c r="L57" s="196" t="str">
        <f t="shared" si="30"/>
        <v/>
      </c>
      <c r="M57" s="197" t="str">
        <f t="shared" si="30"/>
        <v/>
      </c>
      <c r="N57" s="198">
        <f t="shared" si="30"/>
        <v>0</v>
      </c>
      <c r="O57" s="198" t="str">
        <f t="shared" si="30"/>
        <v/>
      </c>
      <c r="P57" s="345"/>
      <c r="Q57" s="347"/>
      <c r="R57" s="349"/>
      <c r="S57" s="335"/>
      <c r="T57" s="337"/>
      <c r="U57" s="339"/>
    </row>
  </sheetData>
  <mergeCells count="74">
    <mergeCell ref="S56:S57"/>
    <mergeCell ref="T56:T57"/>
    <mergeCell ref="U56:U57"/>
    <mergeCell ref="A53:C53"/>
    <mergeCell ref="A55:C55"/>
    <mergeCell ref="A56:C57"/>
    <mergeCell ref="P56:P57"/>
    <mergeCell ref="Q56:Q57"/>
    <mergeCell ref="R56:R57"/>
    <mergeCell ref="A52:C52"/>
    <mergeCell ref="A37:C37"/>
    <mergeCell ref="A38:C38"/>
    <mergeCell ref="A39:C39"/>
    <mergeCell ref="A43:C43"/>
    <mergeCell ref="A44:C44"/>
    <mergeCell ref="A45:C45"/>
    <mergeCell ref="A46:C46"/>
    <mergeCell ref="A47:C47"/>
    <mergeCell ref="A48:C48"/>
    <mergeCell ref="A49:C49"/>
    <mergeCell ref="A51:C51"/>
    <mergeCell ref="A17:C17"/>
    <mergeCell ref="P17:Q17"/>
    <mergeCell ref="R17:S17"/>
    <mergeCell ref="A36:C36"/>
    <mergeCell ref="A18:U18"/>
    <mergeCell ref="A19:C19"/>
    <mergeCell ref="A20:C20"/>
    <mergeCell ref="A24:C24"/>
    <mergeCell ref="A25:C25"/>
    <mergeCell ref="A26:C26"/>
    <mergeCell ref="A31:C31"/>
    <mergeCell ref="A32:C32"/>
    <mergeCell ref="A33:C33"/>
    <mergeCell ref="A34:C34"/>
    <mergeCell ref="A35:C35"/>
    <mergeCell ref="A15:C15"/>
    <mergeCell ref="P15:Q15"/>
    <mergeCell ref="R15:S15"/>
    <mergeCell ref="A16:C16"/>
    <mergeCell ref="P16:Q16"/>
    <mergeCell ref="R16:S16"/>
    <mergeCell ref="R11:S11"/>
    <mergeCell ref="R13:S13"/>
    <mergeCell ref="A14:C14"/>
    <mergeCell ref="P14:Q14"/>
    <mergeCell ref="R14:S14"/>
    <mergeCell ref="R12:S12"/>
    <mergeCell ref="H8:I8"/>
    <mergeCell ref="J8:K8"/>
    <mergeCell ref="N9:O9"/>
    <mergeCell ref="A11:C11"/>
    <mergeCell ref="P11:Q11"/>
    <mergeCell ref="T8:T10"/>
    <mergeCell ref="U8:U10"/>
    <mergeCell ref="A9:C9"/>
    <mergeCell ref="D9:E9"/>
    <mergeCell ref="F9:G9"/>
    <mergeCell ref="H9:I9"/>
    <mergeCell ref="J9:K9"/>
    <mergeCell ref="L9:M9"/>
    <mergeCell ref="D8:E8"/>
    <mergeCell ref="F8:G8"/>
    <mergeCell ref="L8:M8"/>
    <mergeCell ref="N8:O8"/>
    <mergeCell ref="A8:C8"/>
    <mergeCell ref="A10:C10"/>
    <mergeCell ref="P8:Q9"/>
    <mergeCell ref="R8:S9"/>
    <mergeCell ref="A1:B1"/>
    <mergeCell ref="A2:B2"/>
    <mergeCell ref="A3:B3"/>
    <mergeCell ref="A4:B4"/>
    <mergeCell ref="A5:B5"/>
  </mergeCells>
  <conditionalFormatting sqref="P14:Q14">
    <cfRule type="cellIs" dxfId="1" priority="1" stopIfTrue="1" operator="lessThan">
      <formula>$W$14</formula>
    </cfRule>
    <cfRule type="cellIs" dxfId="0" priority="2" stopIfTrue="1" operator="greaterThan">
      <formula>$W$14</formula>
    </cfRule>
  </conditionalFormatting>
  <dataValidations count="2">
    <dataValidation type="list" allowBlank="1" showInputMessage="1" showErrorMessage="1" sqref="C1" xr:uid="{00000000-0002-0000-0400-000000000000}">
      <formula1>$Y$2:$Y$33</formula1>
    </dataValidation>
    <dataValidation type="list" allowBlank="1" showInputMessage="1" showErrorMessage="1" sqref="C2" xr:uid="{00000000-0002-0000-0400-000001000000}">
      <formula1>$Z$2:$Z$15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H60"/>
  <sheetViews>
    <sheetView zoomScale="70" zoomScaleNormal="70" workbookViewId="0">
      <pane xSplit="2" ySplit="9" topLeftCell="C15" activePane="bottomRight" state="frozen"/>
      <selection pane="bottomRight" activeCell="AE8" sqref="AE8"/>
      <selection pane="bottomLeft" activeCell="A10" sqref="A10"/>
      <selection pane="topRight" activeCell="C1" sqref="C1"/>
    </sheetView>
  </sheetViews>
  <sheetFormatPr defaultColWidth="8.140625" defaultRowHeight="12.6" outlineLevelRow="2"/>
  <cols>
    <col min="1" max="1" width="3.5703125" style="74" customWidth="1"/>
    <col min="2" max="2" width="36.85546875" style="74" customWidth="1"/>
    <col min="3" max="3" width="14.5703125" style="74" customWidth="1"/>
    <col min="4" max="4" width="7.140625" style="74" customWidth="1"/>
    <col min="5" max="5" width="14.5703125" style="74" customWidth="1"/>
    <col min="6" max="6" width="7.140625" style="74" customWidth="1"/>
    <col min="7" max="7" width="14.5703125" style="74" customWidth="1"/>
    <col min="8" max="8" width="7.140625" style="74" customWidth="1"/>
    <col min="9" max="9" width="14.5703125" style="74" customWidth="1"/>
    <col min="10" max="10" width="7.140625" style="74" customWidth="1"/>
    <col min="11" max="11" width="14.5703125" style="74" customWidth="1"/>
    <col min="12" max="12" width="7.140625" style="74" customWidth="1"/>
    <col min="13" max="13" width="14.5703125" style="74" customWidth="1"/>
    <col min="14" max="14" width="7.140625" style="74" customWidth="1"/>
    <col min="15" max="15" width="14.5703125" style="74" customWidth="1"/>
    <col min="16" max="16" width="7.140625" style="74" customWidth="1"/>
    <col min="17" max="17" width="14.5703125" style="74" customWidth="1"/>
    <col min="18" max="18" width="7.140625" style="74" customWidth="1"/>
    <col min="19" max="19" width="14.5703125" style="74" customWidth="1"/>
    <col min="20" max="20" width="7.140625" style="74" customWidth="1"/>
    <col min="21" max="21" width="14.5703125" style="74" customWidth="1"/>
    <col min="22" max="22" width="7.140625" style="74" customWidth="1"/>
    <col min="23" max="23" width="14.5703125" style="74" customWidth="1"/>
    <col min="24" max="24" width="7.140625" style="74" customWidth="1"/>
    <col min="25" max="25" width="14.5703125" style="74" customWidth="1"/>
    <col min="26" max="26" width="7.140625" style="74" customWidth="1"/>
    <col min="27" max="27" width="14.5703125" style="74" customWidth="1"/>
    <col min="28" max="28" width="7.140625" style="74" customWidth="1"/>
    <col min="29" max="29" width="14.5703125" style="74" customWidth="1"/>
    <col min="30" max="30" width="7.140625" style="74" customWidth="1"/>
    <col min="31" max="31" width="14.5703125" style="74" customWidth="1"/>
    <col min="32" max="32" width="7.140625" style="74" customWidth="1"/>
    <col min="33" max="33" width="14.5703125" style="74" customWidth="1"/>
    <col min="34" max="34" width="7.140625" style="74" customWidth="1"/>
  </cols>
  <sheetData>
    <row r="1" spans="1:34" ht="11.1" customHeight="1"/>
    <row r="2" spans="1:34" ht="11.1" customHeight="1" thickBot="1"/>
    <row r="3" spans="1:34" ht="12.95" customHeight="1">
      <c r="A3" s="361" t="s">
        <v>206</v>
      </c>
      <c r="B3" s="362"/>
      <c r="C3" s="367" t="s">
        <v>207</v>
      </c>
      <c r="D3" s="368"/>
      <c r="E3" s="369" t="s">
        <v>208</v>
      </c>
      <c r="F3" s="368"/>
      <c r="G3" s="369" t="s">
        <v>209</v>
      </c>
      <c r="H3" s="368"/>
      <c r="I3" s="352" t="s">
        <v>210</v>
      </c>
      <c r="J3" s="353"/>
      <c r="K3" s="367" t="s">
        <v>211</v>
      </c>
      <c r="L3" s="368"/>
      <c r="M3" s="369" t="s">
        <v>212</v>
      </c>
      <c r="N3" s="368"/>
      <c r="O3" s="369" t="s">
        <v>213</v>
      </c>
      <c r="P3" s="368"/>
      <c r="Q3" s="352" t="s">
        <v>214</v>
      </c>
      <c r="R3" s="353"/>
      <c r="S3" s="367" t="s">
        <v>215</v>
      </c>
      <c r="T3" s="368"/>
      <c r="U3" s="369" t="s">
        <v>216</v>
      </c>
      <c r="V3" s="368"/>
      <c r="W3" s="369" t="s">
        <v>217</v>
      </c>
      <c r="X3" s="368"/>
      <c r="Y3" s="352" t="s">
        <v>218</v>
      </c>
      <c r="Z3" s="353"/>
      <c r="AA3" s="367" t="s">
        <v>219</v>
      </c>
      <c r="AB3" s="368"/>
      <c r="AC3" s="369" t="s">
        <v>220</v>
      </c>
      <c r="AD3" s="368"/>
      <c r="AE3" s="369" t="s">
        <v>221</v>
      </c>
      <c r="AF3" s="368"/>
      <c r="AG3" s="352" t="s">
        <v>222</v>
      </c>
      <c r="AH3" s="353"/>
    </row>
    <row r="4" spans="1:34" ht="24" customHeight="1">
      <c r="A4" s="363"/>
      <c r="B4" s="364"/>
      <c r="C4" s="356"/>
      <c r="D4" s="357"/>
      <c r="E4" s="358"/>
      <c r="F4" s="357"/>
      <c r="G4" s="358"/>
      <c r="H4" s="357"/>
      <c r="I4" s="354"/>
      <c r="J4" s="355"/>
      <c r="K4" s="356"/>
      <c r="L4" s="357"/>
      <c r="M4" s="358"/>
      <c r="N4" s="357"/>
      <c r="O4" s="358"/>
      <c r="P4" s="357"/>
      <c r="Q4" s="354"/>
      <c r="R4" s="355"/>
      <c r="S4" s="356"/>
      <c r="T4" s="357"/>
      <c r="U4" s="358"/>
      <c r="V4" s="357"/>
      <c r="W4" s="358"/>
      <c r="X4" s="357"/>
      <c r="Y4" s="354"/>
      <c r="Z4" s="355"/>
      <c r="AA4" s="356"/>
      <c r="AB4" s="357"/>
      <c r="AC4" s="358"/>
      <c r="AD4" s="357"/>
      <c r="AE4" s="358"/>
      <c r="AF4" s="357"/>
      <c r="AG4" s="354"/>
      <c r="AH4" s="355"/>
    </row>
    <row r="5" spans="1:34" ht="11.1" customHeight="1">
      <c r="A5" s="365"/>
      <c r="B5" s="366"/>
      <c r="C5" s="161" t="s">
        <v>223</v>
      </c>
      <c r="D5" s="149" t="s">
        <v>175</v>
      </c>
      <c r="E5" s="149" t="s">
        <v>223</v>
      </c>
      <c r="F5" s="149" t="s">
        <v>175</v>
      </c>
      <c r="G5" s="149" t="s">
        <v>223</v>
      </c>
      <c r="H5" s="149" t="s">
        <v>175</v>
      </c>
      <c r="I5" s="149" t="s">
        <v>223</v>
      </c>
      <c r="J5" s="162" t="s">
        <v>175</v>
      </c>
      <c r="K5" s="161" t="s">
        <v>223</v>
      </c>
      <c r="L5" s="149" t="s">
        <v>175</v>
      </c>
      <c r="M5" s="149" t="s">
        <v>223</v>
      </c>
      <c r="N5" s="149" t="s">
        <v>175</v>
      </c>
      <c r="O5" s="149" t="s">
        <v>223</v>
      </c>
      <c r="P5" s="149" t="s">
        <v>175</v>
      </c>
      <c r="Q5" s="149" t="s">
        <v>223</v>
      </c>
      <c r="R5" s="162" t="s">
        <v>175</v>
      </c>
      <c r="S5" s="161" t="s">
        <v>223</v>
      </c>
      <c r="T5" s="149" t="s">
        <v>175</v>
      </c>
      <c r="U5" s="149" t="s">
        <v>223</v>
      </c>
      <c r="V5" s="149" t="s">
        <v>175</v>
      </c>
      <c r="W5" s="149" t="s">
        <v>223</v>
      </c>
      <c r="X5" s="149" t="s">
        <v>175</v>
      </c>
      <c r="Y5" s="149" t="s">
        <v>223</v>
      </c>
      <c r="Z5" s="162" t="s">
        <v>175</v>
      </c>
      <c r="AA5" s="161" t="s">
        <v>223</v>
      </c>
      <c r="AB5" s="149" t="s">
        <v>175</v>
      </c>
      <c r="AC5" s="149" t="s">
        <v>223</v>
      </c>
      <c r="AD5" s="149" t="s">
        <v>175</v>
      </c>
      <c r="AE5" s="149" t="s">
        <v>223</v>
      </c>
      <c r="AF5" s="149" t="s">
        <v>175</v>
      </c>
      <c r="AG5" s="149" t="s">
        <v>223</v>
      </c>
      <c r="AH5" s="162" t="s">
        <v>175</v>
      </c>
    </row>
    <row r="6" spans="1:34" s="74" customFormat="1" ht="19.5" customHeight="1">
      <c r="A6" s="359" t="s">
        <v>224</v>
      </c>
      <c r="B6" s="360"/>
      <c r="C6" s="204">
        <f>C7</f>
        <v>0</v>
      </c>
      <c r="D6" s="205">
        <v>100</v>
      </c>
      <c r="E6" s="206">
        <f>E7</f>
        <v>0</v>
      </c>
      <c r="F6" s="205">
        <v>100</v>
      </c>
      <c r="G6" s="206">
        <f>G7</f>
        <v>0</v>
      </c>
      <c r="H6" s="205">
        <v>100</v>
      </c>
      <c r="I6" s="206">
        <f>C6+E6+G6</f>
        <v>0</v>
      </c>
      <c r="J6" s="207">
        <v>100</v>
      </c>
      <c r="K6" s="204">
        <f>K7</f>
        <v>0</v>
      </c>
      <c r="L6" s="205">
        <v>100</v>
      </c>
      <c r="M6" s="206">
        <f>M7</f>
        <v>0</v>
      </c>
      <c r="N6" s="205">
        <v>100</v>
      </c>
      <c r="O6" s="206">
        <f>O7</f>
        <v>0</v>
      </c>
      <c r="P6" s="205">
        <v>100</v>
      </c>
      <c r="Q6" s="206">
        <f>K6+M6+O6</f>
        <v>0</v>
      </c>
      <c r="R6" s="207">
        <v>100</v>
      </c>
      <c r="S6" s="204">
        <f>S7</f>
        <v>0</v>
      </c>
      <c r="T6" s="205">
        <v>100</v>
      </c>
      <c r="U6" s="206">
        <f>U7</f>
        <v>0</v>
      </c>
      <c r="V6" s="205">
        <v>100</v>
      </c>
      <c r="W6" s="206">
        <f>W7</f>
        <v>0</v>
      </c>
      <c r="X6" s="205">
        <v>100</v>
      </c>
      <c r="Y6" s="206">
        <f>S6+U6+W6</f>
        <v>0</v>
      </c>
      <c r="Z6" s="207">
        <v>100</v>
      </c>
      <c r="AA6" s="204">
        <f>AA7</f>
        <v>0</v>
      </c>
      <c r="AB6" s="205">
        <v>100</v>
      </c>
      <c r="AC6" s="206">
        <f>AC7</f>
        <v>0</v>
      </c>
      <c r="AD6" s="205">
        <v>100</v>
      </c>
      <c r="AE6" s="206">
        <f>AE7</f>
        <v>0</v>
      </c>
      <c r="AF6" s="205">
        <v>100</v>
      </c>
      <c r="AG6" s="206">
        <f>AA6+AC6+AE6</f>
        <v>0</v>
      </c>
      <c r="AH6" s="207">
        <v>100</v>
      </c>
    </row>
    <row r="7" spans="1:34" s="74" customFormat="1" ht="11.1" customHeight="1">
      <c r="A7" s="374" t="s">
        <v>177</v>
      </c>
      <c r="B7" s="375"/>
      <c r="C7" s="208">
        <f>SUM(C8:C8)</f>
        <v>0</v>
      </c>
      <c r="D7" s="209">
        <v>100</v>
      </c>
      <c r="E7" s="210">
        <f>SUM(E8:E8)</f>
        <v>0</v>
      </c>
      <c r="F7" s="209">
        <v>100</v>
      </c>
      <c r="G7" s="210">
        <f>SUM(G8:G8)</f>
        <v>0</v>
      </c>
      <c r="H7" s="209">
        <v>100</v>
      </c>
      <c r="I7" s="210">
        <f t="shared" ref="I7:I47" si="0">C7+E7+G7</f>
        <v>0</v>
      </c>
      <c r="J7" s="211">
        <v>100</v>
      </c>
      <c r="K7" s="208">
        <f>SUM(K8:K8)</f>
        <v>0</v>
      </c>
      <c r="L7" s="209">
        <v>100</v>
      </c>
      <c r="M7" s="210">
        <f>SUM(M8:M8)</f>
        <v>0</v>
      </c>
      <c r="N7" s="209">
        <v>100</v>
      </c>
      <c r="O7" s="210">
        <f>SUM(O8:O8)</f>
        <v>0</v>
      </c>
      <c r="P7" s="209">
        <v>100</v>
      </c>
      <c r="Q7" s="210">
        <f t="shared" ref="Q7:Q27" si="1">K7+M7+O7</f>
        <v>0</v>
      </c>
      <c r="R7" s="211">
        <v>100</v>
      </c>
      <c r="S7" s="208">
        <f>SUM(S8:S8)</f>
        <v>0</v>
      </c>
      <c r="T7" s="209">
        <v>100</v>
      </c>
      <c r="U7" s="210">
        <f>SUM(U8:U8)</f>
        <v>0</v>
      </c>
      <c r="V7" s="209">
        <v>100</v>
      </c>
      <c r="W7" s="210">
        <f>SUM(W8:W8)</f>
        <v>0</v>
      </c>
      <c r="X7" s="209">
        <v>100</v>
      </c>
      <c r="Y7" s="210">
        <f t="shared" ref="Y7:Y27" si="2">S7+U7+W7</f>
        <v>0</v>
      </c>
      <c r="Z7" s="211">
        <v>100</v>
      </c>
      <c r="AA7" s="208">
        <f>SUM(AA8:AA8)</f>
        <v>0</v>
      </c>
      <c r="AB7" s="209">
        <v>100</v>
      </c>
      <c r="AC7" s="210">
        <f>SUM(AC8:AC8)</f>
        <v>0</v>
      </c>
      <c r="AD7" s="209">
        <v>100</v>
      </c>
      <c r="AE7" s="210">
        <f>SUM(AE8:AE8)</f>
        <v>0</v>
      </c>
      <c r="AF7" s="209">
        <v>100</v>
      </c>
      <c r="AG7" s="210">
        <f t="shared" ref="AG7:AG27" si="3">AA7+AC7+AE7</f>
        <v>0</v>
      </c>
      <c r="AH7" s="211">
        <v>100</v>
      </c>
    </row>
    <row r="8" spans="1:34" s="74" customFormat="1" ht="18.75" customHeight="1">
      <c r="A8" s="378" t="s">
        <v>225</v>
      </c>
      <c r="B8" s="379"/>
      <c r="C8" s="163"/>
      <c r="D8" s="146" t="e">
        <f t="shared" ref="D8:D39" si="4">C8/C$7*100</f>
        <v>#DIV/0!</v>
      </c>
      <c r="E8" s="145"/>
      <c r="F8" s="146" t="e">
        <f t="shared" ref="F8:F36" si="5">E8/E$7*100</f>
        <v>#DIV/0!</v>
      </c>
      <c r="G8" s="145"/>
      <c r="H8" s="146" t="e">
        <f t="shared" ref="H8:H25" si="6">G8/G$7*100</f>
        <v>#DIV/0!</v>
      </c>
      <c r="I8" s="145">
        <f t="shared" si="0"/>
        <v>0</v>
      </c>
      <c r="J8" s="164" t="e">
        <f t="shared" ref="J8:J27" si="7">I8/I$7*100</f>
        <v>#DIV/0!</v>
      </c>
      <c r="K8" s="163"/>
      <c r="L8" s="146" t="e">
        <f t="shared" ref="L8:L39" si="8">K8/K$7*100</f>
        <v>#DIV/0!</v>
      </c>
      <c r="M8" s="145"/>
      <c r="N8" s="146" t="e">
        <f t="shared" ref="N8:N36" si="9">M8/M$7*100</f>
        <v>#DIV/0!</v>
      </c>
      <c r="O8" s="145"/>
      <c r="P8" s="146" t="e">
        <f t="shared" ref="P8:P25" si="10">O8/O$7*100</f>
        <v>#DIV/0!</v>
      </c>
      <c r="Q8" s="145">
        <f t="shared" si="1"/>
        <v>0</v>
      </c>
      <c r="R8" s="164" t="e">
        <f t="shared" ref="R8:R27" si="11">Q8/Q$7*100</f>
        <v>#DIV/0!</v>
      </c>
      <c r="S8" s="163"/>
      <c r="T8" s="146" t="e">
        <f t="shared" ref="T8:T39" si="12">S8/S$7*100</f>
        <v>#DIV/0!</v>
      </c>
      <c r="U8" s="145"/>
      <c r="V8" s="146" t="e">
        <f t="shared" ref="V8:V36" si="13">U8/U$7*100</f>
        <v>#DIV/0!</v>
      </c>
      <c r="W8" s="145"/>
      <c r="X8" s="146" t="e">
        <f t="shared" ref="X8:X25" si="14">W8/W$7*100</f>
        <v>#DIV/0!</v>
      </c>
      <c r="Y8" s="145">
        <f t="shared" si="2"/>
        <v>0</v>
      </c>
      <c r="Z8" s="164" t="e">
        <f t="shared" ref="Z8:Z27" si="15">Y8/Y$7*100</f>
        <v>#DIV/0!</v>
      </c>
      <c r="AA8" s="163"/>
      <c r="AB8" s="146" t="e">
        <f t="shared" ref="AB8:AB39" si="16">AA8/AA$7*100</f>
        <v>#DIV/0!</v>
      </c>
      <c r="AC8" s="145"/>
      <c r="AD8" s="146" t="e">
        <f t="shared" ref="AD8:AD36" si="17">AC8/AC$7*100</f>
        <v>#DIV/0!</v>
      </c>
      <c r="AE8" s="145"/>
      <c r="AF8" s="146" t="e">
        <f t="shared" ref="AF8:AF25" si="18">AE8/AE$7*100</f>
        <v>#DIV/0!</v>
      </c>
      <c r="AG8" s="145">
        <f t="shared" si="3"/>
        <v>0</v>
      </c>
      <c r="AH8" s="164" t="e">
        <f t="shared" ref="AH8:AH27" si="19">AG8/AG$7*100</f>
        <v>#DIV/0!</v>
      </c>
    </row>
    <row r="9" spans="1:34" s="74" customFormat="1" ht="15" customHeight="1">
      <c r="A9" s="370" t="s">
        <v>226</v>
      </c>
      <c r="B9" s="371"/>
      <c r="C9" s="165">
        <f>C10+C17+C24</f>
        <v>0</v>
      </c>
      <c r="D9" s="148" t="e">
        <f t="shared" si="4"/>
        <v>#DIV/0!</v>
      </c>
      <c r="E9" s="147">
        <f>E10+E17+E24</f>
        <v>0</v>
      </c>
      <c r="F9" s="148" t="e">
        <f t="shared" si="5"/>
        <v>#DIV/0!</v>
      </c>
      <c r="G9" s="147">
        <f>G10+G17+G24</f>
        <v>0</v>
      </c>
      <c r="H9" s="148" t="e">
        <f t="shared" si="6"/>
        <v>#DIV/0!</v>
      </c>
      <c r="I9" s="147">
        <f t="shared" si="0"/>
        <v>0</v>
      </c>
      <c r="J9" s="166" t="e">
        <f t="shared" si="7"/>
        <v>#DIV/0!</v>
      </c>
      <c r="K9" s="165">
        <f>K10+K17+K24</f>
        <v>0</v>
      </c>
      <c r="L9" s="148" t="e">
        <f t="shared" si="8"/>
        <v>#DIV/0!</v>
      </c>
      <c r="M9" s="147">
        <f>M10+M17+M24</f>
        <v>0</v>
      </c>
      <c r="N9" s="148" t="e">
        <f t="shared" si="9"/>
        <v>#DIV/0!</v>
      </c>
      <c r="O9" s="147">
        <f>O10+O17+O24</f>
        <v>0</v>
      </c>
      <c r="P9" s="148" t="e">
        <f t="shared" si="10"/>
        <v>#DIV/0!</v>
      </c>
      <c r="Q9" s="147">
        <f t="shared" si="1"/>
        <v>0</v>
      </c>
      <c r="R9" s="166" t="e">
        <f t="shared" si="11"/>
        <v>#DIV/0!</v>
      </c>
      <c r="S9" s="165">
        <f>S10+S17+S24+S48+S51+S55</f>
        <v>0</v>
      </c>
      <c r="T9" s="148" t="e">
        <f t="shared" si="12"/>
        <v>#DIV/0!</v>
      </c>
      <c r="U9" s="147">
        <f>U10+U17+U24+U48+U51+U55</f>
        <v>0</v>
      </c>
      <c r="V9" s="148" t="e">
        <f t="shared" si="13"/>
        <v>#DIV/0!</v>
      </c>
      <c r="W9" s="147">
        <f>W10+W17+W24+W48+W51+W55</f>
        <v>0</v>
      </c>
      <c r="X9" s="148" t="e">
        <f t="shared" si="14"/>
        <v>#DIV/0!</v>
      </c>
      <c r="Y9" s="147">
        <f t="shared" si="2"/>
        <v>0</v>
      </c>
      <c r="Z9" s="166" t="e">
        <f t="shared" si="15"/>
        <v>#DIV/0!</v>
      </c>
      <c r="AA9" s="165">
        <f>AA10+AA17+AA24</f>
        <v>0</v>
      </c>
      <c r="AB9" s="148" t="e">
        <f t="shared" si="16"/>
        <v>#DIV/0!</v>
      </c>
      <c r="AC9" s="147">
        <f>AC10+AC17+AC24</f>
        <v>0</v>
      </c>
      <c r="AD9" s="148" t="e">
        <f t="shared" si="17"/>
        <v>#DIV/0!</v>
      </c>
      <c r="AE9" s="147">
        <f>AE10+AE17+AE24</f>
        <v>0</v>
      </c>
      <c r="AF9" s="148" t="e">
        <f t="shared" si="18"/>
        <v>#DIV/0!</v>
      </c>
      <c r="AG9" s="147">
        <f t="shared" si="3"/>
        <v>0</v>
      </c>
      <c r="AH9" s="166" t="e">
        <f t="shared" si="19"/>
        <v>#DIV/0!</v>
      </c>
    </row>
    <row r="10" spans="1:34" s="74" customFormat="1" ht="15" customHeight="1">
      <c r="A10" s="372" t="s">
        <v>30</v>
      </c>
      <c r="B10" s="373"/>
      <c r="C10" s="167">
        <f>SUM(C11:C16)</f>
        <v>0</v>
      </c>
      <c r="D10" s="151" t="e">
        <f t="shared" si="4"/>
        <v>#DIV/0!</v>
      </c>
      <c r="E10" s="150">
        <f>SUM(E11:E16)</f>
        <v>0</v>
      </c>
      <c r="F10" s="151" t="e">
        <f t="shared" si="5"/>
        <v>#DIV/0!</v>
      </c>
      <c r="G10" s="150">
        <f>SUM(G11:G16)</f>
        <v>0</v>
      </c>
      <c r="H10" s="151" t="e">
        <f t="shared" si="6"/>
        <v>#DIV/0!</v>
      </c>
      <c r="I10" s="150">
        <f t="shared" si="0"/>
        <v>0</v>
      </c>
      <c r="J10" s="168" t="e">
        <f t="shared" si="7"/>
        <v>#DIV/0!</v>
      </c>
      <c r="K10" s="167">
        <f>SUM(K11:K16)</f>
        <v>0</v>
      </c>
      <c r="L10" s="151" t="e">
        <f t="shared" si="8"/>
        <v>#DIV/0!</v>
      </c>
      <c r="M10" s="150">
        <f>SUM(M11:M16)</f>
        <v>0</v>
      </c>
      <c r="N10" s="151" t="e">
        <f t="shared" si="9"/>
        <v>#DIV/0!</v>
      </c>
      <c r="O10" s="150">
        <f>SUM(O11:O16)</f>
        <v>0</v>
      </c>
      <c r="P10" s="151" t="e">
        <f t="shared" si="10"/>
        <v>#DIV/0!</v>
      </c>
      <c r="Q10" s="150">
        <f t="shared" si="1"/>
        <v>0</v>
      </c>
      <c r="R10" s="168" t="e">
        <f t="shared" si="11"/>
        <v>#DIV/0!</v>
      </c>
      <c r="S10" s="167">
        <f>SUM(S11:S16)</f>
        <v>0</v>
      </c>
      <c r="T10" s="151" t="e">
        <f t="shared" si="12"/>
        <v>#DIV/0!</v>
      </c>
      <c r="U10" s="150">
        <f>SUM(U11:U16)</f>
        <v>0</v>
      </c>
      <c r="V10" s="151" t="e">
        <f t="shared" si="13"/>
        <v>#DIV/0!</v>
      </c>
      <c r="W10" s="150">
        <f>SUM(W11:W16)</f>
        <v>0</v>
      </c>
      <c r="X10" s="151" t="e">
        <f t="shared" si="14"/>
        <v>#DIV/0!</v>
      </c>
      <c r="Y10" s="150">
        <f t="shared" si="2"/>
        <v>0</v>
      </c>
      <c r="Z10" s="168" t="e">
        <f t="shared" si="15"/>
        <v>#DIV/0!</v>
      </c>
      <c r="AA10" s="167">
        <f>SUM(AA11:AA16)</f>
        <v>0</v>
      </c>
      <c r="AB10" s="151" t="e">
        <f t="shared" si="16"/>
        <v>#DIV/0!</v>
      </c>
      <c r="AC10" s="150">
        <f>SUM(AC11:AC16)</f>
        <v>0</v>
      </c>
      <c r="AD10" s="151" t="e">
        <f t="shared" si="17"/>
        <v>#DIV/0!</v>
      </c>
      <c r="AE10" s="150">
        <f>SUM(AE11:AE16)</f>
        <v>0</v>
      </c>
      <c r="AF10" s="151" t="e">
        <f t="shared" si="18"/>
        <v>#DIV/0!</v>
      </c>
      <c r="AG10" s="150">
        <f t="shared" si="3"/>
        <v>0</v>
      </c>
      <c r="AH10" s="168" t="e">
        <f t="shared" si="19"/>
        <v>#DIV/0!</v>
      </c>
    </row>
    <row r="11" spans="1:34" s="74" customFormat="1" ht="15" customHeight="1" outlineLevel="1">
      <c r="A11" s="350" t="s">
        <v>227</v>
      </c>
      <c r="B11" s="351"/>
      <c r="C11" s="169"/>
      <c r="D11" s="76" t="e">
        <f t="shared" si="4"/>
        <v>#DIV/0!</v>
      </c>
      <c r="E11" s="75"/>
      <c r="F11" s="76" t="e">
        <f t="shared" si="5"/>
        <v>#DIV/0!</v>
      </c>
      <c r="G11" s="75"/>
      <c r="H11" s="76" t="e">
        <f t="shared" si="6"/>
        <v>#DIV/0!</v>
      </c>
      <c r="I11" s="152">
        <f t="shared" si="0"/>
        <v>0</v>
      </c>
      <c r="J11" s="170" t="e">
        <f t="shared" si="7"/>
        <v>#DIV/0!</v>
      </c>
      <c r="K11" s="169"/>
      <c r="L11" s="76" t="e">
        <f t="shared" si="8"/>
        <v>#DIV/0!</v>
      </c>
      <c r="M11" s="75"/>
      <c r="N11" s="76" t="e">
        <f t="shared" si="9"/>
        <v>#DIV/0!</v>
      </c>
      <c r="O11" s="75"/>
      <c r="P11" s="76" t="e">
        <f t="shared" si="10"/>
        <v>#DIV/0!</v>
      </c>
      <c r="Q11" s="152">
        <f t="shared" si="1"/>
        <v>0</v>
      </c>
      <c r="R11" s="170" t="e">
        <f t="shared" si="11"/>
        <v>#DIV/0!</v>
      </c>
      <c r="S11" s="169"/>
      <c r="T11" s="76" t="e">
        <f t="shared" si="12"/>
        <v>#DIV/0!</v>
      </c>
      <c r="U11" s="75"/>
      <c r="V11" s="76" t="e">
        <f t="shared" si="13"/>
        <v>#DIV/0!</v>
      </c>
      <c r="W11" s="75"/>
      <c r="X11" s="76" t="e">
        <f t="shared" si="14"/>
        <v>#DIV/0!</v>
      </c>
      <c r="Y11" s="152">
        <f t="shared" si="2"/>
        <v>0</v>
      </c>
      <c r="Z11" s="170" t="e">
        <f t="shared" si="15"/>
        <v>#DIV/0!</v>
      </c>
      <c r="AA11" s="169"/>
      <c r="AB11" s="76" t="e">
        <f t="shared" si="16"/>
        <v>#DIV/0!</v>
      </c>
      <c r="AC11" s="75"/>
      <c r="AD11" s="76" t="e">
        <f t="shared" si="17"/>
        <v>#DIV/0!</v>
      </c>
      <c r="AE11" s="75"/>
      <c r="AF11" s="76" t="e">
        <f t="shared" si="18"/>
        <v>#DIV/0!</v>
      </c>
      <c r="AG11" s="152">
        <f t="shared" si="3"/>
        <v>0</v>
      </c>
      <c r="AH11" s="170" t="e">
        <f t="shared" si="19"/>
        <v>#DIV/0!</v>
      </c>
    </row>
    <row r="12" spans="1:34" s="74" customFormat="1" ht="15" customHeight="1" outlineLevel="1">
      <c r="A12" s="350" t="s">
        <v>228</v>
      </c>
      <c r="B12" s="351"/>
      <c r="C12" s="169"/>
      <c r="D12" s="76" t="e">
        <f t="shared" si="4"/>
        <v>#DIV/0!</v>
      </c>
      <c r="E12" s="75"/>
      <c r="F12" s="76" t="e">
        <f t="shared" si="5"/>
        <v>#DIV/0!</v>
      </c>
      <c r="G12" s="75"/>
      <c r="H12" s="76" t="e">
        <f t="shared" si="6"/>
        <v>#DIV/0!</v>
      </c>
      <c r="I12" s="153">
        <f t="shared" si="0"/>
        <v>0</v>
      </c>
      <c r="J12" s="170" t="e">
        <f t="shared" si="7"/>
        <v>#DIV/0!</v>
      </c>
      <c r="K12" s="169"/>
      <c r="L12" s="76" t="e">
        <f t="shared" si="8"/>
        <v>#DIV/0!</v>
      </c>
      <c r="M12" s="75"/>
      <c r="N12" s="76" t="e">
        <f t="shared" si="9"/>
        <v>#DIV/0!</v>
      </c>
      <c r="O12" s="75"/>
      <c r="P12" s="76" t="e">
        <f t="shared" si="10"/>
        <v>#DIV/0!</v>
      </c>
      <c r="Q12" s="153">
        <f t="shared" si="1"/>
        <v>0</v>
      </c>
      <c r="R12" s="170" t="e">
        <f t="shared" si="11"/>
        <v>#DIV/0!</v>
      </c>
      <c r="S12" s="169"/>
      <c r="T12" s="76" t="e">
        <f t="shared" si="12"/>
        <v>#DIV/0!</v>
      </c>
      <c r="U12" s="75"/>
      <c r="V12" s="76" t="e">
        <f t="shared" si="13"/>
        <v>#DIV/0!</v>
      </c>
      <c r="W12" s="75"/>
      <c r="X12" s="76" t="e">
        <f t="shared" si="14"/>
        <v>#DIV/0!</v>
      </c>
      <c r="Y12" s="153">
        <f t="shared" si="2"/>
        <v>0</v>
      </c>
      <c r="Z12" s="170" t="e">
        <f t="shared" si="15"/>
        <v>#DIV/0!</v>
      </c>
      <c r="AA12" s="169"/>
      <c r="AB12" s="76" t="e">
        <f t="shared" si="16"/>
        <v>#DIV/0!</v>
      </c>
      <c r="AC12" s="75"/>
      <c r="AD12" s="76" t="e">
        <f t="shared" si="17"/>
        <v>#DIV/0!</v>
      </c>
      <c r="AE12" s="75"/>
      <c r="AF12" s="76" t="e">
        <f t="shared" si="18"/>
        <v>#DIV/0!</v>
      </c>
      <c r="AG12" s="153">
        <f t="shared" si="3"/>
        <v>0</v>
      </c>
      <c r="AH12" s="170" t="e">
        <f t="shared" si="19"/>
        <v>#DIV/0!</v>
      </c>
    </row>
    <row r="13" spans="1:34" s="74" customFormat="1" ht="15" customHeight="1" outlineLevel="1">
      <c r="A13" s="350" t="s">
        <v>229</v>
      </c>
      <c r="B13" s="351"/>
      <c r="C13" s="169"/>
      <c r="D13" s="76" t="e">
        <f t="shared" si="4"/>
        <v>#DIV/0!</v>
      </c>
      <c r="E13" s="75"/>
      <c r="F13" s="76" t="e">
        <f t="shared" si="5"/>
        <v>#DIV/0!</v>
      </c>
      <c r="G13" s="75"/>
      <c r="H13" s="76" t="e">
        <f t="shared" si="6"/>
        <v>#DIV/0!</v>
      </c>
      <c r="I13" s="153">
        <f t="shared" si="0"/>
        <v>0</v>
      </c>
      <c r="J13" s="170" t="e">
        <f t="shared" si="7"/>
        <v>#DIV/0!</v>
      </c>
      <c r="K13" s="169"/>
      <c r="L13" s="76" t="e">
        <f t="shared" si="8"/>
        <v>#DIV/0!</v>
      </c>
      <c r="M13" s="75"/>
      <c r="N13" s="76" t="e">
        <f t="shared" si="9"/>
        <v>#DIV/0!</v>
      </c>
      <c r="O13" s="75"/>
      <c r="P13" s="76" t="e">
        <f t="shared" si="10"/>
        <v>#DIV/0!</v>
      </c>
      <c r="Q13" s="153">
        <f t="shared" si="1"/>
        <v>0</v>
      </c>
      <c r="R13" s="170" t="e">
        <f t="shared" si="11"/>
        <v>#DIV/0!</v>
      </c>
      <c r="S13" s="169"/>
      <c r="T13" s="76" t="e">
        <f t="shared" si="12"/>
        <v>#DIV/0!</v>
      </c>
      <c r="U13" s="75"/>
      <c r="V13" s="76" t="e">
        <f t="shared" si="13"/>
        <v>#DIV/0!</v>
      </c>
      <c r="W13" s="75"/>
      <c r="X13" s="76" t="e">
        <f t="shared" si="14"/>
        <v>#DIV/0!</v>
      </c>
      <c r="Y13" s="153">
        <f t="shared" si="2"/>
        <v>0</v>
      </c>
      <c r="Z13" s="170" t="e">
        <f t="shared" si="15"/>
        <v>#DIV/0!</v>
      </c>
      <c r="AA13" s="169"/>
      <c r="AB13" s="76" t="e">
        <f t="shared" si="16"/>
        <v>#DIV/0!</v>
      </c>
      <c r="AC13" s="75"/>
      <c r="AD13" s="76" t="e">
        <f t="shared" si="17"/>
        <v>#DIV/0!</v>
      </c>
      <c r="AE13" s="75"/>
      <c r="AF13" s="76" t="e">
        <f t="shared" si="18"/>
        <v>#DIV/0!</v>
      </c>
      <c r="AG13" s="153">
        <f t="shared" si="3"/>
        <v>0</v>
      </c>
      <c r="AH13" s="170" t="e">
        <f t="shared" si="19"/>
        <v>#DIV/0!</v>
      </c>
    </row>
    <row r="14" spans="1:34" s="74" customFormat="1" ht="15" customHeight="1" outlineLevel="1">
      <c r="A14" s="350" t="s">
        <v>230</v>
      </c>
      <c r="B14" s="351"/>
      <c r="C14" s="169"/>
      <c r="D14" s="76" t="e">
        <f t="shared" si="4"/>
        <v>#DIV/0!</v>
      </c>
      <c r="E14" s="75"/>
      <c r="F14" s="76" t="e">
        <f t="shared" si="5"/>
        <v>#DIV/0!</v>
      </c>
      <c r="G14" s="75"/>
      <c r="H14" s="76" t="e">
        <f t="shared" si="6"/>
        <v>#DIV/0!</v>
      </c>
      <c r="I14" s="152">
        <f t="shared" si="0"/>
        <v>0</v>
      </c>
      <c r="J14" s="170" t="e">
        <f t="shared" si="7"/>
        <v>#DIV/0!</v>
      </c>
      <c r="K14" s="169"/>
      <c r="L14" s="76" t="e">
        <f t="shared" si="8"/>
        <v>#DIV/0!</v>
      </c>
      <c r="M14" s="75"/>
      <c r="N14" s="76" t="e">
        <f t="shared" si="9"/>
        <v>#DIV/0!</v>
      </c>
      <c r="O14" s="75"/>
      <c r="P14" s="76" t="e">
        <f t="shared" si="10"/>
        <v>#DIV/0!</v>
      </c>
      <c r="Q14" s="152">
        <f t="shared" si="1"/>
        <v>0</v>
      </c>
      <c r="R14" s="170" t="e">
        <f t="shared" si="11"/>
        <v>#DIV/0!</v>
      </c>
      <c r="S14" s="169"/>
      <c r="T14" s="76" t="e">
        <f t="shared" si="12"/>
        <v>#DIV/0!</v>
      </c>
      <c r="U14" s="75"/>
      <c r="V14" s="76" t="e">
        <f t="shared" si="13"/>
        <v>#DIV/0!</v>
      </c>
      <c r="W14" s="75"/>
      <c r="X14" s="76" t="e">
        <f t="shared" si="14"/>
        <v>#DIV/0!</v>
      </c>
      <c r="Y14" s="152">
        <f t="shared" si="2"/>
        <v>0</v>
      </c>
      <c r="Z14" s="170" t="e">
        <f t="shared" si="15"/>
        <v>#DIV/0!</v>
      </c>
      <c r="AA14" s="169"/>
      <c r="AB14" s="76" t="e">
        <f t="shared" si="16"/>
        <v>#DIV/0!</v>
      </c>
      <c r="AC14" s="75"/>
      <c r="AD14" s="76" t="e">
        <f t="shared" si="17"/>
        <v>#DIV/0!</v>
      </c>
      <c r="AE14" s="75"/>
      <c r="AF14" s="76" t="e">
        <f t="shared" si="18"/>
        <v>#DIV/0!</v>
      </c>
      <c r="AG14" s="152">
        <f t="shared" si="3"/>
        <v>0</v>
      </c>
      <c r="AH14" s="170" t="e">
        <f t="shared" si="19"/>
        <v>#DIV/0!</v>
      </c>
    </row>
    <row r="15" spans="1:34" s="74" customFormat="1" ht="15" customHeight="1" outlineLevel="1">
      <c r="A15" s="350" t="s">
        <v>231</v>
      </c>
      <c r="B15" s="351"/>
      <c r="C15" s="171"/>
      <c r="D15" s="76" t="e">
        <f t="shared" si="4"/>
        <v>#DIV/0!</v>
      </c>
      <c r="E15" s="77"/>
      <c r="F15" s="76" t="e">
        <f t="shared" si="5"/>
        <v>#DIV/0!</v>
      </c>
      <c r="G15" s="77"/>
      <c r="H15" s="76" t="e">
        <f t="shared" si="6"/>
        <v>#DIV/0!</v>
      </c>
      <c r="I15" s="152">
        <f t="shared" si="0"/>
        <v>0</v>
      </c>
      <c r="J15" s="170" t="e">
        <f t="shared" si="7"/>
        <v>#DIV/0!</v>
      </c>
      <c r="K15" s="171"/>
      <c r="L15" s="76" t="e">
        <f t="shared" si="8"/>
        <v>#DIV/0!</v>
      </c>
      <c r="M15" s="77"/>
      <c r="N15" s="76" t="e">
        <f t="shared" si="9"/>
        <v>#DIV/0!</v>
      </c>
      <c r="O15" s="77"/>
      <c r="P15" s="76" t="e">
        <f t="shared" si="10"/>
        <v>#DIV/0!</v>
      </c>
      <c r="Q15" s="152">
        <f t="shared" si="1"/>
        <v>0</v>
      </c>
      <c r="R15" s="170" t="e">
        <f t="shared" si="11"/>
        <v>#DIV/0!</v>
      </c>
      <c r="S15" s="171"/>
      <c r="T15" s="76" t="e">
        <f t="shared" si="12"/>
        <v>#DIV/0!</v>
      </c>
      <c r="U15" s="77"/>
      <c r="V15" s="76" t="e">
        <f t="shared" si="13"/>
        <v>#DIV/0!</v>
      </c>
      <c r="W15" s="77"/>
      <c r="X15" s="76" t="e">
        <f t="shared" si="14"/>
        <v>#DIV/0!</v>
      </c>
      <c r="Y15" s="152">
        <f t="shared" si="2"/>
        <v>0</v>
      </c>
      <c r="Z15" s="170" t="e">
        <f t="shared" si="15"/>
        <v>#DIV/0!</v>
      </c>
      <c r="AA15" s="171"/>
      <c r="AB15" s="76" t="e">
        <f t="shared" si="16"/>
        <v>#DIV/0!</v>
      </c>
      <c r="AC15" s="77"/>
      <c r="AD15" s="76" t="e">
        <f t="shared" si="17"/>
        <v>#DIV/0!</v>
      </c>
      <c r="AE15" s="77"/>
      <c r="AF15" s="76" t="e">
        <f t="shared" si="18"/>
        <v>#DIV/0!</v>
      </c>
      <c r="AG15" s="152">
        <f t="shared" si="3"/>
        <v>0</v>
      </c>
      <c r="AH15" s="170" t="e">
        <f t="shared" si="19"/>
        <v>#DIV/0!</v>
      </c>
    </row>
    <row r="16" spans="1:34" s="74" customFormat="1" ht="15" customHeight="1" outlineLevel="1">
      <c r="A16" s="350" t="s">
        <v>232</v>
      </c>
      <c r="B16" s="351"/>
      <c r="C16" s="169"/>
      <c r="D16" s="76" t="e">
        <f t="shared" si="4"/>
        <v>#DIV/0!</v>
      </c>
      <c r="E16" s="75"/>
      <c r="F16" s="76" t="e">
        <f t="shared" si="5"/>
        <v>#DIV/0!</v>
      </c>
      <c r="G16" s="75"/>
      <c r="H16" s="76" t="e">
        <f t="shared" si="6"/>
        <v>#DIV/0!</v>
      </c>
      <c r="I16" s="152">
        <f t="shared" si="0"/>
        <v>0</v>
      </c>
      <c r="J16" s="170" t="e">
        <f t="shared" si="7"/>
        <v>#DIV/0!</v>
      </c>
      <c r="K16" s="169"/>
      <c r="L16" s="76" t="e">
        <f t="shared" si="8"/>
        <v>#DIV/0!</v>
      </c>
      <c r="M16" s="75"/>
      <c r="N16" s="76" t="e">
        <f t="shared" si="9"/>
        <v>#DIV/0!</v>
      </c>
      <c r="O16" s="75"/>
      <c r="P16" s="76" t="e">
        <f t="shared" si="10"/>
        <v>#DIV/0!</v>
      </c>
      <c r="Q16" s="152">
        <f t="shared" si="1"/>
        <v>0</v>
      </c>
      <c r="R16" s="170" t="e">
        <f t="shared" si="11"/>
        <v>#DIV/0!</v>
      </c>
      <c r="S16" s="169"/>
      <c r="T16" s="76" t="e">
        <f t="shared" si="12"/>
        <v>#DIV/0!</v>
      </c>
      <c r="U16" s="75"/>
      <c r="V16" s="76" t="e">
        <f t="shared" si="13"/>
        <v>#DIV/0!</v>
      </c>
      <c r="W16" s="75"/>
      <c r="X16" s="76" t="e">
        <f t="shared" si="14"/>
        <v>#DIV/0!</v>
      </c>
      <c r="Y16" s="152">
        <f t="shared" si="2"/>
        <v>0</v>
      </c>
      <c r="Z16" s="170" t="e">
        <f t="shared" si="15"/>
        <v>#DIV/0!</v>
      </c>
      <c r="AA16" s="169"/>
      <c r="AB16" s="76" t="e">
        <f t="shared" si="16"/>
        <v>#DIV/0!</v>
      </c>
      <c r="AC16" s="75"/>
      <c r="AD16" s="76" t="e">
        <f t="shared" si="17"/>
        <v>#DIV/0!</v>
      </c>
      <c r="AE16" s="75"/>
      <c r="AF16" s="76" t="e">
        <f t="shared" si="18"/>
        <v>#DIV/0!</v>
      </c>
      <c r="AG16" s="152">
        <f t="shared" si="3"/>
        <v>0</v>
      </c>
      <c r="AH16" s="170" t="e">
        <f t="shared" si="19"/>
        <v>#DIV/0!</v>
      </c>
    </row>
    <row r="17" spans="1:34" s="74" customFormat="1" ht="15" customHeight="1">
      <c r="A17" s="372" t="s">
        <v>38</v>
      </c>
      <c r="B17" s="373"/>
      <c r="C17" s="167">
        <f>SUM(C18:C23)</f>
        <v>0</v>
      </c>
      <c r="D17" s="151" t="e">
        <f t="shared" si="4"/>
        <v>#DIV/0!</v>
      </c>
      <c r="E17" s="150">
        <f>SUM(E18:E23)</f>
        <v>0</v>
      </c>
      <c r="F17" s="151" t="e">
        <f t="shared" si="5"/>
        <v>#DIV/0!</v>
      </c>
      <c r="G17" s="150">
        <f>SUM(G18:G23)</f>
        <v>0</v>
      </c>
      <c r="H17" s="151" t="e">
        <f t="shared" si="6"/>
        <v>#DIV/0!</v>
      </c>
      <c r="I17" s="150">
        <f t="shared" si="0"/>
        <v>0</v>
      </c>
      <c r="J17" s="168" t="e">
        <f t="shared" si="7"/>
        <v>#DIV/0!</v>
      </c>
      <c r="K17" s="167">
        <f>SUM(K18:K23)</f>
        <v>0</v>
      </c>
      <c r="L17" s="151" t="e">
        <f t="shared" si="8"/>
        <v>#DIV/0!</v>
      </c>
      <c r="M17" s="150">
        <f>SUM(M18:M23)</f>
        <v>0</v>
      </c>
      <c r="N17" s="151" t="e">
        <f t="shared" si="9"/>
        <v>#DIV/0!</v>
      </c>
      <c r="O17" s="150">
        <f>SUM(O18:O23)</f>
        <v>0</v>
      </c>
      <c r="P17" s="151" t="e">
        <f t="shared" si="10"/>
        <v>#DIV/0!</v>
      </c>
      <c r="Q17" s="150">
        <f t="shared" si="1"/>
        <v>0</v>
      </c>
      <c r="R17" s="168" t="e">
        <f t="shared" si="11"/>
        <v>#DIV/0!</v>
      </c>
      <c r="S17" s="167">
        <f>SUM(S18:S23)</f>
        <v>0</v>
      </c>
      <c r="T17" s="151" t="e">
        <f t="shared" si="12"/>
        <v>#DIV/0!</v>
      </c>
      <c r="U17" s="150">
        <f>SUM(U18:U23)</f>
        <v>0</v>
      </c>
      <c r="V17" s="151" t="e">
        <f t="shared" si="13"/>
        <v>#DIV/0!</v>
      </c>
      <c r="W17" s="150">
        <f>SUM(W18:W23)</f>
        <v>0</v>
      </c>
      <c r="X17" s="151" t="e">
        <f t="shared" si="14"/>
        <v>#DIV/0!</v>
      </c>
      <c r="Y17" s="150">
        <f t="shared" si="2"/>
        <v>0</v>
      </c>
      <c r="Z17" s="168" t="e">
        <f t="shared" si="15"/>
        <v>#DIV/0!</v>
      </c>
      <c r="AA17" s="167">
        <f>SUM(AA18:AA23)</f>
        <v>0</v>
      </c>
      <c r="AB17" s="151" t="e">
        <f t="shared" si="16"/>
        <v>#DIV/0!</v>
      </c>
      <c r="AC17" s="150">
        <f>SUM(AC18:AC23)</f>
        <v>0</v>
      </c>
      <c r="AD17" s="151" t="e">
        <f t="shared" si="17"/>
        <v>#DIV/0!</v>
      </c>
      <c r="AE17" s="150">
        <f>SUM(AE18:AE23)</f>
        <v>0</v>
      </c>
      <c r="AF17" s="151" t="e">
        <f t="shared" si="18"/>
        <v>#DIV/0!</v>
      </c>
      <c r="AG17" s="150">
        <f t="shared" si="3"/>
        <v>0</v>
      </c>
      <c r="AH17" s="168" t="e">
        <f t="shared" si="19"/>
        <v>#DIV/0!</v>
      </c>
    </row>
    <row r="18" spans="1:34" s="74" customFormat="1" ht="15" customHeight="1" outlineLevel="1">
      <c r="A18" s="350" t="s">
        <v>233</v>
      </c>
      <c r="B18" s="351"/>
      <c r="C18" s="171"/>
      <c r="D18" s="76" t="e">
        <f t="shared" si="4"/>
        <v>#DIV/0!</v>
      </c>
      <c r="E18" s="77"/>
      <c r="F18" s="76" t="e">
        <f t="shared" si="5"/>
        <v>#DIV/0!</v>
      </c>
      <c r="G18" s="77"/>
      <c r="H18" s="76" t="e">
        <f t="shared" si="6"/>
        <v>#DIV/0!</v>
      </c>
      <c r="I18" s="152">
        <f t="shared" si="0"/>
        <v>0</v>
      </c>
      <c r="J18" s="170" t="e">
        <f t="shared" si="7"/>
        <v>#DIV/0!</v>
      </c>
      <c r="K18" s="171"/>
      <c r="L18" s="76" t="e">
        <f t="shared" si="8"/>
        <v>#DIV/0!</v>
      </c>
      <c r="M18" s="77"/>
      <c r="N18" s="76" t="e">
        <f t="shared" si="9"/>
        <v>#DIV/0!</v>
      </c>
      <c r="O18" s="77"/>
      <c r="P18" s="76" t="e">
        <f t="shared" si="10"/>
        <v>#DIV/0!</v>
      </c>
      <c r="Q18" s="152">
        <f t="shared" si="1"/>
        <v>0</v>
      </c>
      <c r="R18" s="170" t="e">
        <f t="shared" si="11"/>
        <v>#DIV/0!</v>
      </c>
      <c r="S18" s="171"/>
      <c r="T18" s="76" t="e">
        <f t="shared" si="12"/>
        <v>#DIV/0!</v>
      </c>
      <c r="U18" s="77"/>
      <c r="V18" s="76" t="e">
        <f t="shared" si="13"/>
        <v>#DIV/0!</v>
      </c>
      <c r="W18" s="77"/>
      <c r="X18" s="76" t="e">
        <f t="shared" si="14"/>
        <v>#DIV/0!</v>
      </c>
      <c r="Y18" s="152">
        <f t="shared" si="2"/>
        <v>0</v>
      </c>
      <c r="Z18" s="170" t="e">
        <f t="shared" si="15"/>
        <v>#DIV/0!</v>
      </c>
      <c r="AA18" s="171"/>
      <c r="AB18" s="76" t="e">
        <f t="shared" si="16"/>
        <v>#DIV/0!</v>
      </c>
      <c r="AC18" s="77"/>
      <c r="AD18" s="76" t="e">
        <f t="shared" si="17"/>
        <v>#DIV/0!</v>
      </c>
      <c r="AE18" s="77"/>
      <c r="AF18" s="76" t="e">
        <f t="shared" si="18"/>
        <v>#DIV/0!</v>
      </c>
      <c r="AG18" s="152">
        <f t="shared" si="3"/>
        <v>0</v>
      </c>
      <c r="AH18" s="170" t="e">
        <f t="shared" si="19"/>
        <v>#DIV/0!</v>
      </c>
    </row>
    <row r="19" spans="1:34" s="74" customFormat="1" ht="15" customHeight="1" outlineLevel="1">
      <c r="A19" s="350" t="s">
        <v>234</v>
      </c>
      <c r="B19" s="351"/>
      <c r="C19" s="171"/>
      <c r="D19" s="76" t="e">
        <f t="shared" si="4"/>
        <v>#DIV/0!</v>
      </c>
      <c r="E19" s="77"/>
      <c r="F19" s="76" t="e">
        <f t="shared" si="5"/>
        <v>#DIV/0!</v>
      </c>
      <c r="G19" s="77"/>
      <c r="H19" s="76" t="e">
        <f t="shared" si="6"/>
        <v>#DIV/0!</v>
      </c>
      <c r="I19" s="152">
        <f t="shared" si="0"/>
        <v>0</v>
      </c>
      <c r="J19" s="170" t="e">
        <f t="shared" si="7"/>
        <v>#DIV/0!</v>
      </c>
      <c r="K19" s="171"/>
      <c r="L19" s="76" t="e">
        <f t="shared" si="8"/>
        <v>#DIV/0!</v>
      </c>
      <c r="M19" s="77"/>
      <c r="N19" s="76" t="e">
        <f t="shared" si="9"/>
        <v>#DIV/0!</v>
      </c>
      <c r="O19" s="77"/>
      <c r="P19" s="76" t="e">
        <f t="shared" si="10"/>
        <v>#DIV/0!</v>
      </c>
      <c r="Q19" s="152">
        <f t="shared" si="1"/>
        <v>0</v>
      </c>
      <c r="R19" s="170" t="e">
        <f t="shared" si="11"/>
        <v>#DIV/0!</v>
      </c>
      <c r="S19" s="171"/>
      <c r="T19" s="76" t="e">
        <f t="shared" si="12"/>
        <v>#DIV/0!</v>
      </c>
      <c r="U19" s="77"/>
      <c r="V19" s="76" t="e">
        <f t="shared" si="13"/>
        <v>#DIV/0!</v>
      </c>
      <c r="W19" s="77"/>
      <c r="X19" s="76" t="e">
        <f t="shared" si="14"/>
        <v>#DIV/0!</v>
      </c>
      <c r="Y19" s="152">
        <f t="shared" si="2"/>
        <v>0</v>
      </c>
      <c r="Z19" s="170" t="e">
        <f t="shared" si="15"/>
        <v>#DIV/0!</v>
      </c>
      <c r="AA19" s="171"/>
      <c r="AB19" s="76" t="e">
        <f t="shared" si="16"/>
        <v>#DIV/0!</v>
      </c>
      <c r="AC19" s="77"/>
      <c r="AD19" s="76" t="e">
        <f t="shared" si="17"/>
        <v>#DIV/0!</v>
      </c>
      <c r="AE19" s="77"/>
      <c r="AF19" s="76" t="e">
        <f t="shared" si="18"/>
        <v>#DIV/0!</v>
      </c>
      <c r="AG19" s="152">
        <f t="shared" si="3"/>
        <v>0</v>
      </c>
      <c r="AH19" s="170" t="e">
        <f t="shared" si="19"/>
        <v>#DIV/0!</v>
      </c>
    </row>
    <row r="20" spans="1:34" s="74" customFormat="1" ht="15" customHeight="1" outlineLevel="1">
      <c r="A20" s="350" t="s">
        <v>235</v>
      </c>
      <c r="B20" s="351"/>
      <c r="C20" s="171"/>
      <c r="D20" s="76" t="e">
        <f t="shared" si="4"/>
        <v>#DIV/0!</v>
      </c>
      <c r="E20" s="77"/>
      <c r="F20" s="76" t="e">
        <f t="shared" si="5"/>
        <v>#DIV/0!</v>
      </c>
      <c r="G20" s="77"/>
      <c r="H20" s="76" t="e">
        <f t="shared" si="6"/>
        <v>#DIV/0!</v>
      </c>
      <c r="I20" s="152">
        <f t="shared" si="0"/>
        <v>0</v>
      </c>
      <c r="J20" s="170" t="e">
        <f t="shared" si="7"/>
        <v>#DIV/0!</v>
      </c>
      <c r="K20" s="171"/>
      <c r="L20" s="76" t="e">
        <f t="shared" si="8"/>
        <v>#DIV/0!</v>
      </c>
      <c r="M20" s="77"/>
      <c r="N20" s="76" t="e">
        <f t="shared" si="9"/>
        <v>#DIV/0!</v>
      </c>
      <c r="O20" s="77"/>
      <c r="P20" s="76" t="e">
        <f t="shared" si="10"/>
        <v>#DIV/0!</v>
      </c>
      <c r="Q20" s="152">
        <f t="shared" si="1"/>
        <v>0</v>
      </c>
      <c r="R20" s="170" t="e">
        <f t="shared" si="11"/>
        <v>#DIV/0!</v>
      </c>
      <c r="S20" s="171"/>
      <c r="T20" s="76" t="e">
        <f t="shared" si="12"/>
        <v>#DIV/0!</v>
      </c>
      <c r="U20" s="77"/>
      <c r="V20" s="76" t="e">
        <f t="shared" si="13"/>
        <v>#DIV/0!</v>
      </c>
      <c r="W20" s="77"/>
      <c r="X20" s="76" t="e">
        <f t="shared" si="14"/>
        <v>#DIV/0!</v>
      </c>
      <c r="Y20" s="152">
        <f t="shared" si="2"/>
        <v>0</v>
      </c>
      <c r="Z20" s="170" t="e">
        <f t="shared" si="15"/>
        <v>#DIV/0!</v>
      </c>
      <c r="AA20" s="171"/>
      <c r="AB20" s="76" t="e">
        <f t="shared" si="16"/>
        <v>#DIV/0!</v>
      </c>
      <c r="AC20" s="77"/>
      <c r="AD20" s="76" t="e">
        <f t="shared" si="17"/>
        <v>#DIV/0!</v>
      </c>
      <c r="AE20" s="77"/>
      <c r="AF20" s="76" t="e">
        <f t="shared" si="18"/>
        <v>#DIV/0!</v>
      </c>
      <c r="AG20" s="152">
        <f t="shared" si="3"/>
        <v>0</v>
      </c>
      <c r="AH20" s="170" t="e">
        <f t="shared" si="19"/>
        <v>#DIV/0!</v>
      </c>
    </row>
    <row r="21" spans="1:34" s="74" customFormat="1" ht="15" customHeight="1" outlineLevel="1">
      <c r="A21" s="350" t="s">
        <v>236</v>
      </c>
      <c r="B21" s="351"/>
      <c r="C21" s="169"/>
      <c r="D21" s="76" t="e">
        <f t="shared" si="4"/>
        <v>#DIV/0!</v>
      </c>
      <c r="E21" s="75"/>
      <c r="F21" s="76" t="e">
        <f t="shared" si="5"/>
        <v>#DIV/0!</v>
      </c>
      <c r="G21" s="75"/>
      <c r="H21" s="76" t="e">
        <f t="shared" si="6"/>
        <v>#DIV/0!</v>
      </c>
      <c r="I21" s="153">
        <f t="shared" si="0"/>
        <v>0</v>
      </c>
      <c r="J21" s="170" t="e">
        <f t="shared" si="7"/>
        <v>#DIV/0!</v>
      </c>
      <c r="K21" s="169"/>
      <c r="L21" s="76" t="e">
        <f t="shared" si="8"/>
        <v>#DIV/0!</v>
      </c>
      <c r="M21" s="75"/>
      <c r="N21" s="76" t="e">
        <f t="shared" si="9"/>
        <v>#DIV/0!</v>
      </c>
      <c r="O21" s="75"/>
      <c r="P21" s="76" t="e">
        <f t="shared" si="10"/>
        <v>#DIV/0!</v>
      </c>
      <c r="Q21" s="153">
        <f t="shared" si="1"/>
        <v>0</v>
      </c>
      <c r="R21" s="170" t="e">
        <f t="shared" si="11"/>
        <v>#DIV/0!</v>
      </c>
      <c r="S21" s="169"/>
      <c r="T21" s="76" t="e">
        <f t="shared" si="12"/>
        <v>#DIV/0!</v>
      </c>
      <c r="U21" s="75"/>
      <c r="V21" s="76" t="e">
        <f t="shared" si="13"/>
        <v>#DIV/0!</v>
      </c>
      <c r="W21" s="75"/>
      <c r="X21" s="76" t="e">
        <f t="shared" si="14"/>
        <v>#DIV/0!</v>
      </c>
      <c r="Y21" s="153">
        <f t="shared" si="2"/>
        <v>0</v>
      </c>
      <c r="Z21" s="170" t="e">
        <f t="shared" si="15"/>
        <v>#DIV/0!</v>
      </c>
      <c r="AA21" s="169"/>
      <c r="AB21" s="76" t="e">
        <f t="shared" si="16"/>
        <v>#DIV/0!</v>
      </c>
      <c r="AC21" s="75"/>
      <c r="AD21" s="76" t="e">
        <f t="shared" si="17"/>
        <v>#DIV/0!</v>
      </c>
      <c r="AE21" s="75"/>
      <c r="AF21" s="76" t="e">
        <f t="shared" si="18"/>
        <v>#DIV/0!</v>
      </c>
      <c r="AG21" s="153">
        <f t="shared" si="3"/>
        <v>0</v>
      </c>
      <c r="AH21" s="170" t="e">
        <f t="shared" si="19"/>
        <v>#DIV/0!</v>
      </c>
    </row>
    <row r="22" spans="1:34" s="74" customFormat="1" ht="15" customHeight="1" outlineLevel="1">
      <c r="A22" s="350" t="s">
        <v>237</v>
      </c>
      <c r="B22" s="351"/>
      <c r="C22" s="169"/>
      <c r="D22" s="76" t="e">
        <f t="shared" si="4"/>
        <v>#DIV/0!</v>
      </c>
      <c r="E22" s="75"/>
      <c r="F22" s="76" t="e">
        <f t="shared" si="5"/>
        <v>#DIV/0!</v>
      </c>
      <c r="G22" s="75"/>
      <c r="H22" s="76" t="e">
        <f t="shared" si="6"/>
        <v>#DIV/0!</v>
      </c>
      <c r="I22" s="153">
        <f t="shared" si="0"/>
        <v>0</v>
      </c>
      <c r="J22" s="170" t="e">
        <f t="shared" si="7"/>
        <v>#DIV/0!</v>
      </c>
      <c r="K22" s="169"/>
      <c r="L22" s="76" t="e">
        <f t="shared" si="8"/>
        <v>#DIV/0!</v>
      </c>
      <c r="M22" s="75"/>
      <c r="N22" s="76" t="e">
        <f t="shared" si="9"/>
        <v>#DIV/0!</v>
      </c>
      <c r="O22" s="75"/>
      <c r="P22" s="76" t="e">
        <f t="shared" si="10"/>
        <v>#DIV/0!</v>
      </c>
      <c r="Q22" s="153">
        <f t="shared" si="1"/>
        <v>0</v>
      </c>
      <c r="R22" s="170" t="e">
        <f t="shared" si="11"/>
        <v>#DIV/0!</v>
      </c>
      <c r="S22" s="169"/>
      <c r="T22" s="76" t="e">
        <f t="shared" si="12"/>
        <v>#DIV/0!</v>
      </c>
      <c r="U22" s="75"/>
      <c r="V22" s="76" t="e">
        <f t="shared" si="13"/>
        <v>#DIV/0!</v>
      </c>
      <c r="W22" s="75"/>
      <c r="X22" s="76" t="e">
        <f t="shared" si="14"/>
        <v>#DIV/0!</v>
      </c>
      <c r="Y22" s="153">
        <f t="shared" si="2"/>
        <v>0</v>
      </c>
      <c r="Z22" s="170" t="e">
        <f t="shared" si="15"/>
        <v>#DIV/0!</v>
      </c>
      <c r="AA22" s="169"/>
      <c r="AB22" s="76" t="e">
        <f t="shared" si="16"/>
        <v>#DIV/0!</v>
      </c>
      <c r="AC22" s="75"/>
      <c r="AD22" s="76" t="e">
        <f t="shared" si="17"/>
        <v>#DIV/0!</v>
      </c>
      <c r="AE22" s="75"/>
      <c r="AF22" s="76" t="e">
        <f t="shared" si="18"/>
        <v>#DIV/0!</v>
      </c>
      <c r="AG22" s="153">
        <f t="shared" si="3"/>
        <v>0</v>
      </c>
      <c r="AH22" s="170" t="e">
        <f t="shared" si="19"/>
        <v>#DIV/0!</v>
      </c>
    </row>
    <row r="23" spans="1:34" s="74" customFormat="1" ht="15" customHeight="1" outlineLevel="1">
      <c r="A23" s="350" t="s">
        <v>238</v>
      </c>
      <c r="B23" s="351"/>
      <c r="C23" s="169"/>
      <c r="D23" s="76" t="e">
        <f t="shared" si="4"/>
        <v>#DIV/0!</v>
      </c>
      <c r="E23" s="75"/>
      <c r="F23" s="76" t="e">
        <f t="shared" si="5"/>
        <v>#DIV/0!</v>
      </c>
      <c r="G23" s="75"/>
      <c r="H23" s="76" t="e">
        <f t="shared" si="6"/>
        <v>#DIV/0!</v>
      </c>
      <c r="I23" s="153">
        <f t="shared" si="0"/>
        <v>0</v>
      </c>
      <c r="J23" s="170" t="e">
        <f t="shared" si="7"/>
        <v>#DIV/0!</v>
      </c>
      <c r="K23" s="169"/>
      <c r="L23" s="76" t="e">
        <f t="shared" si="8"/>
        <v>#DIV/0!</v>
      </c>
      <c r="M23" s="75"/>
      <c r="N23" s="76" t="e">
        <f t="shared" si="9"/>
        <v>#DIV/0!</v>
      </c>
      <c r="O23" s="75"/>
      <c r="P23" s="76" t="e">
        <f t="shared" si="10"/>
        <v>#DIV/0!</v>
      </c>
      <c r="Q23" s="153">
        <f t="shared" si="1"/>
        <v>0</v>
      </c>
      <c r="R23" s="170" t="e">
        <f t="shared" si="11"/>
        <v>#DIV/0!</v>
      </c>
      <c r="S23" s="169"/>
      <c r="T23" s="76" t="e">
        <f t="shared" si="12"/>
        <v>#DIV/0!</v>
      </c>
      <c r="U23" s="75"/>
      <c r="V23" s="76" t="e">
        <f t="shared" si="13"/>
        <v>#DIV/0!</v>
      </c>
      <c r="W23" s="75"/>
      <c r="X23" s="76" t="e">
        <f t="shared" si="14"/>
        <v>#DIV/0!</v>
      </c>
      <c r="Y23" s="153">
        <f t="shared" si="2"/>
        <v>0</v>
      </c>
      <c r="Z23" s="170" t="e">
        <f t="shared" si="15"/>
        <v>#DIV/0!</v>
      </c>
      <c r="AA23" s="169"/>
      <c r="AB23" s="76" t="e">
        <f t="shared" si="16"/>
        <v>#DIV/0!</v>
      </c>
      <c r="AC23" s="75"/>
      <c r="AD23" s="76" t="e">
        <f t="shared" si="17"/>
        <v>#DIV/0!</v>
      </c>
      <c r="AE23" s="75"/>
      <c r="AF23" s="76" t="e">
        <f t="shared" si="18"/>
        <v>#DIV/0!</v>
      </c>
      <c r="AG23" s="153">
        <f t="shared" si="3"/>
        <v>0</v>
      </c>
      <c r="AH23" s="170" t="e">
        <f t="shared" si="19"/>
        <v>#DIV/0!</v>
      </c>
    </row>
    <row r="24" spans="1:34" s="74" customFormat="1" ht="15" customHeight="1">
      <c r="A24" s="372" t="s">
        <v>45</v>
      </c>
      <c r="B24" s="373"/>
      <c r="C24" s="167">
        <f>C25+C36+C40+C41+C44+C45+C46+C47+C26+C27+C30</f>
        <v>0</v>
      </c>
      <c r="D24" s="151" t="e">
        <f t="shared" si="4"/>
        <v>#DIV/0!</v>
      </c>
      <c r="E24" s="150">
        <f>E25+E36+E40+E41+E44+E45+E46+E47+E26+E27+E30</f>
        <v>0</v>
      </c>
      <c r="F24" s="151" t="e">
        <f t="shared" si="5"/>
        <v>#DIV/0!</v>
      </c>
      <c r="G24" s="150">
        <f>G25+G36+G40+G41+G44+G45+G46+G47+G26+G27+G30</f>
        <v>0</v>
      </c>
      <c r="H24" s="151" t="e">
        <f t="shared" si="6"/>
        <v>#DIV/0!</v>
      </c>
      <c r="I24" s="150">
        <f t="shared" si="0"/>
        <v>0</v>
      </c>
      <c r="J24" s="168" t="e">
        <f t="shared" si="7"/>
        <v>#DIV/0!</v>
      </c>
      <c r="K24" s="167">
        <f>K25+K36+K40+K41+K44+K45+K46+K47+K26+K27+K30</f>
        <v>0</v>
      </c>
      <c r="L24" s="151" t="e">
        <f t="shared" si="8"/>
        <v>#DIV/0!</v>
      </c>
      <c r="M24" s="150">
        <f>M25+M36+M40+M41+M44+M45+M46+M47+M26+M27+M30</f>
        <v>0</v>
      </c>
      <c r="N24" s="151" t="e">
        <f t="shared" si="9"/>
        <v>#DIV/0!</v>
      </c>
      <c r="O24" s="150">
        <f>O25+O36+O40+O41+O44+O45+O46+O47+O26+O27+O30</f>
        <v>0</v>
      </c>
      <c r="P24" s="151" t="e">
        <f t="shared" si="10"/>
        <v>#DIV/0!</v>
      </c>
      <c r="Q24" s="150">
        <f t="shared" si="1"/>
        <v>0</v>
      </c>
      <c r="R24" s="168" t="e">
        <f t="shared" si="11"/>
        <v>#DIV/0!</v>
      </c>
      <c r="S24" s="167">
        <f>S25+S36+S40+S41+S44+S45+S46+S47+S26+S27+S30</f>
        <v>0</v>
      </c>
      <c r="T24" s="151" t="e">
        <f t="shared" si="12"/>
        <v>#DIV/0!</v>
      </c>
      <c r="U24" s="150">
        <f>U25+U36+U40+U41+U44+U45+U46+U47+U26+U27+U30</f>
        <v>0</v>
      </c>
      <c r="V24" s="151" t="e">
        <f t="shared" si="13"/>
        <v>#DIV/0!</v>
      </c>
      <c r="W24" s="150">
        <f>W25+W36+W40+W41+W44+W45+W46+W47+W26+W27+W30</f>
        <v>0</v>
      </c>
      <c r="X24" s="151" t="e">
        <f t="shared" si="14"/>
        <v>#DIV/0!</v>
      </c>
      <c r="Y24" s="150">
        <f t="shared" si="2"/>
        <v>0</v>
      </c>
      <c r="Z24" s="168" t="e">
        <f t="shared" si="15"/>
        <v>#DIV/0!</v>
      </c>
      <c r="AA24" s="167">
        <f>AA25+AA36+AA40+AA41+AA44+AA45+AA46+AA47+AA26+AA27+AA30</f>
        <v>0</v>
      </c>
      <c r="AB24" s="151" t="e">
        <f t="shared" si="16"/>
        <v>#DIV/0!</v>
      </c>
      <c r="AC24" s="150">
        <f>AC25+AC36+AC40+AC41+AC44+AC45+AC46+AC47+AC26+AC27+AC30</f>
        <v>0</v>
      </c>
      <c r="AD24" s="151" t="e">
        <f t="shared" si="17"/>
        <v>#DIV/0!</v>
      </c>
      <c r="AE24" s="150">
        <f>AE25+AE36+AE40+AE41+AE44+AE45+AE46+AE47+AE26+AE27+AE30</f>
        <v>0</v>
      </c>
      <c r="AF24" s="151" t="e">
        <f t="shared" si="18"/>
        <v>#DIV/0!</v>
      </c>
      <c r="AG24" s="150">
        <f t="shared" si="3"/>
        <v>0</v>
      </c>
      <c r="AH24" s="168" t="e">
        <f t="shared" si="19"/>
        <v>#DIV/0!</v>
      </c>
    </row>
    <row r="25" spans="1:34" s="74" customFormat="1" ht="15" customHeight="1" outlineLevel="1">
      <c r="A25" s="350" t="s">
        <v>239</v>
      </c>
      <c r="B25" s="351"/>
      <c r="C25" s="171"/>
      <c r="D25" s="76" t="e">
        <f t="shared" si="4"/>
        <v>#DIV/0!</v>
      </c>
      <c r="E25" s="77"/>
      <c r="F25" s="76" t="e">
        <f t="shared" si="5"/>
        <v>#DIV/0!</v>
      </c>
      <c r="G25" s="77"/>
      <c r="H25" s="76" t="e">
        <f t="shared" si="6"/>
        <v>#DIV/0!</v>
      </c>
      <c r="I25" s="152">
        <f t="shared" si="0"/>
        <v>0</v>
      </c>
      <c r="J25" s="170" t="e">
        <f t="shared" si="7"/>
        <v>#DIV/0!</v>
      </c>
      <c r="K25" s="171"/>
      <c r="L25" s="76" t="e">
        <f t="shared" si="8"/>
        <v>#DIV/0!</v>
      </c>
      <c r="M25" s="77"/>
      <c r="N25" s="76" t="e">
        <f t="shared" si="9"/>
        <v>#DIV/0!</v>
      </c>
      <c r="O25" s="77"/>
      <c r="P25" s="76" t="e">
        <f t="shared" si="10"/>
        <v>#DIV/0!</v>
      </c>
      <c r="Q25" s="152">
        <f t="shared" si="1"/>
        <v>0</v>
      </c>
      <c r="R25" s="170" t="e">
        <f t="shared" si="11"/>
        <v>#DIV/0!</v>
      </c>
      <c r="S25" s="171"/>
      <c r="T25" s="76" t="e">
        <f t="shared" si="12"/>
        <v>#DIV/0!</v>
      </c>
      <c r="U25" s="77"/>
      <c r="V25" s="76" t="e">
        <f t="shared" si="13"/>
        <v>#DIV/0!</v>
      </c>
      <c r="W25" s="77"/>
      <c r="X25" s="76" t="e">
        <f t="shared" si="14"/>
        <v>#DIV/0!</v>
      </c>
      <c r="Y25" s="152">
        <f t="shared" si="2"/>
        <v>0</v>
      </c>
      <c r="Z25" s="170" t="e">
        <f t="shared" si="15"/>
        <v>#DIV/0!</v>
      </c>
      <c r="AA25" s="171"/>
      <c r="AB25" s="76" t="e">
        <f t="shared" si="16"/>
        <v>#DIV/0!</v>
      </c>
      <c r="AC25" s="77"/>
      <c r="AD25" s="76" t="e">
        <f t="shared" si="17"/>
        <v>#DIV/0!</v>
      </c>
      <c r="AE25" s="77"/>
      <c r="AF25" s="76" t="e">
        <f t="shared" si="18"/>
        <v>#DIV/0!</v>
      </c>
      <c r="AG25" s="152">
        <f t="shared" si="3"/>
        <v>0</v>
      </c>
      <c r="AH25" s="170" t="e">
        <f t="shared" si="19"/>
        <v>#DIV/0!</v>
      </c>
    </row>
    <row r="26" spans="1:34" s="74" customFormat="1" ht="15" customHeight="1" outlineLevel="1">
      <c r="A26" s="237"/>
      <c r="B26" s="156" t="s">
        <v>47</v>
      </c>
      <c r="C26" s="171"/>
      <c r="D26" s="76" t="e">
        <f t="shared" si="4"/>
        <v>#DIV/0!</v>
      </c>
      <c r="E26" s="77"/>
      <c r="F26" s="76" t="e">
        <f t="shared" si="5"/>
        <v>#DIV/0!</v>
      </c>
      <c r="G26" s="77"/>
      <c r="H26" s="76" t="e">
        <f t="shared" ref="H26:H36" si="20">G26/G$7*100</f>
        <v>#DIV/0!</v>
      </c>
      <c r="I26" s="152">
        <f t="shared" si="0"/>
        <v>0</v>
      </c>
      <c r="J26" s="170" t="e">
        <f t="shared" si="7"/>
        <v>#DIV/0!</v>
      </c>
      <c r="K26" s="171"/>
      <c r="L26" s="76" t="e">
        <f t="shared" si="8"/>
        <v>#DIV/0!</v>
      </c>
      <c r="M26" s="77"/>
      <c r="N26" s="76" t="e">
        <f t="shared" si="9"/>
        <v>#DIV/0!</v>
      </c>
      <c r="O26" s="77"/>
      <c r="P26" s="76" t="e">
        <f t="shared" ref="P26:P36" si="21">O26/O$7*100</f>
        <v>#DIV/0!</v>
      </c>
      <c r="Q26" s="152">
        <f t="shared" si="1"/>
        <v>0</v>
      </c>
      <c r="R26" s="170" t="e">
        <f t="shared" si="11"/>
        <v>#DIV/0!</v>
      </c>
      <c r="S26" s="171"/>
      <c r="T26" s="76" t="e">
        <f t="shared" si="12"/>
        <v>#DIV/0!</v>
      </c>
      <c r="U26" s="77"/>
      <c r="V26" s="76" t="e">
        <f t="shared" si="13"/>
        <v>#DIV/0!</v>
      </c>
      <c r="W26" s="77"/>
      <c r="X26" s="76" t="e">
        <f t="shared" ref="X26:X36" si="22">W26/W$7*100</f>
        <v>#DIV/0!</v>
      </c>
      <c r="Y26" s="152">
        <f t="shared" si="2"/>
        <v>0</v>
      </c>
      <c r="Z26" s="170" t="e">
        <f t="shared" si="15"/>
        <v>#DIV/0!</v>
      </c>
      <c r="AA26" s="171"/>
      <c r="AB26" s="76" t="e">
        <f t="shared" si="16"/>
        <v>#DIV/0!</v>
      </c>
      <c r="AC26" s="77"/>
      <c r="AD26" s="76" t="e">
        <f t="shared" si="17"/>
        <v>#DIV/0!</v>
      </c>
      <c r="AE26" s="77"/>
      <c r="AF26" s="76" t="e">
        <f t="shared" ref="AF26:AF36" si="23">AE26/AE$7*100</f>
        <v>#DIV/0!</v>
      </c>
      <c r="AG26" s="152">
        <f t="shared" si="3"/>
        <v>0</v>
      </c>
      <c r="AH26" s="170" t="e">
        <f t="shared" si="19"/>
        <v>#DIV/0!</v>
      </c>
    </row>
    <row r="27" spans="1:34" s="74" customFormat="1" ht="15" customHeight="1" outlineLevel="1">
      <c r="A27" s="237"/>
      <c r="B27" s="156" t="s">
        <v>240</v>
      </c>
      <c r="C27" s="171"/>
      <c r="D27" s="76" t="e">
        <f t="shared" si="4"/>
        <v>#DIV/0!</v>
      </c>
      <c r="E27" s="77"/>
      <c r="F27" s="76" t="e">
        <f t="shared" si="5"/>
        <v>#DIV/0!</v>
      </c>
      <c r="G27" s="77"/>
      <c r="H27" s="76" t="e">
        <f t="shared" si="20"/>
        <v>#DIV/0!</v>
      </c>
      <c r="I27" s="152">
        <f t="shared" si="0"/>
        <v>0</v>
      </c>
      <c r="J27" s="170" t="e">
        <f t="shared" si="7"/>
        <v>#DIV/0!</v>
      </c>
      <c r="K27" s="171"/>
      <c r="L27" s="76" t="e">
        <f t="shared" si="8"/>
        <v>#DIV/0!</v>
      </c>
      <c r="M27" s="77"/>
      <c r="N27" s="76" t="e">
        <f t="shared" si="9"/>
        <v>#DIV/0!</v>
      </c>
      <c r="O27" s="77"/>
      <c r="P27" s="76" t="e">
        <f t="shared" si="21"/>
        <v>#DIV/0!</v>
      </c>
      <c r="Q27" s="152">
        <f t="shared" si="1"/>
        <v>0</v>
      </c>
      <c r="R27" s="170" t="e">
        <f t="shared" si="11"/>
        <v>#DIV/0!</v>
      </c>
      <c r="S27" s="171"/>
      <c r="T27" s="76" t="e">
        <f t="shared" si="12"/>
        <v>#DIV/0!</v>
      </c>
      <c r="U27" s="77"/>
      <c r="V27" s="76" t="e">
        <f t="shared" si="13"/>
        <v>#DIV/0!</v>
      </c>
      <c r="W27" s="77"/>
      <c r="X27" s="76" t="e">
        <f t="shared" si="22"/>
        <v>#DIV/0!</v>
      </c>
      <c r="Y27" s="152">
        <f t="shared" si="2"/>
        <v>0</v>
      </c>
      <c r="Z27" s="170" t="e">
        <f t="shared" si="15"/>
        <v>#DIV/0!</v>
      </c>
      <c r="AA27" s="171"/>
      <c r="AB27" s="76" t="e">
        <f t="shared" si="16"/>
        <v>#DIV/0!</v>
      </c>
      <c r="AC27" s="77"/>
      <c r="AD27" s="76" t="e">
        <f t="shared" si="17"/>
        <v>#DIV/0!</v>
      </c>
      <c r="AE27" s="77"/>
      <c r="AF27" s="76" t="e">
        <f t="shared" si="23"/>
        <v>#DIV/0!</v>
      </c>
      <c r="AG27" s="152">
        <f t="shared" si="3"/>
        <v>0</v>
      </c>
      <c r="AH27" s="170" t="e">
        <f t="shared" si="19"/>
        <v>#DIV/0!</v>
      </c>
    </row>
    <row r="28" spans="1:34" s="74" customFormat="1" ht="15" hidden="1" customHeight="1" outlineLevel="2">
      <c r="A28" s="154"/>
      <c r="B28" s="157" t="s">
        <v>241</v>
      </c>
      <c r="C28" s="171"/>
      <c r="D28" s="76" t="e">
        <f t="shared" si="4"/>
        <v>#DIV/0!</v>
      </c>
      <c r="E28" s="77"/>
      <c r="F28" s="76" t="e">
        <f t="shared" si="5"/>
        <v>#DIV/0!</v>
      </c>
      <c r="G28" s="77"/>
      <c r="H28" s="76" t="e">
        <f t="shared" si="20"/>
        <v>#DIV/0!</v>
      </c>
      <c r="I28" s="77"/>
      <c r="J28" s="172"/>
      <c r="K28" s="171"/>
      <c r="L28" s="76" t="e">
        <f t="shared" si="8"/>
        <v>#DIV/0!</v>
      </c>
      <c r="M28" s="77"/>
      <c r="N28" s="76" t="e">
        <f t="shared" si="9"/>
        <v>#DIV/0!</v>
      </c>
      <c r="O28" s="77"/>
      <c r="P28" s="76" t="e">
        <f t="shared" si="21"/>
        <v>#DIV/0!</v>
      </c>
      <c r="Q28" s="77"/>
      <c r="R28" s="172"/>
      <c r="S28" s="171"/>
      <c r="T28" s="76" t="e">
        <f t="shared" si="12"/>
        <v>#DIV/0!</v>
      </c>
      <c r="U28" s="77"/>
      <c r="V28" s="76" t="e">
        <f t="shared" si="13"/>
        <v>#DIV/0!</v>
      </c>
      <c r="W28" s="77"/>
      <c r="X28" s="76" t="e">
        <f t="shared" si="22"/>
        <v>#DIV/0!</v>
      </c>
      <c r="Y28" s="77"/>
      <c r="Z28" s="172"/>
      <c r="AA28" s="171"/>
      <c r="AB28" s="76" t="e">
        <f t="shared" si="16"/>
        <v>#DIV/0!</v>
      </c>
      <c r="AC28" s="77"/>
      <c r="AD28" s="76" t="e">
        <f t="shared" si="17"/>
        <v>#DIV/0!</v>
      </c>
      <c r="AE28" s="77"/>
      <c r="AF28" s="76" t="e">
        <f t="shared" si="23"/>
        <v>#DIV/0!</v>
      </c>
      <c r="AG28" s="77"/>
      <c r="AH28" s="172"/>
    </row>
    <row r="29" spans="1:34" s="74" customFormat="1" ht="15" hidden="1" customHeight="1" outlineLevel="2">
      <c r="A29" s="154"/>
      <c r="B29" s="157" t="s">
        <v>242</v>
      </c>
      <c r="C29" s="171"/>
      <c r="D29" s="76" t="e">
        <f t="shared" si="4"/>
        <v>#DIV/0!</v>
      </c>
      <c r="E29" s="77"/>
      <c r="F29" s="76" t="e">
        <f t="shared" si="5"/>
        <v>#DIV/0!</v>
      </c>
      <c r="G29" s="77"/>
      <c r="H29" s="76" t="e">
        <f t="shared" si="20"/>
        <v>#DIV/0!</v>
      </c>
      <c r="I29" s="77"/>
      <c r="J29" s="172"/>
      <c r="K29" s="171"/>
      <c r="L29" s="76" t="e">
        <f t="shared" si="8"/>
        <v>#DIV/0!</v>
      </c>
      <c r="M29" s="77"/>
      <c r="N29" s="76" t="e">
        <f t="shared" si="9"/>
        <v>#DIV/0!</v>
      </c>
      <c r="O29" s="77"/>
      <c r="P29" s="76" t="e">
        <f t="shared" si="21"/>
        <v>#DIV/0!</v>
      </c>
      <c r="Q29" s="77"/>
      <c r="R29" s="172"/>
      <c r="S29" s="171"/>
      <c r="T29" s="76" t="e">
        <f t="shared" si="12"/>
        <v>#DIV/0!</v>
      </c>
      <c r="U29" s="77"/>
      <c r="V29" s="76" t="e">
        <f t="shared" si="13"/>
        <v>#DIV/0!</v>
      </c>
      <c r="W29" s="77"/>
      <c r="X29" s="76" t="e">
        <f t="shared" si="22"/>
        <v>#DIV/0!</v>
      </c>
      <c r="Y29" s="77"/>
      <c r="Z29" s="172"/>
      <c r="AA29" s="171"/>
      <c r="AB29" s="76" t="e">
        <f t="shared" si="16"/>
        <v>#DIV/0!</v>
      </c>
      <c r="AC29" s="77"/>
      <c r="AD29" s="76" t="e">
        <f t="shared" si="17"/>
        <v>#DIV/0!</v>
      </c>
      <c r="AE29" s="77"/>
      <c r="AF29" s="76" t="e">
        <f t="shared" si="23"/>
        <v>#DIV/0!</v>
      </c>
      <c r="AG29" s="77"/>
      <c r="AH29" s="172"/>
    </row>
    <row r="30" spans="1:34" s="74" customFormat="1" ht="15" customHeight="1" outlineLevel="1" collapsed="1">
      <c r="A30" s="351" t="s">
        <v>243</v>
      </c>
      <c r="B30" s="376"/>
      <c r="C30" s="169"/>
      <c r="D30" s="76" t="e">
        <f t="shared" si="4"/>
        <v>#DIV/0!</v>
      </c>
      <c r="E30" s="75"/>
      <c r="F30" s="76" t="e">
        <f t="shared" si="5"/>
        <v>#DIV/0!</v>
      </c>
      <c r="G30" s="75"/>
      <c r="H30" s="76" t="e">
        <f t="shared" si="20"/>
        <v>#DIV/0!</v>
      </c>
      <c r="I30" s="153">
        <f>C30+E30+G30</f>
        <v>0</v>
      </c>
      <c r="J30" s="170" t="e">
        <f>I30/I$7*100</f>
        <v>#DIV/0!</v>
      </c>
      <c r="K30" s="169"/>
      <c r="L30" s="76" t="e">
        <f t="shared" si="8"/>
        <v>#DIV/0!</v>
      </c>
      <c r="M30" s="75"/>
      <c r="N30" s="76" t="e">
        <f t="shared" si="9"/>
        <v>#DIV/0!</v>
      </c>
      <c r="O30" s="75"/>
      <c r="P30" s="76" t="e">
        <f t="shared" si="21"/>
        <v>#DIV/0!</v>
      </c>
      <c r="Q30" s="153">
        <f>K30+M30+O30</f>
        <v>0</v>
      </c>
      <c r="R30" s="170" t="e">
        <f>Q30/Q$7*100</f>
        <v>#DIV/0!</v>
      </c>
      <c r="S30" s="169"/>
      <c r="T30" s="76" t="e">
        <f t="shared" si="12"/>
        <v>#DIV/0!</v>
      </c>
      <c r="U30" s="75"/>
      <c r="V30" s="76" t="e">
        <f t="shared" si="13"/>
        <v>#DIV/0!</v>
      </c>
      <c r="W30" s="75"/>
      <c r="X30" s="76" t="e">
        <f t="shared" si="22"/>
        <v>#DIV/0!</v>
      </c>
      <c r="Y30" s="153">
        <f>S30+U30+W30</f>
        <v>0</v>
      </c>
      <c r="Z30" s="170" t="e">
        <f>Y30/Y$7*100</f>
        <v>#DIV/0!</v>
      </c>
      <c r="AA30" s="169"/>
      <c r="AB30" s="76" t="e">
        <f t="shared" si="16"/>
        <v>#DIV/0!</v>
      </c>
      <c r="AC30" s="75"/>
      <c r="AD30" s="76" t="e">
        <f t="shared" si="17"/>
        <v>#DIV/0!</v>
      </c>
      <c r="AE30" s="75"/>
      <c r="AF30" s="76" t="e">
        <f t="shared" si="23"/>
        <v>#DIV/0!</v>
      </c>
      <c r="AG30" s="153">
        <f>AA30+AC30+AE30</f>
        <v>0</v>
      </c>
      <c r="AH30" s="170" t="e">
        <f>AG30/AG$7*100</f>
        <v>#DIV/0!</v>
      </c>
    </row>
    <row r="31" spans="1:34" s="74" customFormat="1" ht="15" hidden="1" customHeight="1" outlineLevel="2">
      <c r="A31" s="155"/>
      <c r="B31" s="158" t="s">
        <v>244</v>
      </c>
      <c r="C31" s="169"/>
      <c r="D31" s="76" t="e">
        <f t="shared" si="4"/>
        <v>#DIV/0!</v>
      </c>
      <c r="E31" s="75"/>
      <c r="F31" s="76" t="e">
        <f t="shared" si="5"/>
        <v>#DIV/0!</v>
      </c>
      <c r="G31" s="75"/>
      <c r="H31" s="76" t="e">
        <f t="shared" si="20"/>
        <v>#DIV/0!</v>
      </c>
      <c r="I31" s="75"/>
      <c r="J31" s="172"/>
      <c r="K31" s="169"/>
      <c r="L31" s="76" t="e">
        <f t="shared" si="8"/>
        <v>#DIV/0!</v>
      </c>
      <c r="M31" s="75"/>
      <c r="N31" s="76" t="e">
        <f t="shared" si="9"/>
        <v>#DIV/0!</v>
      </c>
      <c r="O31" s="75"/>
      <c r="P31" s="76" t="e">
        <f t="shared" si="21"/>
        <v>#DIV/0!</v>
      </c>
      <c r="Q31" s="75"/>
      <c r="R31" s="172"/>
      <c r="S31" s="169"/>
      <c r="T31" s="76" t="e">
        <f t="shared" si="12"/>
        <v>#DIV/0!</v>
      </c>
      <c r="U31" s="75"/>
      <c r="V31" s="76" t="e">
        <f t="shared" si="13"/>
        <v>#DIV/0!</v>
      </c>
      <c r="W31" s="75"/>
      <c r="X31" s="76" t="e">
        <f t="shared" si="22"/>
        <v>#DIV/0!</v>
      </c>
      <c r="Y31" s="75"/>
      <c r="Z31" s="172"/>
      <c r="AA31" s="169"/>
      <c r="AB31" s="76" t="e">
        <f t="shared" si="16"/>
        <v>#DIV/0!</v>
      </c>
      <c r="AC31" s="75"/>
      <c r="AD31" s="76" t="e">
        <f t="shared" si="17"/>
        <v>#DIV/0!</v>
      </c>
      <c r="AE31" s="75"/>
      <c r="AF31" s="76" t="e">
        <f t="shared" si="23"/>
        <v>#DIV/0!</v>
      </c>
      <c r="AG31" s="75"/>
      <c r="AH31" s="172"/>
    </row>
    <row r="32" spans="1:34" s="74" customFormat="1" ht="15" hidden="1" customHeight="1" outlineLevel="2">
      <c r="A32" s="155"/>
      <c r="B32" s="158" t="s">
        <v>245</v>
      </c>
      <c r="C32" s="169"/>
      <c r="D32" s="76" t="e">
        <f t="shared" si="4"/>
        <v>#DIV/0!</v>
      </c>
      <c r="E32" s="75"/>
      <c r="F32" s="76" t="e">
        <f t="shared" si="5"/>
        <v>#DIV/0!</v>
      </c>
      <c r="G32" s="75"/>
      <c r="H32" s="76" t="e">
        <f t="shared" si="20"/>
        <v>#DIV/0!</v>
      </c>
      <c r="I32" s="75"/>
      <c r="J32" s="172"/>
      <c r="K32" s="169"/>
      <c r="L32" s="76" t="e">
        <f t="shared" si="8"/>
        <v>#DIV/0!</v>
      </c>
      <c r="M32" s="75"/>
      <c r="N32" s="76" t="e">
        <f t="shared" si="9"/>
        <v>#DIV/0!</v>
      </c>
      <c r="O32" s="75"/>
      <c r="P32" s="76" t="e">
        <f t="shared" si="21"/>
        <v>#DIV/0!</v>
      </c>
      <c r="Q32" s="75"/>
      <c r="R32" s="172"/>
      <c r="S32" s="169"/>
      <c r="T32" s="76" t="e">
        <f t="shared" si="12"/>
        <v>#DIV/0!</v>
      </c>
      <c r="U32" s="75"/>
      <c r="V32" s="76" t="e">
        <f t="shared" si="13"/>
        <v>#DIV/0!</v>
      </c>
      <c r="W32" s="75"/>
      <c r="X32" s="76" t="e">
        <f t="shared" si="22"/>
        <v>#DIV/0!</v>
      </c>
      <c r="Y32" s="75"/>
      <c r="Z32" s="172"/>
      <c r="AA32" s="169"/>
      <c r="AB32" s="76" t="e">
        <f t="shared" si="16"/>
        <v>#DIV/0!</v>
      </c>
      <c r="AC32" s="75"/>
      <c r="AD32" s="76" t="e">
        <f t="shared" si="17"/>
        <v>#DIV/0!</v>
      </c>
      <c r="AE32" s="75"/>
      <c r="AF32" s="76" t="e">
        <f t="shared" si="23"/>
        <v>#DIV/0!</v>
      </c>
      <c r="AG32" s="75"/>
      <c r="AH32" s="172"/>
    </row>
    <row r="33" spans="1:34" s="74" customFormat="1" ht="15" hidden="1" customHeight="1" outlineLevel="2">
      <c r="A33" s="155"/>
      <c r="B33" s="158" t="s">
        <v>246</v>
      </c>
      <c r="C33" s="169"/>
      <c r="D33" s="76" t="e">
        <f t="shared" si="4"/>
        <v>#DIV/0!</v>
      </c>
      <c r="E33" s="75"/>
      <c r="F33" s="76" t="e">
        <f t="shared" si="5"/>
        <v>#DIV/0!</v>
      </c>
      <c r="G33" s="75"/>
      <c r="H33" s="76" t="e">
        <f t="shared" si="20"/>
        <v>#DIV/0!</v>
      </c>
      <c r="I33" s="75"/>
      <c r="J33" s="172"/>
      <c r="K33" s="169"/>
      <c r="L33" s="76" t="e">
        <f t="shared" si="8"/>
        <v>#DIV/0!</v>
      </c>
      <c r="M33" s="75"/>
      <c r="N33" s="76" t="e">
        <f t="shared" si="9"/>
        <v>#DIV/0!</v>
      </c>
      <c r="O33" s="75"/>
      <c r="P33" s="76" t="e">
        <f t="shared" si="21"/>
        <v>#DIV/0!</v>
      </c>
      <c r="Q33" s="75"/>
      <c r="R33" s="172"/>
      <c r="S33" s="169"/>
      <c r="T33" s="76" t="e">
        <f t="shared" si="12"/>
        <v>#DIV/0!</v>
      </c>
      <c r="U33" s="75"/>
      <c r="V33" s="76" t="e">
        <f t="shared" si="13"/>
        <v>#DIV/0!</v>
      </c>
      <c r="W33" s="75"/>
      <c r="X33" s="76" t="e">
        <f t="shared" si="22"/>
        <v>#DIV/0!</v>
      </c>
      <c r="Y33" s="75"/>
      <c r="Z33" s="172"/>
      <c r="AA33" s="169"/>
      <c r="AB33" s="76" t="e">
        <f t="shared" si="16"/>
        <v>#DIV/0!</v>
      </c>
      <c r="AC33" s="75"/>
      <c r="AD33" s="76" t="e">
        <f t="shared" si="17"/>
        <v>#DIV/0!</v>
      </c>
      <c r="AE33" s="75"/>
      <c r="AF33" s="76" t="e">
        <f t="shared" si="23"/>
        <v>#DIV/0!</v>
      </c>
      <c r="AG33" s="75"/>
      <c r="AH33" s="172"/>
    </row>
    <row r="34" spans="1:34" s="74" customFormat="1" ht="15" hidden="1" customHeight="1" outlineLevel="2">
      <c r="A34" s="155"/>
      <c r="B34" s="158" t="s">
        <v>247</v>
      </c>
      <c r="C34" s="169"/>
      <c r="D34" s="76" t="e">
        <f t="shared" si="4"/>
        <v>#DIV/0!</v>
      </c>
      <c r="E34" s="75"/>
      <c r="F34" s="76" t="e">
        <f t="shared" si="5"/>
        <v>#DIV/0!</v>
      </c>
      <c r="G34" s="75"/>
      <c r="H34" s="76" t="e">
        <f t="shared" si="20"/>
        <v>#DIV/0!</v>
      </c>
      <c r="I34" s="75"/>
      <c r="J34" s="172"/>
      <c r="K34" s="169"/>
      <c r="L34" s="76" t="e">
        <f t="shared" si="8"/>
        <v>#DIV/0!</v>
      </c>
      <c r="M34" s="75"/>
      <c r="N34" s="76" t="e">
        <f t="shared" si="9"/>
        <v>#DIV/0!</v>
      </c>
      <c r="O34" s="75"/>
      <c r="P34" s="76" t="e">
        <f t="shared" si="21"/>
        <v>#DIV/0!</v>
      </c>
      <c r="Q34" s="75"/>
      <c r="R34" s="172"/>
      <c r="S34" s="169"/>
      <c r="T34" s="76" t="e">
        <f t="shared" si="12"/>
        <v>#DIV/0!</v>
      </c>
      <c r="U34" s="75"/>
      <c r="V34" s="76" t="e">
        <f t="shared" si="13"/>
        <v>#DIV/0!</v>
      </c>
      <c r="W34" s="75"/>
      <c r="X34" s="76" t="e">
        <f t="shared" si="22"/>
        <v>#DIV/0!</v>
      </c>
      <c r="Y34" s="75"/>
      <c r="Z34" s="172"/>
      <c r="AA34" s="169"/>
      <c r="AB34" s="76" t="e">
        <f t="shared" si="16"/>
        <v>#DIV/0!</v>
      </c>
      <c r="AC34" s="75"/>
      <c r="AD34" s="76" t="e">
        <f t="shared" si="17"/>
        <v>#DIV/0!</v>
      </c>
      <c r="AE34" s="75"/>
      <c r="AF34" s="76" t="e">
        <f t="shared" si="23"/>
        <v>#DIV/0!</v>
      </c>
      <c r="AG34" s="75"/>
      <c r="AH34" s="172"/>
    </row>
    <row r="35" spans="1:34" s="74" customFormat="1" ht="15" hidden="1" customHeight="1" outlineLevel="2">
      <c r="A35" s="155"/>
      <c r="B35" s="158" t="s">
        <v>248</v>
      </c>
      <c r="C35" s="169"/>
      <c r="D35" s="76" t="e">
        <f t="shared" si="4"/>
        <v>#DIV/0!</v>
      </c>
      <c r="E35" s="75"/>
      <c r="F35" s="76" t="e">
        <f t="shared" si="5"/>
        <v>#DIV/0!</v>
      </c>
      <c r="G35" s="75"/>
      <c r="H35" s="76" t="e">
        <f t="shared" si="20"/>
        <v>#DIV/0!</v>
      </c>
      <c r="I35" s="75"/>
      <c r="J35" s="172"/>
      <c r="K35" s="169"/>
      <c r="L35" s="76" t="e">
        <f t="shared" si="8"/>
        <v>#DIV/0!</v>
      </c>
      <c r="M35" s="75"/>
      <c r="N35" s="76" t="e">
        <f t="shared" si="9"/>
        <v>#DIV/0!</v>
      </c>
      <c r="O35" s="75"/>
      <c r="P35" s="76" t="e">
        <f t="shared" si="21"/>
        <v>#DIV/0!</v>
      </c>
      <c r="Q35" s="75"/>
      <c r="R35" s="172"/>
      <c r="S35" s="169"/>
      <c r="T35" s="76" t="e">
        <f t="shared" si="12"/>
        <v>#DIV/0!</v>
      </c>
      <c r="U35" s="75"/>
      <c r="V35" s="76" t="e">
        <f t="shared" si="13"/>
        <v>#DIV/0!</v>
      </c>
      <c r="W35" s="75"/>
      <c r="X35" s="76" t="e">
        <f t="shared" si="22"/>
        <v>#DIV/0!</v>
      </c>
      <c r="Y35" s="75"/>
      <c r="Z35" s="172"/>
      <c r="AA35" s="169"/>
      <c r="AB35" s="76" t="e">
        <f t="shared" si="16"/>
        <v>#DIV/0!</v>
      </c>
      <c r="AC35" s="75"/>
      <c r="AD35" s="76" t="e">
        <f t="shared" si="17"/>
        <v>#DIV/0!</v>
      </c>
      <c r="AE35" s="75"/>
      <c r="AF35" s="76" t="e">
        <f t="shared" si="23"/>
        <v>#DIV/0!</v>
      </c>
      <c r="AG35" s="75"/>
      <c r="AH35" s="172"/>
    </row>
    <row r="36" spans="1:34" s="74" customFormat="1" ht="15" customHeight="1" outlineLevel="1" collapsed="1">
      <c r="A36" s="351" t="s">
        <v>50</v>
      </c>
      <c r="B36" s="376"/>
      <c r="C36" s="169"/>
      <c r="D36" s="76" t="e">
        <f t="shared" si="4"/>
        <v>#DIV/0!</v>
      </c>
      <c r="E36" s="75"/>
      <c r="F36" s="76" t="e">
        <f t="shared" si="5"/>
        <v>#DIV/0!</v>
      </c>
      <c r="G36" s="75"/>
      <c r="H36" s="76" t="e">
        <f t="shared" si="20"/>
        <v>#DIV/0!</v>
      </c>
      <c r="I36" s="153">
        <f t="shared" si="0"/>
        <v>0</v>
      </c>
      <c r="J36" s="170" t="e">
        <f>I36/I$7*100</f>
        <v>#DIV/0!</v>
      </c>
      <c r="K36" s="169"/>
      <c r="L36" s="76" t="e">
        <f t="shared" si="8"/>
        <v>#DIV/0!</v>
      </c>
      <c r="M36" s="75"/>
      <c r="N36" s="76" t="e">
        <f t="shared" si="9"/>
        <v>#DIV/0!</v>
      </c>
      <c r="O36" s="75"/>
      <c r="P36" s="76" t="e">
        <f t="shared" si="21"/>
        <v>#DIV/0!</v>
      </c>
      <c r="Q36" s="153">
        <f>K36+M36+O36</f>
        <v>0</v>
      </c>
      <c r="R36" s="170" t="e">
        <f>Q36/Q$7*100</f>
        <v>#DIV/0!</v>
      </c>
      <c r="S36" s="169"/>
      <c r="T36" s="76" t="e">
        <f t="shared" si="12"/>
        <v>#DIV/0!</v>
      </c>
      <c r="U36" s="75"/>
      <c r="V36" s="76" t="e">
        <f t="shared" si="13"/>
        <v>#DIV/0!</v>
      </c>
      <c r="W36" s="75"/>
      <c r="X36" s="76" t="e">
        <f t="shared" si="22"/>
        <v>#DIV/0!</v>
      </c>
      <c r="Y36" s="153">
        <f>S36+U36+W36</f>
        <v>0</v>
      </c>
      <c r="Z36" s="170" t="e">
        <f>Y36/Y$7*100</f>
        <v>#DIV/0!</v>
      </c>
      <c r="AA36" s="169"/>
      <c r="AB36" s="76" t="e">
        <f t="shared" si="16"/>
        <v>#DIV/0!</v>
      </c>
      <c r="AC36" s="75"/>
      <c r="AD36" s="76" t="e">
        <f t="shared" si="17"/>
        <v>#DIV/0!</v>
      </c>
      <c r="AE36" s="75"/>
      <c r="AF36" s="76" t="e">
        <f t="shared" si="23"/>
        <v>#DIV/0!</v>
      </c>
      <c r="AG36" s="153">
        <f>AA36+AC36+AE36</f>
        <v>0</v>
      </c>
      <c r="AH36" s="170" t="e">
        <f>AG36/AG$7*100</f>
        <v>#DIV/0!</v>
      </c>
    </row>
    <row r="37" spans="1:34" s="74" customFormat="1" ht="15" hidden="1" customHeight="1" outlineLevel="2">
      <c r="A37" s="155"/>
      <c r="B37" s="238" t="s">
        <v>249</v>
      </c>
      <c r="C37" s="169"/>
      <c r="D37" s="76" t="e">
        <f t="shared" si="4"/>
        <v>#DIV/0!</v>
      </c>
      <c r="E37" s="75"/>
      <c r="F37" s="76"/>
      <c r="G37" s="75"/>
      <c r="H37" s="76"/>
      <c r="I37" s="75"/>
      <c r="J37" s="172"/>
      <c r="K37" s="169"/>
      <c r="L37" s="76" t="e">
        <f t="shared" si="8"/>
        <v>#DIV/0!</v>
      </c>
      <c r="M37" s="75"/>
      <c r="N37" s="76"/>
      <c r="O37" s="75"/>
      <c r="P37" s="76"/>
      <c r="Q37" s="75"/>
      <c r="R37" s="172"/>
      <c r="S37" s="169"/>
      <c r="T37" s="76" t="e">
        <f t="shared" si="12"/>
        <v>#DIV/0!</v>
      </c>
      <c r="U37" s="75"/>
      <c r="V37" s="76"/>
      <c r="W37" s="75"/>
      <c r="X37" s="76"/>
      <c r="Y37" s="75"/>
      <c r="Z37" s="172"/>
      <c r="AA37" s="169"/>
      <c r="AB37" s="76" t="e">
        <f t="shared" si="16"/>
        <v>#DIV/0!</v>
      </c>
      <c r="AC37" s="75"/>
      <c r="AD37" s="76"/>
      <c r="AE37" s="75"/>
      <c r="AF37" s="76"/>
      <c r="AG37" s="75"/>
      <c r="AH37" s="172"/>
    </row>
    <row r="38" spans="1:34" s="74" customFormat="1" ht="15" hidden="1" customHeight="1" outlineLevel="2">
      <c r="A38" s="155"/>
      <c r="B38" s="238" t="s">
        <v>250</v>
      </c>
      <c r="C38" s="169"/>
      <c r="D38" s="76" t="e">
        <f t="shared" si="4"/>
        <v>#DIV/0!</v>
      </c>
      <c r="E38" s="75"/>
      <c r="F38" s="76"/>
      <c r="G38" s="75"/>
      <c r="H38" s="76"/>
      <c r="I38" s="75"/>
      <c r="J38" s="172"/>
      <c r="K38" s="169"/>
      <c r="L38" s="76" t="e">
        <f t="shared" si="8"/>
        <v>#DIV/0!</v>
      </c>
      <c r="M38" s="75"/>
      <c r="N38" s="76"/>
      <c r="O38" s="75"/>
      <c r="P38" s="76"/>
      <c r="Q38" s="75"/>
      <c r="R38" s="172"/>
      <c r="S38" s="169"/>
      <c r="T38" s="76" t="e">
        <f t="shared" si="12"/>
        <v>#DIV/0!</v>
      </c>
      <c r="U38" s="75"/>
      <c r="V38" s="76"/>
      <c r="W38" s="75"/>
      <c r="X38" s="76"/>
      <c r="Y38" s="75"/>
      <c r="Z38" s="172"/>
      <c r="AA38" s="169"/>
      <c r="AB38" s="76" t="e">
        <f t="shared" si="16"/>
        <v>#DIV/0!</v>
      </c>
      <c r="AC38" s="75"/>
      <c r="AD38" s="76"/>
      <c r="AE38" s="75"/>
      <c r="AF38" s="76"/>
      <c r="AG38" s="75"/>
      <c r="AH38" s="172"/>
    </row>
    <row r="39" spans="1:34" s="74" customFormat="1" ht="15" hidden="1" customHeight="1" outlineLevel="2">
      <c r="A39" s="155"/>
      <c r="B39" s="238" t="s">
        <v>251</v>
      </c>
      <c r="C39" s="169"/>
      <c r="D39" s="76" t="e">
        <f t="shared" si="4"/>
        <v>#DIV/0!</v>
      </c>
      <c r="E39" s="75"/>
      <c r="F39" s="76"/>
      <c r="G39" s="75"/>
      <c r="H39" s="76"/>
      <c r="I39" s="75"/>
      <c r="J39" s="172"/>
      <c r="K39" s="169"/>
      <c r="L39" s="76" t="e">
        <f t="shared" si="8"/>
        <v>#DIV/0!</v>
      </c>
      <c r="M39" s="75"/>
      <c r="N39" s="76"/>
      <c r="O39" s="75"/>
      <c r="P39" s="76"/>
      <c r="Q39" s="75"/>
      <c r="R39" s="172"/>
      <c r="S39" s="169"/>
      <c r="T39" s="76" t="e">
        <f t="shared" si="12"/>
        <v>#DIV/0!</v>
      </c>
      <c r="U39" s="75"/>
      <c r="V39" s="76"/>
      <c r="W39" s="75"/>
      <c r="X39" s="76"/>
      <c r="Y39" s="75"/>
      <c r="Z39" s="172"/>
      <c r="AA39" s="169"/>
      <c r="AB39" s="76" t="e">
        <f t="shared" si="16"/>
        <v>#DIV/0!</v>
      </c>
      <c r="AC39" s="75"/>
      <c r="AD39" s="76"/>
      <c r="AE39" s="75"/>
      <c r="AF39" s="76"/>
      <c r="AG39" s="75"/>
      <c r="AH39" s="172"/>
    </row>
    <row r="40" spans="1:34" s="74" customFormat="1" ht="15" customHeight="1" outlineLevel="1" collapsed="1">
      <c r="A40" s="351" t="s">
        <v>150</v>
      </c>
      <c r="B40" s="376"/>
      <c r="C40" s="171"/>
      <c r="D40" s="76" t="e">
        <f t="shared" ref="D40:D58" si="24">C40/C$7*100</f>
        <v>#DIV/0!</v>
      </c>
      <c r="E40" s="77"/>
      <c r="F40" s="76" t="e">
        <f>E40/E$7*100</f>
        <v>#DIV/0!</v>
      </c>
      <c r="G40" s="77"/>
      <c r="H40" s="76" t="e">
        <f>G40/G$7*100</f>
        <v>#DIV/0!</v>
      </c>
      <c r="I40" s="153">
        <f t="shared" si="0"/>
        <v>0</v>
      </c>
      <c r="J40" s="170" t="e">
        <f>I40/I$7*100</f>
        <v>#DIV/0!</v>
      </c>
      <c r="K40" s="171"/>
      <c r="L40" s="76" t="e">
        <f t="shared" ref="L40:L58" si="25">K40/K$7*100</f>
        <v>#DIV/0!</v>
      </c>
      <c r="M40" s="77"/>
      <c r="N40" s="76" t="e">
        <f>M40/M$7*100</f>
        <v>#DIV/0!</v>
      </c>
      <c r="O40" s="77"/>
      <c r="P40" s="76" t="e">
        <f>O40/O$7*100</f>
        <v>#DIV/0!</v>
      </c>
      <c r="Q40" s="153">
        <f>K40+M40+O40</f>
        <v>0</v>
      </c>
      <c r="R40" s="170" t="e">
        <f>Q40/Q$7*100</f>
        <v>#DIV/0!</v>
      </c>
      <c r="S40" s="171"/>
      <c r="T40" s="76" t="e">
        <f t="shared" ref="T40:T58" si="26">S40/S$7*100</f>
        <v>#DIV/0!</v>
      </c>
      <c r="U40" s="77"/>
      <c r="V40" s="76" t="e">
        <f>U40/U$7*100</f>
        <v>#DIV/0!</v>
      </c>
      <c r="W40" s="77"/>
      <c r="X40" s="76" t="e">
        <f>W40/W$7*100</f>
        <v>#DIV/0!</v>
      </c>
      <c r="Y40" s="153">
        <f>S40+U40+W40</f>
        <v>0</v>
      </c>
      <c r="Z40" s="170" t="e">
        <f>Y40/Y$7*100</f>
        <v>#DIV/0!</v>
      </c>
      <c r="AA40" s="171"/>
      <c r="AB40" s="76" t="e">
        <f t="shared" ref="AB40:AB58" si="27">AA40/AA$7*100</f>
        <v>#DIV/0!</v>
      </c>
      <c r="AC40" s="77"/>
      <c r="AD40" s="76" t="e">
        <f>AC40/AC$7*100</f>
        <v>#DIV/0!</v>
      </c>
      <c r="AE40" s="77"/>
      <c r="AF40" s="76" t="e">
        <f>AE40/AE$7*100</f>
        <v>#DIV/0!</v>
      </c>
      <c r="AG40" s="153">
        <f>AA40+AC40+AE40</f>
        <v>0</v>
      </c>
      <c r="AH40" s="170" t="e">
        <f>AG40/AG$7*100</f>
        <v>#DIV/0!</v>
      </c>
    </row>
    <row r="41" spans="1:34" s="74" customFormat="1" ht="15" customHeight="1" outlineLevel="1">
      <c r="A41" s="350" t="s">
        <v>52</v>
      </c>
      <c r="B41" s="351"/>
      <c r="C41" s="169"/>
      <c r="D41" s="76" t="e">
        <f t="shared" si="24"/>
        <v>#DIV/0!</v>
      </c>
      <c r="E41" s="75"/>
      <c r="F41" s="76" t="e">
        <f>E41/E$7*100</f>
        <v>#DIV/0!</v>
      </c>
      <c r="G41" s="75"/>
      <c r="H41" s="76" t="e">
        <f>G41/G$7*100</f>
        <v>#DIV/0!</v>
      </c>
      <c r="I41" s="152">
        <f t="shared" si="0"/>
        <v>0</v>
      </c>
      <c r="J41" s="170" t="e">
        <f>I41/I$7*100</f>
        <v>#DIV/0!</v>
      </c>
      <c r="K41" s="169"/>
      <c r="L41" s="76" t="e">
        <f t="shared" si="25"/>
        <v>#DIV/0!</v>
      </c>
      <c r="M41" s="75"/>
      <c r="N41" s="76" t="e">
        <f>M41/M$7*100</f>
        <v>#DIV/0!</v>
      </c>
      <c r="O41" s="75"/>
      <c r="P41" s="76" t="e">
        <f>O41/O$7*100</f>
        <v>#DIV/0!</v>
      </c>
      <c r="Q41" s="152">
        <f>K41+M41+O41</f>
        <v>0</v>
      </c>
      <c r="R41" s="170" t="e">
        <f>Q41/Q$7*100</f>
        <v>#DIV/0!</v>
      </c>
      <c r="S41" s="169"/>
      <c r="T41" s="76" t="e">
        <f t="shared" si="26"/>
        <v>#DIV/0!</v>
      </c>
      <c r="U41" s="75"/>
      <c r="V41" s="76" t="e">
        <f>U41/U$7*100</f>
        <v>#DIV/0!</v>
      </c>
      <c r="W41" s="75"/>
      <c r="X41" s="76" t="e">
        <f>W41/W$7*100</f>
        <v>#DIV/0!</v>
      </c>
      <c r="Y41" s="152">
        <f>S41+U41+W41</f>
        <v>0</v>
      </c>
      <c r="Z41" s="170" t="e">
        <f>Y41/Y$7*100</f>
        <v>#DIV/0!</v>
      </c>
      <c r="AA41" s="169"/>
      <c r="AB41" s="76" t="e">
        <f t="shared" si="27"/>
        <v>#DIV/0!</v>
      </c>
      <c r="AC41" s="75"/>
      <c r="AD41" s="76" t="e">
        <f>AC41/AC$7*100</f>
        <v>#DIV/0!</v>
      </c>
      <c r="AE41" s="75"/>
      <c r="AF41" s="76" t="e">
        <f>AE41/AE$7*100</f>
        <v>#DIV/0!</v>
      </c>
      <c r="AG41" s="152">
        <f>AA41+AC41+AE41</f>
        <v>0</v>
      </c>
      <c r="AH41" s="170" t="e">
        <f>AG41/AG$7*100</f>
        <v>#DIV/0!</v>
      </c>
    </row>
    <row r="42" spans="1:34" s="74" customFormat="1" ht="15" hidden="1" customHeight="1" outlineLevel="2">
      <c r="A42" s="155"/>
      <c r="B42" s="238" t="s">
        <v>252</v>
      </c>
      <c r="C42" s="169"/>
      <c r="D42" s="76" t="e">
        <f t="shared" si="24"/>
        <v>#DIV/0!</v>
      </c>
      <c r="E42" s="75"/>
      <c r="F42" s="76"/>
      <c r="G42" s="75"/>
      <c r="H42" s="76"/>
      <c r="I42" s="77"/>
      <c r="J42" s="172"/>
      <c r="K42" s="169"/>
      <c r="L42" s="76" t="e">
        <f t="shared" si="25"/>
        <v>#DIV/0!</v>
      </c>
      <c r="M42" s="75"/>
      <c r="N42" s="76"/>
      <c r="O42" s="75"/>
      <c r="P42" s="76"/>
      <c r="Q42" s="77"/>
      <c r="R42" s="172"/>
      <c r="S42" s="169"/>
      <c r="T42" s="76" t="e">
        <f t="shared" si="26"/>
        <v>#DIV/0!</v>
      </c>
      <c r="U42" s="75"/>
      <c r="V42" s="76"/>
      <c r="W42" s="75"/>
      <c r="X42" s="76"/>
      <c r="Y42" s="77"/>
      <c r="Z42" s="172"/>
      <c r="AA42" s="169"/>
      <c r="AB42" s="76" t="e">
        <f t="shared" si="27"/>
        <v>#DIV/0!</v>
      </c>
      <c r="AC42" s="75"/>
      <c r="AD42" s="76"/>
      <c r="AE42" s="75"/>
      <c r="AF42" s="76"/>
      <c r="AG42" s="77"/>
      <c r="AH42" s="172"/>
    </row>
    <row r="43" spans="1:34" s="74" customFormat="1" ht="15" hidden="1" customHeight="1" outlineLevel="2">
      <c r="A43" s="155"/>
      <c r="B43" s="238" t="s">
        <v>253</v>
      </c>
      <c r="C43" s="169"/>
      <c r="D43" s="76" t="e">
        <f t="shared" si="24"/>
        <v>#DIV/0!</v>
      </c>
      <c r="E43" s="75"/>
      <c r="F43" s="76"/>
      <c r="G43" s="75"/>
      <c r="H43" s="76"/>
      <c r="I43" s="77"/>
      <c r="J43" s="172"/>
      <c r="K43" s="169"/>
      <c r="L43" s="76" t="e">
        <f t="shared" si="25"/>
        <v>#DIV/0!</v>
      </c>
      <c r="M43" s="75"/>
      <c r="N43" s="76"/>
      <c r="O43" s="75"/>
      <c r="P43" s="76"/>
      <c r="Q43" s="77"/>
      <c r="R43" s="172"/>
      <c r="S43" s="169"/>
      <c r="T43" s="76" t="e">
        <f t="shared" si="26"/>
        <v>#DIV/0!</v>
      </c>
      <c r="U43" s="75"/>
      <c r="V43" s="76"/>
      <c r="W43" s="75"/>
      <c r="X43" s="76"/>
      <c r="Y43" s="77"/>
      <c r="Z43" s="172"/>
      <c r="AA43" s="169"/>
      <c r="AB43" s="76" t="e">
        <f t="shared" si="27"/>
        <v>#DIV/0!</v>
      </c>
      <c r="AC43" s="75"/>
      <c r="AD43" s="76"/>
      <c r="AE43" s="75"/>
      <c r="AF43" s="76"/>
      <c r="AG43" s="77"/>
      <c r="AH43" s="172"/>
    </row>
    <row r="44" spans="1:34" s="74" customFormat="1" ht="15" customHeight="1" outlineLevel="1" collapsed="1">
      <c r="A44" s="350" t="s">
        <v>53</v>
      </c>
      <c r="B44" s="351"/>
      <c r="C44" s="169"/>
      <c r="D44" s="76" t="e">
        <f t="shared" si="24"/>
        <v>#DIV/0!</v>
      </c>
      <c r="E44" s="75"/>
      <c r="F44" s="76" t="e">
        <f t="shared" ref="F44:F58" si="28">E44/E$7*100</f>
        <v>#DIV/0!</v>
      </c>
      <c r="G44" s="75"/>
      <c r="H44" s="76" t="e">
        <f t="shared" ref="H44:H58" si="29">G44/G$7*100</f>
        <v>#DIV/0!</v>
      </c>
      <c r="I44" s="152">
        <f t="shared" si="0"/>
        <v>0</v>
      </c>
      <c r="J44" s="170" t="e">
        <f t="shared" ref="J44:J58" si="30">I44/I$7*100</f>
        <v>#DIV/0!</v>
      </c>
      <c r="K44" s="169"/>
      <c r="L44" s="76" t="e">
        <f t="shared" si="25"/>
        <v>#DIV/0!</v>
      </c>
      <c r="M44" s="75"/>
      <c r="N44" s="76" t="e">
        <f t="shared" ref="N44:N58" si="31">M44/M$7*100</f>
        <v>#DIV/0!</v>
      </c>
      <c r="O44" s="75"/>
      <c r="P44" s="76" t="e">
        <f t="shared" ref="P44:P58" si="32">O44/O$7*100</f>
        <v>#DIV/0!</v>
      </c>
      <c r="Q44" s="152">
        <f t="shared" ref="Q44:Q59" si="33">K44+M44+O44</f>
        <v>0</v>
      </c>
      <c r="R44" s="170" t="e">
        <f t="shared" ref="R44:R58" si="34">Q44/Q$7*100</f>
        <v>#DIV/0!</v>
      </c>
      <c r="S44" s="169"/>
      <c r="T44" s="76" t="e">
        <f t="shared" si="26"/>
        <v>#DIV/0!</v>
      </c>
      <c r="U44" s="75"/>
      <c r="V44" s="76" t="e">
        <f t="shared" ref="V44:V58" si="35">U44/U$7*100</f>
        <v>#DIV/0!</v>
      </c>
      <c r="W44" s="75"/>
      <c r="X44" s="76" t="e">
        <f t="shared" ref="X44:X58" si="36">W44/W$7*100</f>
        <v>#DIV/0!</v>
      </c>
      <c r="Y44" s="152">
        <f t="shared" ref="Y44:Y59" si="37">S44+U44+W44</f>
        <v>0</v>
      </c>
      <c r="Z44" s="170" t="e">
        <f t="shared" ref="Z44:Z58" si="38">Y44/Y$7*100</f>
        <v>#DIV/0!</v>
      </c>
      <c r="AA44" s="169"/>
      <c r="AB44" s="76" t="e">
        <f t="shared" si="27"/>
        <v>#DIV/0!</v>
      </c>
      <c r="AC44" s="75"/>
      <c r="AD44" s="76" t="e">
        <f t="shared" ref="AD44:AD58" si="39">AC44/AC$7*100</f>
        <v>#DIV/0!</v>
      </c>
      <c r="AE44" s="75"/>
      <c r="AF44" s="76" t="e">
        <f t="shared" ref="AF44:AF58" si="40">AE44/AE$7*100</f>
        <v>#DIV/0!</v>
      </c>
      <c r="AG44" s="152">
        <f t="shared" ref="AG44:AG59" si="41">AA44+AC44+AE44</f>
        <v>0</v>
      </c>
      <c r="AH44" s="170" t="e">
        <f t="shared" ref="AH44:AH58" si="42">AG44/AG$7*100</f>
        <v>#DIV/0!</v>
      </c>
    </row>
    <row r="45" spans="1:34" s="74" customFormat="1" ht="15" customHeight="1" outlineLevel="1">
      <c r="A45" s="350" t="s">
        <v>54</v>
      </c>
      <c r="B45" s="351"/>
      <c r="C45" s="171"/>
      <c r="D45" s="76" t="e">
        <f t="shared" si="24"/>
        <v>#DIV/0!</v>
      </c>
      <c r="E45" s="77"/>
      <c r="F45" s="76" t="e">
        <f t="shared" si="28"/>
        <v>#DIV/0!</v>
      </c>
      <c r="G45" s="77"/>
      <c r="H45" s="76" t="e">
        <f t="shared" si="29"/>
        <v>#DIV/0!</v>
      </c>
      <c r="I45" s="152">
        <f t="shared" si="0"/>
        <v>0</v>
      </c>
      <c r="J45" s="170" t="e">
        <f t="shared" si="30"/>
        <v>#DIV/0!</v>
      </c>
      <c r="K45" s="171"/>
      <c r="L45" s="76" t="e">
        <f t="shared" si="25"/>
        <v>#DIV/0!</v>
      </c>
      <c r="M45" s="77"/>
      <c r="N45" s="76" t="e">
        <f t="shared" si="31"/>
        <v>#DIV/0!</v>
      </c>
      <c r="O45" s="77"/>
      <c r="P45" s="76" t="e">
        <f t="shared" si="32"/>
        <v>#DIV/0!</v>
      </c>
      <c r="Q45" s="152">
        <f t="shared" si="33"/>
        <v>0</v>
      </c>
      <c r="R45" s="170" t="e">
        <f t="shared" si="34"/>
        <v>#DIV/0!</v>
      </c>
      <c r="S45" s="171"/>
      <c r="T45" s="76" t="e">
        <f t="shared" si="26"/>
        <v>#DIV/0!</v>
      </c>
      <c r="U45" s="77"/>
      <c r="V45" s="76" t="e">
        <f t="shared" si="35"/>
        <v>#DIV/0!</v>
      </c>
      <c r="W45" s="77"/>
      <c r="X45" s="76" t="e">
        <f t="shared" si="36"/>
        <v>#DIV/0!</v>
      </c>
      <c r="Y45" s="152">
        <f t="shared" si="37"/>
        <v>0</v>
      </c>
      <c r="Z45" s="170" t="e">
        <f t="shared" si="38"/>
        <v>#DIV/0!</v>
      </c>
      <c r="AA45" s="171"/>
      <c r="AB45" s="76" t="e">
        <f t="shared" si="27"/>
        <v>#DIV/0!</v>
      </c>
      <c r="AC45" s="77"/>
      <c r="AD45" s="76" t="e">
        <f t="shared" si="39"/>
        <v>#DIV/0!</v>
      </c>
      <c r="AE45" s="77"/>
      <c r="AF45" s="76" t="e">
        <f t="shared" si="40"/>
        <v>#DIV/0!</v>
      </c>
      <c r="AG45" s="152">
        <f t="shared" si="41"/>
        <v>0</v>
      </c>
      <c r="AH45" s="170" t="e">
        <f t="shared" si="42"/>
        <v>#DIV/0!</v>
      </c>
    </row>
    <row r="46" spans="1:34" s="74" customFormat="1" ht="15" customHeight="1" outlineLevel="1">
      <c r="A46" s="350" t="s">
        <v>254</v>
      </c>
      <c r="B46" s="351"/>
      <c r="C46" s="171"/>
      <c r="D46" s="76" t="e">
        <f t="shared" si="24"/>
        <v>#DIV/0!</v>
      </c>
      <c r="E46" s="77"/>
      <c r="F46" s="76" t="e">
        <f t="shared" si="28"/>
        <v>#DIV/0!</v>
      </c>
      <c r="G46" s="77"/>
      <c r="H46" s="76" t="e">
        <f t="shared" si="29"/>
        <v>#DIV/0!</v>
      </c>
      <c r="I46" s="152">
        <f t="shared" si="0"/>
        <v>0</v>
      </c>
      <c r="J46" s="170" t="e">
        <f t="shared" si="30"/>
        <v>#DIV/0!</v>
      </c>
      <c r="K46" s="171"/>
      <c r="L46" s="76" t="e">
        <f t="shared" si="25"/>
        <v>#DIV/0!</v>
      </c>
      <c r="M46" s="77"/>
      <c r="N46" s="76" t="e">
        <f t="shared" si="31"/>
        <v>#DIV/0!</v>
      </c>
      <c r="O46" s="77"/>
      <c r="P46" s="76" t="e">
        <f t="shared" si="32"/>
        <v>#DIV/0!</v>
      </c>
      <c r="Q46" s="152">
        <f t="shared" si="33"/>
        <v>0</v>
      </c>
      <c r="R46" s="170" t="e">
        <f t="shared" si="34"/>
        <v>#DIV/0!</v>
      </c>
      <c r="S46" s="171"/>
      <c r="T46" s="76" t="e">
        <f t="shared" si="26"/>
        <v>#DIV/0!</v>
      </c>
      <c r="U46" s="77"/>
      <c r="V46" s="76" t="e">
        <f t="shared" si="35"/>
        <v>#DIV/0!</v>
      </c>
      <c r="W46" s="77"/>
      <c r="X46" s="76" t="e">
        <f t="shared" si="36"/>
        <v>#DIV/0!</v>
      </c>
      <c r="Y46" s="152">
        <f t="shared" si="37"/>
        <v>0</v>
      </c>
      <c r="Z46" s="170" t="e">
        <f t="shared" si="38"/>
        <v>#DIV/0!</v>
      </c>
      <c r="AA46" s="171"/>
      <c r="AB46" s="76" t="e">
        <f t="shared" si="27"/>
        <v>#DIV/0!</v>
      </c>
      <c r="AC46" s="77"/>
      <c r="AD46" s="76" t="e">
        <f t="shared" si="39"/>
        <v>#DIV/0!</v>
      </c>
      <c r="AE46" s="77"/>
      <c r="AF46" s="76" t="e">
        <f t="shared" si="40"/>
        <v>#DIV/0!</v>
      </c>
      <c r="AG46" s="152">
        <f t="shared" si="41"/>
        <v>0</v>
      </c>
      <c r="AH46" s="170" t="e">
        <f t="shared" si="42"/>
        <v>#DIV/0!</v>
      </c>
    </row>
    <row r="47" spans="1:34" s="74" customFormat="1" ht="15" customHeight="1" outlineLevel="1">
      <c r="A47" s="350" t="s">
        <v>255</v>
      </c>
      <c r="B47" s="351"/>
      <c r="C47" s="169"/>
      <c r="D47" s="76" t="e">
        <f t="shared" si="24"/>
        <v>#DIV/0!</v>
      </c>
      <c r="E47" s="75"/>
      <c r="F47" s="76" t="e">
        <f t="shared" si="28"/>
        <v>#DIV/0!</v>
      </c>
      <c r="G47" s="75"/>
      <c r="H47" s="76" t="e">
        <f t="shared" si="29"/>
        <v>#DIV/0!</v>
      </c>
      <c r="I47" s="153">
        <f t="shared" si="0"/>
        <v>0</v>
      </c>
      <c r="J47" s="170" t="e">
        <f t="shared" si="30"/>
        <v>#DIV/0!</v>
      </c>
      <c r="K47" s="169"/>
      <c r="L47" s="76" t="e">
        <f t="shared" si="25"/>
        <v>#DIV/0!</v>
      </c>
      <c r="M47" s="75"/>
      <c r="N47" s="76" t="e">
        <f t="shared" si="31"/>
        <v>#DIV/0!</v>
      </c>
      <c r="O47" s="75"/>
      <c r="P47" s="76" t="e">
        <f t="shared" si="32"/>
        <v>#DIV/0!</v>
      </c>
      <c r="Q47" s="153">
        <f t="shared" si="33"/>
        <v>0</v>
      </c>
      <c r="R47" s="170" t="e">
        <f t="shared" si="34"/>
        <v>#DIV/0!</v>
      </c>
      <c r="S47" s="169"/>
      <c r="T47" s="76" t="e">
        <f t="shared" si="26"/>
        <v>#DIV/0!</v>
      </c>
      <c r="U47" s="75"/>
      <c r="V47" s="76" t="e">
        <f t="shared" si="35"/>
        <v>#DIV/0!</v>
      </c>
      <c r="W47" s="75"/>
      <c r="X47" s="76" t="e">
        <f t="shared" si="36"/>
        <v>#DIV/0!</v>
      </c>
      <c r="Y47" s="153">
        <f t="shared" si="37"/>
        <v>0</v>
      </c>
      <c r="Z47" s="170" t="e">
        <f t="shared" si="38"/>
        <v>#DIV/0!</v>
      </c>
      <c r="AA47" s="169"/>
      <c r="AB47" s="76" t="e">
        <f t="shared" si="27"/>
        <v>#DIV/0!</v>
      </c>
      <c r="AC47" s="75"/>
      <c r="AD47" s="76" t="e">
        <f t="shared" si="39"/>
        <v>#DIV/0!</v>
      </c>
      <c r="AE47" s="75"/>
      <c r="AF47" s="76" t="e">
        <f t="shared" si="40"/>
        <v>#DIV/0!</v>
      </c>
      <c r="AG47" s="153">
        <f t="shared" si="41"/>
        <v>0</v>
      </c>
      <c r="AH47" s="170" t="e">
        <f t="shared" si="42"/>
        <v>#DIV/0!</v>
      </c>
    </row>
    <row r="48" spans="1:34" s="74" customFormat="1" ht="15" customHeight="1">
      <c r="A48" s="372" t="s">
        <v>256</v>
      </c>
      <c r="B48" s="373"/>
      <c r="C48" s="167">
        <f>C49+C50</f>
        <v>0</v>
      </c>
      <c r="D48" s="151" t="e">
        <f t="shared" si="24"/>
        <v>#DIV/0!</v>
      </c>
      <c r="E48" s="150">
        <f>E49+E50</f>
        <v>0</v>
      </c>
      <c r="F48" s="151" t="e">
        <f t="shared" si="28"/>
        <v>#DIV/0!</v>
      </c>
      <c r="G48" s="150">
        <f>G49+G50</f>
        <v>0</v>
      </c>
      <c r="H48" s="151" t="e">
        <f t="shared" si="29"/>
        <v>#DIV/0!</v>
      </c>
      <c r="I48" s="150">
        <f t="shared" ref="I48:I59" si="43">C48+E48+G48</f>
        <v>0</v>
      </c>
      <c r="J48" s="168" t="e">
        <f t="shared" si="30"/>
        <v>#DIV/0!</v>
      </c>
      <c r="K48" s="167">
        <f>K49+K50</f>
        <v>0</v>
      </c>
      <c r="L48" s="151" t="e">
        <f t="shared" si="25"/>
        <v>#DIV/0!</v>
      </c>
      <c r="M48" s="150">
        <f>M49+M50</f>
        <v>0</v>
      </c>
      <c r="N48" s="151" t="e">
        <f t="shared" si="31"/>
        <v>#DIV/0!</v>
      </c>
      <c r="O48" s="150">
        <f>O49+O50</f>
        <v>0</v>
      </c>
      <c r="P48" s="151" t="e">
        <f t="shared" si="32"/>
        <v>#DIV/0!</v>
      </c>
      <c r="Q48" s="150">
        <f t="shared" si="33"/>
        <v>0</v>
      </c>
      <c r="R48" s="168" t="e">
        <f t="shared" si="34"/>
        <v>#DIV/0!</v>
      </c>
      <c r="S48" s="167">
        <f>S49+S50</f>
        <v>0</v>
      </c>
      <c r="T48" s="151" t="e">
        <f t="shared" si="26"/>
        <v>#DIV/0!</v>
      </c>
      <c r="U48" s="150">
        <f>U49+U50</f>
        <v>0</v>
      </c>
      <c r="V48" s="151" t="e">
        <f t="shared" si="35"/>
        <v>#DIV/0!</v>
      </c>
      <c r="W48" s="150">
        <f>W49+W50</f>
        <v>0</v>
      </c>
      <c r="X48" s="151" t="e">
        <f t="shared" si="36"/>
        <v>#DIV/0!</v>
      </c>
      <c r="Y48" s="150">
        <f t="shared" si="37"/>
        <v>0</v>
      </c>
      <c r="Z48" s="168" t="e">
        <f t="shared" si="38"/>
        <v>#DIV/0!</v>
      </c>
      <c r="AA48" s="167">
        <f>AA49+AA50</f>
        <v>0</v>
      </c>
      <c r="AB48" s="151" t="e">
        <f t="shared" si="27"/>
        <v>#DIV/0!</v>
      </c>
      <c r="AC48" s="150">
        <f>AC49+AC50</f>
        <v>0</v>
      </c>
      <c r="AD48" s="151" t="e">
        <f t="shared" si="39"/>
        <v>#DIV/0!</v>
      </c>
      <c r="AE48" s="150">
        <f>AE49+AE50</f>
        <v>0</v>
      </c>
      <c r="AF48" s="151" t="e">
        <f t="shared" si="40"/>
        <v>#DIV/0!</v>
      </c>
      <c r="AG48" s="150">
        <f t="shared" si="41"/>
        <v>0</v>
      </c>
      <c r="AH48" s="168" t="e">
        <f t="shared" si="42"/>
        <v>#DIV/0!</v>
      </c>
    </row>
    <row r="49" spans="1:34" s="74" customFormat="1" ht="15" customHeight="1" outlineLevel="1">
      <c r="A49" s="350" t="s">
        <v>58</v>
      </c>
      <c r="B49" s="351"/>
      <c r="C49" s="169"/>
      <c r="D49" s="76" t="e">
        <f t="shared" si="24"/>
        <v>#DIV/0!</v>
      </c>
      <c r="E49" s="75"/>
      <c r="F49" s="76" t="e">
        <f t="shared" si="28"/>
        <v>#DIV/0!</v>
      </c>
      <c r="G49" s="75"/>
      <c r="H49" s="76" t="e">
        <f t="shared" si="29"/>
        <v>#DIV/0!</v>
      </c>
      <c r="I49" s="153">
        <f t="shared" si="43"/>
        <v>0</v>
      </c>
      <c r="J49" s="170" t="e">
        <f t="shared" si="30"/>
        <v>#DIV/0!</v>
      </c>
      <c r="K49" s="169"/>
      <c r="L49" s="76" t="e">
        <f t="shared" si="25"/>
        <v>#DIV/0!</v>
      </c>
      <c r="M49" s="75"/>
      <c r="N49" s="76" t="e">
        <f t="shared" si="31"/>
        <v>#DIV/0!</v>
      </c>
      <c r="O49" s="75"/>
      <c r="P49" s="76" t="e">
        <f t="shared" si="32"/>
        <v>#DIV/0!</v>
      </c>
      <c r="Q49" s="153">
        <f t="shared" si="33"/>
        <v>0</v>
      </c>
      <c r="R49" s="170" t="e">
        <f t="shared" si="34"/>
        <v>#DIV/0!</v>
      </c>
      <c r="S49" s="169"/>
      <c r="T49" s="76" t="e">
        <f t="shared" si="26"/>
        <v>#DIV/0!</v>
      </c>
      <c r="U49" s="75"/>
      <c r="V49" s="76" t="e">
        <f t="shared" si="35"/>
        <v>#DIV/0!</v>
      </c>
      <c r="W49" s="75"/>
      <c r="X49" s="76" t="e">
        <f t="shared" si="36"/>
        <v>#DIV/0!</v>
      </c>
      <c r="Y49" s="153">
        <f t="shared" si="37"/>
        <v>0</v>
      </c>
      <c r="Z49" s="170" t="e">
        <f t="shared" si="38"/>
        <v>#DIV/0!</v>
      </c>
      <c r="AA49" s="169"/>
      <c r="AB49" s="76" t="e">
        <f t="shared" si="27"/>
        <v>#DIV/0!</v>
      </c>
      <c r="AC49" s="75"/>
      <c r="AD49" s="76" t="e">
        <f t="shared" si="39"/>
        <v>#DIV/0!</v>
      </c>
      <c r="AE49" s="75"/>
      <c r="AF49" s="76" t="e">
        <f t="shared" si="40"/>
        <v>#DIV/0!</v>
      </c>
      <c r="AG49" s="153">
        <f t="shared" si="41"/>
        <v>0</v>
      </c>
      <c r="AH49" s="170" t="e">
        <f t="shared" si="42"/>
        <v>#DIV/0!</v>
      </c>
    </row>
    <row r="50" spans="1:34" s="74" customFormat="1" ht="15" customHeight="1" outlineLevel="1">
      <c r="A50" s="350" t="s">
        <v>257</v>
      </c>
      <c r="B50" s="351"/>
      <c r="C50" s="169"/>
      <c r="D50" s="76" t="e">
        <f t="shared" si="24"/>
        <v>#DIV/0!</v>
      </c>
      <c r="E50" s="75"/>
      <c r="F50" s="76" t="e">
        <f t="shared" si="28"/>
        <v>#DIV/0!</v>
      </c>
      <c r="G50" s="75"/>
      <c r="H50" s="76" t="e">
        <f t="shared" si="29"/>
        <v>#DIV/0!</v>
      </c>
      <c r="I50" s="153">
        <f t="shared" si="43"/>
        <v>0</v>
      </c>
      <c r="J50" s="170" t="e">
        <f t="shared" si="30"/>
        <v>#DIV/0!</v>
      </c>
      <c r="K50" s="169"/>
      <c r="L50" s="76" t="e">
        <f t="shared" si="25"/>
        <v>#DIV/0!</v>
      </c>
      <c r="M50" s="75"/>
      <c r="N50" s="76" t="e">
        <f t="shared" si="31"/>
        <v>#DIV/0!</v>
      </c>
      <c r="O50" s="75"/>
      <c r="P50" s="76" t="e">
        <f t="shared" si="32"/>
        <v>#DIV/0!</v>
      </c>
      <c r="Q50" s="153">
        <f t="shared" si="33"/>
        <v>0</v>
      </c>
      <c r="R50" s="170" t="e">
        <f t="shared" si="34"/>
        <v>#DIV/0!</v>
      </c>
      <c r="S50" s="169"/>
      <c r="T50" s="76" t="e">
        <f t="shared" si="26"/>
        <v>#DIV/0!</v>
      </c>
      <c r="U50" s="75"/>
      <c r="V50" s="76" t="e">
        <f t="shared" si="35"/>
        <v>#DIV/0!</v>
      </c>
      <c r="W50" s="75"/>
      <c r="X50" s="76" t="e">
        <f t="shared" si="36"/>
        <v>#DIV/0!</v>
      </c>
      <c r="Y50" s="153">
        <f t="shared" si="37"/>
        <v>0</v>
      </c>
      <c r="Z50" s="170" t="e">
        <f t="shared" si="38"/>
        <v>#DIV/0!</v>
      </c>
      <c r="AA50" s="169"/>
      <c r="AB50" s="76" t="e">
        <f t="shared" si="27"/>
        <v>#DIV/0!</v>
      </c>
      <c r="AC50" s="75"/>
      <c r="AD50" s="76" t="e">
        <f t="shared" si="39"/>
        <v>#DIV/0!</v>
      </c>
      <c r="AE50" s="75"/>
      <c r="AF50" s="76" t="e">
        <f t="shared" si="40"/>
        <v>#DIV/0!</v>
      </c>
      <c r="AG50" s="153">
        <f t="shared" si="41"/>
        <v>0</v>
      </c>
      <c r="AH50" s="170" t="e">
        <f t="shared" si="42"/>
        <v>#DIV/0!</v>
      </c>
    </row>
    <row r="51" spans="1:34" s="74" customFormat="1" ht="15" customHeight="1">
      <c r="A51" s="372" t="s">
        <v>60</v>
      </c>
      <c r="B51" s="373"/>
      <c r="C51" s="167">
        <f>C52+C54+C53</f>
        <v>0</v>
      </c>
      <c r="D51" s="151" t="e">
        <f t="shared" si="24"/>
        <v>#DIV/0!</v>
      </c>
      <c r="E51" s="150">
        <f>E52+E54+E53</f>
        <v>0</v>
      </c>
      <c r="F51" s="151" t="e">
        <f t="shared" si="28"/>
        <v>#DIV/0!</v>
      </c>
      <c r="G51" s="150">
        <f>G52+G54+G53</f>
        <v>0</v>
      </c>
      <c r="H51" s="151" t="e">
        <f t="shared" si="29"/>
        <v>#DIV/0!</v>
      </c>
      <c r="I51" s="150">
        <f t="shared" si="43"/>
        <v>0</v>
      </c>
      <c r="J51" s="168" t="e">
        <f t="shared" si="30"/>
        <v>#DIV/0!</v>
      </c>
      <c r="K51" s="167">
        <f>K52+K54+K53</f>
        <v>0</v>
      </c>
      <c r="L51" s="151" t="e">
        <f t="shared" si="25"/>
        <v>#DIV/0!</v>
      </c>
      <c r="M51" s="150">
        <f>M52+M54+M53</f>
        <v>0</v>
      </c>
      <c r="N51" s="151" t="e">
        <f t="shared" si="31"/>
        <v>#DIV/0!</v>
      </c>
      <c r="O51" s="150">
        <f>O52+O54+O53</f>
        <v>0</v>
      </c>
      <c r="P51" s="151" t="e">
        <f t="shared" si="32"/>
        <v>#DIV/0!</v>
      </c>
      <c r="Q51" s="150">
        <f t="shared" si="33"/>
        <v>0</v>
      </c>
      <c r="R51" s="168" t="e">
        <f t="shared" si="34"/>
        <v>#DIV/0!</v>
      </c>
      <c r="S51" s="167">
        <f>S52+S54+S53</f>
        <v>0</v>
      </c>
      <c r="T51" s="151" t="e">
        <f t="shared" si="26"/>
        <v>#DIV/0!</v>
      </c>
      <c r="U51" s="150">
        <f>U52+U54+U53</f>
        <v>0</v>
      </c>
      <c r="V51" s="151" t="e">
        <f t="shared" si="35"/>
        <v>#DIV/0!</v>
      </c>
      <c r="W51" s="150">
        <f>W52+W54+W53</f>
        <v>0</v>
      </c>
      <c r="X51" s="151" t="e">
        <f t="shared" si="36"/>
        <v>#DIV/0!</v>
      </c>
      <c r="Y51" s="150">
        <f t="shared" si="37"/>
        <v>0</v>
      </c>
      <c r="Z51" s="168" t="e">
        <f t="shared" si="38"/>
        <v>#DIV/0!</v>
      </c>
      <c r="AA51" s="167">
        <f>AA52+AA54+AA53</f>
        <v>0</v>
      </c>
      <c r="AB51" s="151" t="e">
        <f t="shared" si="27"/>
        <v>#DIV/0!</v>
      </c>
      <c r="AC51" s="150">
        <f>AC52+AC54+AC53</f>
        <v>0</v>
      </c>
      <c r="AD51" s="151" t="e">
        <f t="shared" si="39"/>
        <v>#DIV/0!</v>
      </c>
      <c r="AE51" s="150">
        <f>AE52+AE54+AE53</f>
        <v>0</v>
      </c>
      <c r="AF51" s="151" t="e">
        <f t="shared" si="40"/>
        <v>#DIV/0!</v>
      </c>
      <c r="AG51" s="150">
        <f t="shared" si="41"/>
        <v>0</v>
      </c>
      <c r="AH51" s="168" t="e">
        <f t="shared" si="42"/>
        <v>#DIV/0!</v>
      </c>
    </row>
    <row r="52" spans="1:34" s="74" customFormat="1" ht="15" customHeight="1" outlineLevel="1">
      <c r="A52" s="350" t="s">
        <v>258</v>
      </c>
      <c r="B52" s="351"/>
      <c r="C52" s="169"/>
      <c r="D52" s="76" t="e">
        <f t="shared" si="24"/>
        <v>#DIV/0!</v>
      </c>
      <c r="E52" s="75"/>
      <c r="F52" s="76" t="e">
        <f t="shared" si="28"/>
        <v>#DIV/0!</v>
      </c>
      <c r="G52" s="75"/>
      <c r="H52" s="76" t="e">
        <f t="shared" si="29"/>
        <v>#DIV/0!</v>
      </c>
      <c r="I52" s="153">
        <f t="shared" si="43"/>
        <v>0</v>
      </c>
      <c r="J52" s="170" t="e">
        <f t="shared" si="30"/>
        <v>#DIV/0!</v>
      </c>
      <c r="K52" s="169"/>
      <c r="L52" s="76" t="e">
        <f t="shared" si="25"/>
        <v>#DIV/0!</v>
      </c>
      <c r="M52" s="75"/>
      <c r="N52" s="76" t="e">
        <f t="shared" si="31"/>
        <v>#DIV/0!</v>
      </c>
      <c r="O52" s="75"/>
      <c r="P52" s="76" t="e">
        <f t="shared" si="32"/>
        <v>#DIV/0!</v>
      </c>
      <c r="Q52" s="153">
        <f t="shared" si="33"/>
        <v>0</v>
      </c>
      <c r="R52" s="170" t="e">
        <f t="shared" si="34"/>
        <v>#DIV/0!</v>
      </c>
      <c r="S52" s="169"/>
      <c r="T52" s="76" t="e">
        <f t="shared" si="26"/>
        <v>#DIV/0!</v>
      </c>
      <c r="U52" s="75"/>
      <c r="V52" s="76" t="e">
        <f t="shared" si="35"/>
        <v>#DIV/0!</v>
      </c>
      <c r="W52" s="75"/>
      <c r="X52" s="76" t="e">
        <f t="shared" si="36"/>
        <v>#DIV/0!</v>
      </c>
      <c r="Y52" s="153">
        <f t="shared" si="37"/>
        <v>0</v>
      </c>
      <c r="Z52" s="170" t="e">
        <f t="shared" si="38"/>
        <v>#DIV/0!</v>
      </c>
      <c r="AA52" s="169"/>
      <c r="AB52" s="76" t="e">
        <f t="shared" si="27"/>
        <v>#DIV/0!</v>
      </c>
      <c r="AC52" s="75"/>
      <c r="AD52" s="76" t="e">
        <f t="shared" si="39"/>
        <v>#DIV/0!</v>
      </c>
      <c r="AE52" s="75"/>
      <c r="AF52" s="76" t="e">
        <f t="shared" si="40"/>
        <v>#DIV/0!</v>
      </c>
      <c r="AG52" s="153">
        <f t="shared" si="41"/>
        <v>0</v>
      </c>
      <c r="AH52" s="170" t="e">
        <f t="shared" si="42"/>
        <v>#DIV/0!</v>
      </c>
    </row>
    <row r="53" spans="1:34" s="74" customFormat="1" ht="15" customHeight="1" outlineLevel="1">
      <c r="A53" s="351" t="s">
        <v>62</v>
      </c>
      <c r="B53" s="376"/>
      <c r="C53" s="169"/>
      <c r="D53" s="76" t="e">
        <f t="shared" si="24"/>
        <v>#DIV/0!</v>
      </c>
      <c r="E53" s="75"/>
      <c r="F53" s="76" t="e">
        <f t="shared" si="28"/>
        <v>#DIV/0!</v>
      </c>
      <c r="G53" s="75"/>
      <c r="H53" s="76" t="e">
        <f t="shared" si="29"/>
        <v>#DIV/0!</v>
      </c>
      <c r="I53" s="153">
        <f t="shared" si="43"/>
        <v>0</v>
      </c>
      <c r="J53" s="170" t="e">
        <f t="shared" si="30"/>
        <v>#DIV/0!</v>
      </c>
      <c r="K53" s="169"/>
      <c r="L53" s="76" t="e">
        <f t="shared" si="25"/>
        <v>#DIV/0!</v>
      </c>
      <c r="M53" s="75"/>
      <c r="N53" s="76" t="e">
        <f t="shared" si="31"/>
        <v>#DIV/0!</v>
      </c>
      <c r="O53" s="75"/>
      <c r="P53" s="76" t="e">
        <f t="shared" si="32"/>
        <v>#DIV/0!</v>
      </c>
      <c r="Q53" s="153">
        <f t="shared" si="33"/>
        <v>0</v>
      </c>
      <c r="R53" s="170" t="e">
        <f t="shared" si="34"/>
        <v>#DIV/0!</v>
      </c>
      <c r="S53" s="169"/>
      <c r="T53" s="76" t="e">
        <f t="shared" si="26"/>
        <v>#DIV/0!</v>
      </c>
      <c r="U53" s="75"/>
      <c r="V53" s="76" t="e">
        <f t="shared" si="35"/>
        <v>#DIV/0!</v>
      </c>
      <c r="W53" s="75"/>
      <c r="X53" s="76" t="e">
        <f t="shared" si="36"/>
        <v>#DIV/0!</v>
      </c>
      <c r="Y53" s="153">
        <f t="shared" si="37"/>
        <v>0</v>
      </c>
      <c r="Z53" s="170" t="e">
        <f t="shared" si="38"/>
        <v>#DIV/0!</v>
      </c>
      <c r="AA53" s="169"/>
      <c r="AB53" s="76" t="e">
        <f t="shared" si="27"/>
        <v>#DIV/0!</v>
      </c>
      <c r="AC53" s="75"/>
      <c r="AD53" s="76" t="e">
        <f t="shared" si="39"/>
        <v>#DIV/0!</v>
      </c>
      <c r="AE53" s="75"/>
      <c r="AF53" s="76" t="e">
        <f t="shared" si="40"/>
        <v>#DIV/0!</v>
      </c>
      <c r="AG53" s="153">
        <f t="shared" si="41"/>
        <v>0</v>
      </c>
      <c r="AH53" s="170" t="e">
        <f t="shared" si="42"/>
        <v>#DIV/0!</v>
      </c>
    </row>
    <row r="54" spans="1:34" s="74" customFormat="1" ht="15" customHeight="1" outlineLevel="1">
      <c r="A54" s="380" t="s">
        <v>63</v>
      </c>
      <c r="B54" s="381"/>
      <c r="C54" s="171"/>
      <c r="D54" s="76" t="e">
        <f t="shared" si="24"/>
        <v>#DIV/0!</v>
      </c>
      <c r="E54" s="77"/>
      <c r="F54" s="76" t="e">
        <f t="shared" si="28"/>
        <v>#DIV/0!</v>
      </c>
      <c r="G54" s="77"/>
      <c r="H54" s="76" t="e">
        <f t="shared" si="29"/>
        <v>#DIV/0!</v>
      </c>
      <c r="I54" s="152">
        <f t="shared" si="43"/>
        <v>0</v>
      </c>
      <c r="J54" s="170" t="e">
        <f t="shared" si="30"/>
        <v>#DIV/0!</v>
      </c>
      <c r="K54" s="171"/>
      <c r="L54" s="76" t="e">
        <f t="shared" si="25"/>
        <v>#DIV/0!</v>
      </c>
      <c r="M54" s="77"/>
      <c r="N54" s="76" t="e">
        <f t="shared" si="31"/>
        <v>#DIV/0!</v>
      </c>
      <c r="O54" s="77"/>
      <c r="P54" s="76" t="e">
        <f t="shared" si="32"/>
        <v>#DIV/0!</v>
      </c>
      <c r="Q54" s="152">
        <f t="shared" si="33"/>
        <v>0</v>
      </c>
      <c r="R54" s="170" t="e">
        <f t="shared" si="34"/>
        <v>#DIV/0!</v>
      </c>
      <c r="S54" s="171"/>
      <c r="T54" s="76" t="e">
        <f t="shared" si="26"/>
        <v>#DIV/0!</v>
      </c>
      <c r="U54" s="77"/>
      <c r="V54" s="76" t="e">
        <f t="shared" si="35"/>
        <v>#DIV/0!</v>
      </c>
      <c r="W54" s="77"/>
      <c r="X54" s="76" t="e">
        <f t="shared" si="36"/>
        <v>#DIV/0!</v>
      </c>
      <c r="Y54" s="152">
        <f t="shared" si="37"/>
        <v>0</v>
      </c>
      <c r="Z54" s="170" t="e">
        <f t="shared" si="38"/>
        <v>#DIV/0!</v>
      </c>
      <c r="AA54" s="171"/>
      <c r="AB54" s="76" t="e">
        <f t="shared" si="27"/>
        <v>#DIV/0!</v>
      </c>
      <c r="AC54" s="77"/>
      <c r="AD54" s="76" t="e">
        <f t="shared" si="39"/>
        <v>#DIV/0!</v>
      </c>
      <c r="AE54" s="77"/>
      <c r="AF54" s="76" t="e">
        <f t="shared" si="40"/>
        <v>#DIV/0!</v>
      </c>
      <c r="AG54" s="152">
        <f t="shared" si="41"/>
        <v>0</v>
      </c>
      <c r="AH54" s="170" t="e">
        <f t="shared" si="42"/>
        <v>#DIV/0!</v>
      </c>
    </row>
    <row r="55" spans="1:34" s="74" customFormat="1" ht="15" customHeight="1">
      <c r="A55" s="382" t="s">
        <v>64</v>
      </c>
      <c r="B55" s="383"/>
      <c r="C55" s="167">
        <f>C56+C57+C58</f>
        <v>0</v>
      </c>
      <c r="D55" s="151" t="e">
        <f t="shared" si="24"/>
        <v>#DIV/0!</v>
      </c>
      <c r="E55" s="150">
        <f>E56+E57+E58</f>
        <v>0</v>
      </c>
      <c r="F55" s="151" t="e">
        <f t="shared" si="28"/>
        <v>#DIV/0!</v>
      </c>
      <c r="G55" s="150">
        <f>G56+G57+G58</f>
        <v>0</v>
      </c>
      <c r="H55" s="151" t="e">
        <f t="shared" si="29"/>
        <v>#DIV/0!</v>
      </c>
      <c r="I55" s="150">
        <f t="shared" si="43"/>
        <v>0</v>
      </c>
      <c r="J55" s="168" t="e">
        <f t="shared" si="30"/>
        <v>#DIV/0!</v>
      </c>
      <c r="K55" s="167">
        <f>K56+K57+K58</f>
        <v>0</v>
      </c>
      <c r="L55" s="151" t="e">
        <f t="shared" si="25"/>
        <v>#DIV/0!</v>
      </c>
      <c r="M55" s="150">
        <f>M56+M57+M58</f>
        <v>0</v>
      </c>
      <c r="N55" s="151" t="e">
        <f t="shared" si="31"/>
        <v>#DIV/0!</v>
      </c>
      <c r="O55" s="150">
        <f>O56+O57+O58</f>
        <v>0</v>
      </c>
      <c r="P55" s="151" t="e">
        <f t="shared" si="32"/>
        <v>#DIV/0!</v>
      </c>
      <c r="Q55" s="150">
        <f t="shared" si="33"/>
        <v>0</v>
      </c>
      <c r="R55" s="168" t="e">
        <f t="shared" si="34"/>
        <v>#DIV/0!</v>
      </c>
      <c r="S55" s="167">
        <f>S56+S57+S58</f>
        <v>0</v>
      </c>
      <c r="T55" s="151" t="e">
        <f t="shared" si="26"/>
        <v>#DIV/0!</v>
      </c>
      <c r="U55" s="150">
        <f>U56+U57+U58</f>
        <v>0</v>
      </c>
      <c r="V55" s="151" t="e">
        <f t="shared" si="35"/>
        <v>#DIV/0!</v>
      </c>
      <c r="W55" s="150">
        <f>W56+W57+W58</f>
        <v>0</v>
      </c>
      <c r="X55" s="151" t="e">
        <f t="shared" si="36"/>
        <v>#DIV/0!</v>
      </c>
      <c r="Y55" s="150">
        <f t="shared" si="37"/>
        <v>0</v>
      </c>
      <c r="Z55" s="168" t="e">
        <f t="shared" si="38"/>
        <v>#DIV/0!</v>
      </c>
      <c r="AA55" s="167">
        <f>AA56+AA57+AA58</f>
        <v>0</v>
      </c>
      <c r="AB55" s="151" t="e">
        <f t="shared" si="27"/>
        <v>#DIV/0!</v>
      </c>
      <c r="AC55" s="150">
        <f>AC56+AC57+AC58</f>
        <v>0</v>
      </c>
      <c r="AD55" s="151" t="e">
        <f t="shared" si="39"/>
        <v>#DIV/0!</v>
      </c>
      <c r="AE55" s="150">
        <f>AE56+AE57+AE58</f>
        <v>0</v>
      </c>
      <c r="AF55" s="151" t="e">
        <f t="shared" si="40"/>
        <v>#DIV/0!</v>
      </c>
      <c r="AG55" s="150">
        <f t="shared" si="41"/>
        <v>0</v>
      </c>
      <c r="AH55" s="168" t="e">
        <f t="shared" si="42"/>
        <v>#DIV/0!</v>
      </c>
    </row>
    <row r="56" spans="1:34" s="74" customFormat="1" ht="15" customHeight="1" outlineLevel="1">
      <c r="A56" s="350" t="s">
        <v>259</v>
      </c>
      <c r="B56" s="351"/>
      <c r="C56" s="169"/>
      <c r="D56" s="76" t="e">
        <f t="shared" si="24"/>
        <v>#DIV/0!</v>
      </c>
      <c r="E56" s="77"/>
      <c r="F56" s="76" t="e">
        <f t="shared" si="28"/>
        <v>#DIV/0!</v>
      </c>
      <c r="G56" s="75"/>
      <c r="H56" s="76" t="e">
        <f t="shared" si="29"/>
        <v>#DIV/0!</v>
      </c>
      <c r="I56" s="152">
        <f t="shared" si="43"/>
        <v>0</v>
      </c>
      <c r="J56" s="170" t="e">
        <f t="shared" si="30"/>
        <v>#DIV/0!</v>
      </c>
      <c r="K56" s="169"/>
      <c r="L56" s="76" t="e">
        <f t="shared" si="25"/>
        <v>#DIV/0!</v>
      </c>
      <c r="M56" s="77"/>
      <c r="N56" s="76" t="e">
        <f t="shared" si="31"/>
        <v>#DIV/0!</v>
      </c>
      <c r="O56" s="75"/>
      <c r="P56" s="76" t="e">
        <f t="shared" si="32"/>
        <v>#DIV/0!</v>
      </c>
      <c r="Q56" s="152">
        <f t="shared" si="33"/>
        <v>0</v>
      </c>
      <c r="R56" s="170" t="e">
        <f t="shared" si="34"/>
        <v>#DIV/0!</v>
      </c>
      <c r="S56" s="169"/>
      <c r="T56" s="76" t="e">
        <f t="shared" si="26"/>
        <v>#DIV/0!</v>
      </c>
      <c r="U56" s="77"/>
      <c r="V56" s="76" t="e">
        <f t="shared" si="35"/>
        <v>#DIV/0!</v>
      </c>
      <c r="W56" s="75"/>
      <c r="X56" s="76" t="e">
        <f t="shared" si="36"/>
        <v>#DIV/0!</v>
      </c>
      <c r="Y56" s="152">
        <f t="shared" si="37"/>
        <v>0</v>
      </c>
      <c r="Z56" s="170" t="e">
        <f t="shared" si="38"/>
        <v>#DIV/0!</v>
      </c>
      <c r="AA56" s="169"/>
      <c r="AB56" s="76" t="e">
        <f t="shared" si="27"/>
        <v>#DIV/0!</v>
      </c>
      <c r="AC56" s="77"/>
      <c r="AD56" s="76" t="e">
        <f t="shared" si="39"/>
        <v>#DIV/0!</v>
      </c>
      <c r="AE56" s="75"/>
      <c r="AF56" s="76" t="e">
        <f t="shared" si="40"/>
        <v>#DIV/0!</v>
      </c>
      <c r="AG56" s="152">
        <f t="shared" si="41"/>
        <v>0</v>
      </c>
      <c r="AH56" s="170" t="e">
        <f t="shared" si="42"/>
        <v>#DIV/0!</v>
      </c>
    </row>
    <row r="57" spans="1:34" s="74" customFormat="1" ht="15" customHeight="1" outlineLevel="1">
      <c r="A57" s="350" t="s">
        <v>65</v>
      </c>
      <c r="B57" s="351"/>
      <c r="C57" s="169"/>
      <c r="D57" s="76" t="e">
        <f t="shared" si="24"/>
        <v>#DIV/0!</v>
      </c>
      <c r="E57" s="75"/>
      <c r="F57" s="76" t="e">
        <f t="shared" si="28"/>
        <v>#DIV/0!</v>
      </c>
      <c r="G57" s="75"/>
      <c r="H57" s="76" t="e">
        <f t="shared" si="29"/>
        <v>#DIV/0!</v>
      </c>
      <c r="I57" s="153">
        <f t="shared" si="43"/>
        <v>0</v>
      </c>
      <c r="J57" s="170" t="e">
        <f t="shared" si="30"/>
        <v>#DIV/0!</v>
      </c>
      <c r="K57" s="169"/>
      <c r="L57" s="76" t="e">
        <f t="shared" si="25"/>
        <v>#DIV/0!</v>
      </c>
      <c r="M57" s="75"/>
      <c r="N57" s="76" t="e">
        <f t="shared" si="31"/>
        <v>#DIV/0!</v>
      </c>
      <c r="O57" s="75"/>
      <c r="P57" s="76" t="e">
        <f t="shared" si="32"/>
        <v>#DIV/0!</v>
      </c>
      <c r="Q57" s="153">
        <f t="shared" si="33"/>
        <v>0</v>
      </c>
      <c r="R57" s="170" t="e">
        <f t="shared" si="34"/>
        <v>#DIV/0!</v>
      </c>
      <c r="S57" s="169"/>
      <c r="T57" s="76" t="e">
        <f t="shared" si="26"/>
        <v>#DIV/0!</v>
      </c>
      <c r="U57" s="75"/>
      <c r="V57" s="76" t="e">
        <f t="shared" si="35"/>
        <v>#DIV/0!</v>
      </c>
      <c r="W57" s="75"/>
      <c r="X57" s="76" t="e">
        <f t="shared" si="36"/>
        <v>#DIV/0!</v>
      </c>
      <c r="Y57" s="153">
        <f t="shared" si="37"/>
        <v>0</v>
      </c>
      <c r="Z57" s="170" t="e">
        <f t="shared" si="38"/>
        <v>#DIV/0!</v>
      </c>
      <c r="AA57" s="169"/>
      <c r="AB57" s="76" t="e">
        <f t="shared" si="27"/>
        <v>#DIV/0!</v>
      </c>
      <c r="AC57" s="75"/>
      <c r="AD57" s="76" t="e">
        <f t="shared" si="39"/>
        <v>#DIV/0!</v>
      </c>
      <c r="AE57" s="75"/>
      <c r="AF57" s="76" t="e">
        <f t="shared" si="40"/>
        <v>#DIV/0!</v>
      </c>
      <c r="AG57" s="153">
        <f t="shared" si="41"/>
        <v>0</v>
      </c>
      <c r="AH57" s="170" t="e">
        <f t="shared" si="42"/>
        <v>#DIV/0!</v>
      </c>
    </row>
    <row r="58" spans="1:34" s="74" customFormat="1" ht="15" customHeight="1" outlineLevel="1" thickBot="1">
      <c r="A58" s="350" t="s">
        <v>66</v>
      </c>
      <c r="B58" s="351"/>
      <c r="C58" s="173"/>
      <c r="D58" s="174" t="e">
        <f t="shared" si="24"/>
        <v>#DIV/0!</v>
      </c>
      <c r="E58" s="175"/>
      <c r="F58" s="174" t="e">
        <f t="shared" si="28"/>
        <v>#DIV/0!</v>
      </c>
      <c r="G58" s="175"/>
      <c r="H58" s="174" t="e">
        <f t="shared" si="29"/>
        <v>#DIV/0!</v>
      </c>
      <c r="I58" s="176">
        <f t="shared" si="43"/>
        <v>0</v>
      </c>
      <c r="J58" s="177" t="e">
        <f t="shared" si="30"/>
        <v>#DIV/0!</v>
      </c>
      <c r="K58" s="173"/>
      <c r="L58" s="174" t="e">
        <f t="shared" si="25"/>
        <v>#DIV/0!</v>
      </c>
      <c r="M58" s="175"/>
      <c r="N58" s="174" t="e">
        <f t="shared" si="31"/>
        <v>#DIV/0!</v>
      </c>
      <c r="O58" s="175"/>
      <c r="P58" s="174" t="e">
        <f t="shared" si="32"/>
        <v>#DIV/0!</v>
      </c>
      <c r="Q58" s="176">
        <f t="shared" si="33"/>
        <v>0</v>
      </c>
      <c r="R58" s="177" t="e">
        <f t="shared" si="34"/>
        <v>#DIV/0!</v>
      </c>
      <c r="S58" s="173"/>
      <c r="T58" s="174" t="e">
        <f t="shared" si="26"/>
        <v>#DIV/0!</v>
      </c>
      <c r="U58" s="175"/>
      <c r="V58" s="174" t="e">
        <f t="shared" si="35"/>
        <v>#DIV/0!</v>
      </c>
      <c r="W58" s="175"/>
      <c r="X58" s="174" t="e">
        <f t="shared" si="36"/>
        <v>#DIV/0!</v>
      </c>
      <c r="Y58" s="176">
        <f t="shared" si="37"/>
        <v>0</v>
      </c>
      <c r="Z58" s="177" t="e">
        <f t="shared" si="38"/>
        <v>#DIV/0!</v>
      </c>
      <c r="AA58" s="173"/>
      <c r="AB58" s="174" t="e">
        <f t="shared" si="27"/>
        <v>#DIV/0!</v>
      </c>
      <c r="AC58" s="175"/>
      <c r="AD58" s="174" t="e">
        <f t="shared" si="39"/>
        <v>#DIV/0!</v>
      </c>
      <c r="AE58" s="175"/>
      <c r="AF58" s="174" t="e">
        <f t="shared" si="40"/>
        <v>#DIV/0!</v>
      </c>
      <c r="AG58" s="176">
        <f t="shared" si="41"/>
        <v>0</v>
      </c>
      <c r="AH58" s="177" t="e">
        <f t="shared" si="42"/>
        <v>#DIV/0!</v>
      </c>
    </row>
    <row r="59" spans="1:34" s="74" customFormat="1" ht="11.1" customHeight="1">
      <c r="A59" s="377"/>
      <c r="B59" s="377"/>
      <c r="C59" s="159"/>
      <c r="D59" s="160"/>
      <c r="E59" s="159"/>
      <c r="F59" s="160"/>
      <c r="G59" s="159"/>
      <c r="H59" s="160"/>
      <c r="I59" s="159">
        <f t="shared" si="43"/>
        <v>0</v>
      </c>
      <c r="J59" s="160"/>
      <c r="K59" s="159"/>
      <c r="L59" s="160"/>
      <c r="M59" s="159"/>
      <c r="N59" s="160"/>
      <c r="O59" s="159"/>
      <c r="P59" s="160"/>
      <c r="Q59" s="159">
        <f t="shared" si="33"/>
        <v>0</v>
      </c>
      <c r="R59" s="160"/>
      <c r="S59" s="159"/>
      <c r="T59" s="160"/>
      <c r="U59" s="159"/>
      <c r="V59" s="160"/>
      <c r="W59" s="159"/>
      <c r="X59" s="160"/>
      <c r="Y59" s="159">
        <f t="shared" si="37"/>
        <v>0</v>
      </c>
      <c r="Z59" s="160"/>
      <c r="AA59" s="159"/>
      <c r="AB59" s="160"/>
      <c r="AC59" s="159"/>
      <c r="AD59" s="160"/>
      <c r="AE59" s="159"/>
      <c r="AF59" s="160"/>
      <c r="AG59" s="159">
        <f t="shared" si="41"/>
        <v>0</v>
      </c>
      <c r="AH59" s="160"/>
    </row>
    <row r="60" spans="1:34" collapsed="1"/>
  </sheetData>
  <mergeCells count="69">
    <mergeCell ref="AC3:AD3"/>
    <mergeCell ref="AE3:AF3"/>
    <mergeCell ref="AG3:AH4"/>
    <mergeCell ref="AA4:AB4"/>
    <mergeCell ref="AC4:AD4"/>
    <mergeCell ref="AE4:AF4"/>
    <mergeCell ref="AA3:AB3"/>
    <mergeCell ref="W3:X3"/>
    <mergeCell ref="Y3:Z4"/>
    <mergeCell ref="S4:T4"/>
    <mergeCell ref="U4:V4"/>
    <mergeCell ref="W4:X4"/>
    <mergeCell ref="U3:V3"/>
    <mergeCell ref="Q3:R4"/>
    <mergeCell ref="K4:L4"/>
    <mergeCell ref="M4:N4"/>
    <mergeCell ref="O4:P4"/>
    <mergeCell ref="S3:T3"/>
    <mergeCell ref="O3:P3"/>
    <mergeCell ref="K3:L3"/>
    <mergeCell ref="M3:N3"/>
    <mergeCell ref="A20:B20"/>
    <mergeCell ref="A57:B57"/>
    <mergeCell ref="A58:B58"/>
    <mergeCell ref="A59:B59"/>
    <mergeCell ref="A8:B8"/>
    <mergeCell ref="A30:B30"/>
    <mergeCell ref="A53:B53"/>
    <mergeCell ref="A50:B50"/>
    <mergeCell ref="A51:B51"/>
    <mergeCell ref="A52:B52"/>
    <mergeCell ref="A54:B54"/>
    <mergeCell ref="A55:B55"/>
    <mergeCell ref="A56:B56"/>
    <mergeCell ref="A47:B47"/>
    <mergeCell ref="A48:B48"/>
    <mergeCell ref="A49:B49"/>
    <mergeCell ref="A15:B15"/>
    <mergeCell ref="A16:B16"/>
    <mergeCell ref="A17:B17"/>
    <mergeCell ref="A18:B18"/>
    <mergeCell ref="A19:B19"/>
    <mergeCell ref="A44:B44"/>
    <mergeCell ref="A45:B45"/>
    <mergeCell ref="A46:B46"/>
    <mergeCell ref="A21:B21"/>
    <mergeCell ref="A22:B22"/>
    <mergeCell ref="A23:B23"/>
    <mergeCell ref="A24:B24"/>
    <mergeCell ref="A25:B25"/>
    <mergeCell ref="A36:B36"/>
    <mergeCell ref="A40:B40"/>
    <mergeCell ref="A41:B41"/>
    <mergeCell ref="A14:B14"/>
    <mergeCell ref="I3:J4"/>
    <mergeCell ref="C4:D4"/>
    <mergeCell ref="E4:F4"/>
    <mergeCell ref="G4:H4"/>
    <mergeCell ref="A6:B6"/>
    <mergeCell ref="A3:B5"/>
    <mergeCell ref="C3:D3"/>
    <mergeCell ref="G3:H3"/>
    <mergeCell ref="E3:F3"/>
    <mergeCell ref="A9:B9"/>
    <mergeCell ref="A10:B10"/>
    <mergeCell ref="A11:B11"/>
    <mergeCell ref="A12:B12"/>
    <mergeCell ref="A13:B13"/>
    <mergeCell ref="A7:B7"/>
  </mergeCells>
  <pageMargins left="0.7" right="0.7" top="0.75" bottom="0.75" header="0.3" footer="0.3"/>
  <pageSetup paperSize="9" scale="3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6">
    <pageSetUpPr fitToPage="1"/>
  </sheetPr>
  <dimension ref="B1:C38"/>
  <sheetViews>
    <sheetView showGridLines="0" topLeftCell="A3" zoomScale="70" zoomScaleNormal="70" workbookViewId="0">
      <selection activeCell="B13" sqref="B13"/>
    </sheetView>
  </sheetViews>
  <sheetFormatPr defaultColWidth="9.140625" defaultRowHeight="12.95"/>
  <cols>
    <col min="1" max="1" width="3" style="62" customWidth="1"/>
    <col min="2" max="2" width="40.5703125" style="66" customWidth="1"/>
    <col min="3" max="3" width="74.42578125" style="66" customWidth="1"/>
    <col min="4" max="4" width="3" style="62" customWidth="1"/>
    <col min="5" max="6" width="3.5703125" style="62" customWidth="1"/>
    <col min="7" max="16384" width="9.140625" style="62"/>
  </cols>
  <sheetData>
    <row r="1" spans="2:3" ht="7.5" customHeight="1"/>
    <row r="2" spans="2:3" ht="18.600000000000001">
      <c r="B2" s="384" t="s">
        <v>260</v>
      </c>
      <c r="C2" s="384"/>
    </row>
    <row r="3" spans="2:3" ht="9.75" customHeight="1">
      <c r="B3" s="67"/>
      <c r="C3" s="67"/>
    </row>
    <row r="4" spans="2:3" ht="18.75" customHeight="1">
      <c r="B4" s="33" t="s">
        <v>261</v>
      </c>
      <c r="C4" s="69"/>
    </row>
    <row r="5" spans="2:3" ht="19.5" customHeight="1">
      <c r="B5" s="70" t="s">
        <v>31</v>
      </c>
      <c r="C5" s="71" t="s">
        <v>262</v>
      </c>
    </row>
    <row r="6" spans="2:3" ht="19.5" customHeight="1">
      <c r="B6" s="70" t="s">
        <v>32</v>
      </c>
      <c r="C6" s="71" t="s">
        <v>263</v>
      </c>
    </row>
    <row r="7" spans="2:3" ht="19.5" customHeight="1">
      <c r="B7" s="70" t="s">
        <v>33</v>
      </c>
      <c r="C7" s="71" t="s">
        <v>188</v>
      </c>
    </row>
    <row r="8" spans="2:3" ht="19.5" customHeight="1">
      <c r="B8" s="70" t="s">
        <v>34</v>
      </c>
      <c r="C8" s="71" t="s">
        <v>190</v>
      </c>
    </row>
    <row r="9" spans="2:3" ht="19.5" customHeight="1">
      <c r="B9" s="70" t="s">
        <v>35</v>
      </c>
      <c r="C9" s="71" t="s">
        <v>264</v>
      </c>
    </row>
    <row r="10" spans="2:3" ht="19.5" customHeight="1">
      <c r="B10" s="70" t="s">
        <v>36</v>
      </c>
      <c r="C10" s="71" t="s">
        <v>194</v>
      </c>
    </row>
    <row r="11" spans="2:3" ht="18.75" customHeight="1">
      <c r="B11" s="33" t="s">
        <v>38</v>
      </c>
      <c r="C11" s="69"/>
    </row>
    <row r="12" spans="2:3" s="68" customFormat="1" ht="18.75" customHeight="1">
      <c r="B12" s="70" t="s">
        <v>265</v>
      </c>
      <c r="C12" s="71" t="s">
        <v>266</v>
      </c>
    </row>
    <row r="13" spans="2:3" s="68" customFormat="1" ht="18.75" customHeight="1">
      <c r="B13" s="70" t="s">
        <v>267</v>
      </c>
      <c r="C13" s="71" t="s">
        <v>268</v>
      </c>
    </row>
    <row r="14" spans="2:3" s="68" customFormat="1" ht="18.75" customHeight="1">
      <c r="B14" s="70" t="s">
        <v>269</v>
      </c>
      <c r="C14" s="71" t="s">
        <v>270</v>
      </c>
    </row>
    <row r="15" spans="2:3" s="68" customFormat="1" ht="18.75" customHeight="1">
      <c r="B15" s="70" t="s">
        <v>271</v>
      </c>
      <c r="C15" s="71" t="s">
        <v>266</v>
      </c>
    </row>
    <row r="16" spans="2:3" s="68" customFormat="1" ht="18.75" customHeight="1">
      <c r="B16" s="70" t="s">
        <v>272</v>
      </c>
      <c r="C16" s="71" t="s">
        <v>266</v>
      </c>
    </row>
    <row r="17" spans="2:3" s="68" customFormat="1" ht="18.75" customHeight="1">
      <c r="B17" s="71" t="s">
        <v>273</v>
      </c>
      <c r="C17" s="71" t="s">
        <v>274</v>
      </c>
    </row>
    <row r="18" spans="2:3" s="68" customFormat="1" ht="18.75" customHeight="1">
      <c r="B18" s="70" t="s">
        <v>275</v>
      </c>
      <c r="C18" s="71" t="s">
        <v>266</v>
      </c>
    </row>
    <row r="19" spans="2:3" s="68" customFormat="1" ht="18.75" customHeight="1">
      <c r="B19" s="70" t="s">
        <v>276</v>
      </c>
      <c r="C19" s="71"/>
    </row>
    <row r="20" spans="2:3" s="68" customFormat="1" ht="18.75" customHeight="1">
      <c r="B20" s="70" t="s">
        <v>277</v>
      </c>
      <c r="C20" s="71" t="s">
        <v>266</v>
      </c>
    </row>
    <row r="21" spans="2:3" s="68" customFormat="1" ht="18.75" customHeight="1">
      <c r="B21" s="70" t="s">
        <v>278</v>
      </c>
      <c r="C21" s="71" t="s">
        <v>279</v>
      </c>
    </row>
    <row r="22" spans="2:3" s="68" customFormat="1" ht="18.75" customHeight="1">
      <c r="B22" s="70" t="s">
        <v>280</v>
      </c>
      <c r="C22" s="71"/>
    </row>
    <row r="23" spans="2:3" s="68" customFormat="1" ht="27" customHeight="1">
      <c r="B23" s="70" t="s">
        <v>281</v>
      </c>
      <c r="C23" s="71" t="s">
        <v>282</v>
      </c>
    </row>
    <row r="24" spans="2:3" s="68" customFormat="1" ht="41.25" customHeight="1">
      <c r="B24" s="70" t="s">
        <v>283</v>
      </c>
      <c r="C24" s="71" t="s">
        <v>284</v>
      </c>
    </row>
    <row r="25" spans="2:3" s="68" customFormat="1" ht="18.75" customHeight="1">
      <c r="B25" s="70" t="s">
        <v>285</v>
      </c>
      <c r="C25" s="71"/>
    </row>
    <row r="26" spans="2:3" s="68" customFormat="1" ht="18.75" customHeight="1">
      <c r="B26" s="70" t="s">
        <v>286</v>
      </c>
      <c r="C26" s="71" t="s">
        <v>287</v>
      </c>
    </row>
    <row r="27" spans="2:3" s="68" customFormat="1" ht="18.75" customHeight="1">
      <c r="B27" s="70" t="s">
        <v>288</v>
      </c>
      <c r="C27" s="71" t="s">
        <v>289</v>
      </c>
    </row>
    <row r="28" spans="2:3" ht="18" customHeight="1">
      <c r="B28" s="33" t="s">
        <v>147</v>
      </c>
      <c r="C28" s="69" t="s">
        <v>290</v>
      </c>
    </row>
    <row r="29" spans="2:3" ht="18" customHeight="1">
      <c r="B29" s="33" t="s">
        <v>148</v>
      </c>
      <c r="C29" s="69" t="s">
        <v>291</v>
      </c>
    </row>
    <row r="30" spans="2:3" ht="27.75" customHeight="1">
      <c r="B30" s="34" t="s">
        <v>149</v>
      </c>
      <c r="C30" s="69" t="s">
        <v>292</v>
      </c>
    </row>
    <row r="31" spans="2:3" ht="18" customHeight="1">
      <c r="B31" s="33" t="s">
        <v>150</v>
      </c>
      <c r="C31" s="69" t="s">
        <v>293</v>
      </c>
    </row>
    <row r="32" spans="2:3" ht="26.25" customHeight="1">
      <c r="B32" s="33" t="s">
        <v>151</v>
      </c>
      <c r="C32" s="69" t="s">
        <v>294</v>
      </c>
    </row>
    <row r="33" spans="2:3" ht="27.75" customHeight="1">
      <c r="B33" s="33" t="s">
        <v>49</v>
      </c>
      <c r="C33" s="69" t="s">
        <v>295</v>
      </c>
    </row>
    <row r="34" spans="2:3" ht="18" customHeight="1">
      <c r="B34" s="33" t="s">
        <v>69</v>
      </c>
      <c r="C34" s="69" t="s">
        <v>296</v>
      </c>
    </row>
    <row r="35" spans="2:3" ht="18" customHeight="1">
      <c r="B35" s="33" t="s">
        <v>47</v>
      </c>
      <c r="C35" s="69" t="s">
        <v>47</v>
      </c>
    </row>
    <row r="36" spans="2:3" ht="18" customHeight="1">
      <c r="B36" s="33" t="s">
        <v>53</v>
      </c>
      <c r="C36" s="69" t="s">
        <v>297</v>
      </c>
    </row>
    <row r="37" spans="2:3" ht="18" customHeight="1">
      <c r="B37" s="33" t="s">
        <v>152</v>
      </c>
      <c r="C37" s="69" t="s">
        <v>298</v>
      </c>
    </row>
    <row r="38" spans="2:3" ht="18" customHeight="1">
      <c r="B38" s="33" t="s">
        <v>56</v>
      </c>
      <c r="C38" s="69" t="s">
        <v>299</v>
      </c>
    </row>
  </sheetData>
  <mergeCells count="1">
    <mergeCell ref="B2:C2"/>
  </mergeCells>
  <phoneticPr fontId="0" type="noConversion"/>
  <pageMargins left="0.75" right="0.75" top="1" bottom="1" header="0.5" footer="0.5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Yuriy A. Fedotov</dc:creator>
  <cp:keywords/>
  <dc:description/>
  <cp:lastModifiedBy>Selyutin, Stanislav</cp:lastModifiedBy>
  <cp:revision/>
  <dcterms:created xsi:type="dcterms:W3CDTF">2003-07-27T10:31:36Z</dcterms:created>
  <dcterms:modified xsi:type="dcterms:W3CDTF">2021-05-12T05:50:18Z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