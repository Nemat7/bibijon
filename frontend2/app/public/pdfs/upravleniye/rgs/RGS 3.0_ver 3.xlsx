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t3738\OneDrive - Yum! Brands, Inc\REX\RGS\RGS 3.0\"/>
    </mc:Choice>
  </mc:AlternateContent>
  <bookViews>
    <workbookView xWindow="-110" yWindow="-110" windowWidth="19420" windowHeight="10420" tabRatio="926" activeTab="1"/>
  </bookViews>
  <sheets>
    <sheet name="УВН" sheetId="1" r:id="rId1"/>
    <sheet name="УВ" sheetId="2" r:id="rId2"/>
    <sheet name="TO DO" sheetId="3" r:id="rId3"/>
    <sheet name="Промежуточные рез-ты" sheetId="4" r:id="rId4"/>
    <sheet name="Цели для кассиров" sheetId="5" r:id="rId5"/>
    <sheet name="План смены" sheetId="8" r:id="rId6"/>
    <sheet name="План смены (настройка)" sheetId="9" r:id="rId7"/>
    <sheet name="Оценка эффективности смены" sheetId="6" r:id="rId8"/>
    <sheet name="Оценка смены RGM'ом" sheetId="7" r:id="rId9"/>
  </sheets>
  <definedNames>
    <definedName name="_xlnm._FilterDatabase" localSheetId="5" hidden="1">'План смены'!$F$6:$G$6</definedName>
    <definedName name="_xlnm.Print_Area" localSheetId="8">'Оценка смены RGM''ом'!$A$1:$B$68</definedName>
    <definedName name="_xlnm.Print_Area" localSheetId="7">'Оценка эффективности смены'!$A$1:$AV$9</definedName>
    <definedName name="_xlnm.Print_Area" localSheetId="5">'План смены'!$B$2:$Q$35</definedName>
    <definedName name="_xlnm.Print_Area" localSheetId="1">УВ!$B$2:$BF$56</definedName>
    <definedName name="_xlnm.Print_Area" localSheetId="0">УВН!$B$2:$BN$57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8" l="1"/>
  <c r="D11" i="8"/>
  <c r="D6" i="8"/>
  <c r="AS29" i="6" l="1"/>
  <c r="AS28" i="6"/>
  <c r="AS27" i="6"/>
  <c r="AS30" i="6" l="1"/>
  <c r="X5" i="6" s="1"/>
</calcChain>
</file>

<file path=xl/comments1.xml><?xml version="1.0" encoding="utf-8"?>
<comments xmlns="http://schemas.openxmlformats.org/spreadsheetml/2006/main">
  <authors>
    <author>Turanskaia, Daria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Заранее поставлены директором. Директор корректирует цели ресторана 1 раз в неделю 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</commentList>
</comments>
</file>

<file path=xl/comments2.xml><?xml version="1.0" encoding="utf-8"?>
<comments xmlns="http://schemas.openxmlformats.org/spreadsheetml/2006/main">
  <authors>
    <author>Turanskaia, Daria</author>
  </authors>
  <commentLis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Заранее поставлены директором. Директор корректирует цели ресторана 1 раз в неделю (рутина, файл?)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  <comment ref="B24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Заранее поставлены директором. Директор корректирует цели ресторана 1 раз в неделю (рутина, файл?)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  <charset val="204"/>
          </rPr>
          <t>Turanskaia, Daria:</t>
        </r>
        <r>
          <rPr>
            <sz val="9"/>
            <color indexed="81"/>
            <rFont val="Tahoma"/>
            <family val="2"/>
            <charset val="204"/>
          </rPr>
          <t xml:space="preserve">
Директор 1 раз в неделю обновляет приоритеты на неделю
</t>
        </r>
      </text>
    </comment>
  </commentList>
</comments>
</file>

<file path=xl/comments3.xml><?xml version="1.0" encoding="utf-8"?>
<comments xmlns="http://schemas.openxmlformats.org/spreadsheetml/2006/main">
  <authors>
    <author>Zubkova, Elena</author>
  </authors>
  <commentList>
    <comment ref="U4" authorId="0" shapeId="0">
      <text>
        <r>
          <rPr>
            <b/>
            <sz val="9"/>
            <color indexed="81"/>
            <rFont val="Tahoma"/>
            <family val="2"/>
            <charset val="204"/>
          </rPr>
          <t>Zubkova, Elena:</t>
        </r>
        <r>
          <rPr>
            <sz val="9"/>
            <color indexed="81"/>
            <rFont val="Tahoma"/>
            <family val="2"/>
            <charset val="204"/>
          </rPr>
          <t xml:space="preserve">
Отмечаем либо "Выполнено", либо "Нет"</t>
        </r>
      </text>
    </comment>
    <comment ref="X4" authorId="0" shapeId="0">
      <text>
        <r>
          <rPr>
            <b/>
            <sz val="9"/>
            <color indexed="81"/>
            <rFont val="Tahoma"/>
            <family val="2"/>
            <charset val="204"/>
          </rPr>
          <t>Zubkova, Elena:</t>
        </r>
        <r>
          <rPr>
            <sz val="9"/>
            <color indexed="81"/>
            <rFont val="Tahoma"/>
            <family val="2"/>
            <charset val="204"/>
          </rPr>
          <t xml:space="preserve">
Расчет итоговой оценки смены: 100% - At Standard, 50%-75% - Marginal, менее 50% - Underperforming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  <charset val="204"/>
          </rPr>
          <t>Zubkova, Elena:</t>
        </r>
        <r>
          <rPr>
            <sz val="9"/>
            <color indexed="81"/>
            <rFont val="Tahoma"/>
            <family val="2"/>
            <charset val="204"/>
          </rPr>
          <t xml:space="preserve">
Этот KPI менять нельзя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  <charset val="204"/>
          </rPr>
          <t>Zubkova, Elena:</t>
        </r>
        <r>
          <rPr>
            <sz val="9"/>
            <color indexed="81"/>
            <rFont val="Tahoma"/>
            <family val="2"/>
            <charset val="204"/>
          </rPr>
          <t xml:space="preserve">
Необходимо выбрать наиболее актуальный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  <charset val="204"/>
          </rPr>
          <t>Zubkova, Elena:</t>
        </r>
        <r>
          <rPr>
            <sz val="9"/>
            <color indexed="81"/>
            <rFont val="Tahoma"/>
            <family val="2"/>
            <charset val="204"/>
          </rPr>
          <t xml:space="preserve">
Необходимо выбрать наиболее актуальный из выпадающего списка</t>
        </r>
      </text>
    </comment>
  </commentList>
</comments>
</file>

<file path=xl/sharedStrings.xml><?xml version="1.0" encoding="utf-8"?>
<sst xmlns="http://schemas.openxmlformats.org/spreadsheetml/2006/main" count="540" uniqueCount="330">
  <si>
    <t>утро</t>
  </si>
  <si>
    <t>вечер</t>
  </si>
  <si>
    <t>ночь</t>
  </si>
  <si>
    <t>УТРО:</t>
  </si>
  <si>
    <t>ВЕЧЕР:</t>
  </si>
  <si>
    <t>НОЧЬ:</t>
  </si>
  <si>
    <t>PLAN</t>
  </si>
  <si>
    <t>Товарооборот</t>
  </si>
  <si>
    <t>Транзакции</t>
  </si>
  <si>
    <t>Средний чек касса/DT</t>
  </si>
  <si>
    <t>SPMH/TCPH</t>
  </si>
  <si>
    <t>Общее время обслуживания/% заказов в цели</t>
  </si>
  <si>
    <t>Время сбора и выдачи заказа/% заказов в цели</t>
  </si>
  <si>
    <t>Среднее время заказов на доставку/% заказов в цели</t>
  </si>
  <si>
    <t>Общее время обслуживания DT/% заказов в цели</t>
  </si>
  <si>
    <t>KPI</t>
  </si>
  <si>
    <t>ЦЕЛЬ 
ДЕНЬ</t>
  </si>
  <si>
    <t>РЕЗУЛЬТАТ
ДЕНЬ</t>
  </si>
  <si>
    <t>ЦЕЛЬ
УТРО</t>
  </si>
  <si>
    <t>РЕЗУЛЬТАТ
УТРО</t>
  </si>
  <si>
    <t>ЦЕЛЬ 
ВЕЧЕР</t>
  </si>
  <si>
    <t>РЕЗУЛЬТАТ
ВЕЧЕР</t>
  </si>
  <si>
    <t>ЦЕЛь
НОЧЬ</t>
  </si>
  <si>
    <t>РЕЗУЛЬТАТ
НОЧЬ</t>
  </si>
  <si>
    <t xml:space="preserve">Критичные сроки </t>
  </si>
  <si>
    <t>КАЧЕСТВЕННЫЕ ЦЕЛИ НА СМЕНУ (ROCC/Guest Experience)</t>
  </si>
  <si>
    <t>Обход зала проведен (киоски исправны, туалетные комнаты убраны, столы и полы чистые, задачи сотруднику зала поставлены)</t>
  </si>
  <si>
    <t xml:space="preserve">Результаты по скорости обслуживания из SOS reporting'а и ТО донесены до команды </t>
  </si>
  <si>
    <t>Внешний вид сотрудников (чистая униформа, бейджи, маска, перчатки, обувь, личная гигиена) и расстановка соответствует деплойменту</t>
  </si>
  <si>
    <t>Часовик актуальный и скорректирован под текущий ТО, количество продукта соответствует фактическому ТО</t>
  </si>
  <si>
    <t>ТОП ПРИОРИТЕТЫ НА СМЕНЕ</t>
  </si>
  <si>
    <t>Презентор - визуальная сверка заказа по чеку и вслух перед Гостем (используется фраза - "я лично проверил ваш заказ")</t>
  </si>
  <si>
    <t>DO</t>
  </si>
  <si>
    <t>Персонал осмотрен, отмечен в журналах и учете времени</t>
  </si>
  <si>
    <t>Количественные и качественные цели на смену поставлены
План смены подготовлен и донесен о команды</t>
  </si>
  <si>
    <t>С актуальной коммуникацией ознакомлен (почта, журнал передачи смены)
Задачи и информация с прошлой смены принята</t>
  </si>
  <si>
    <t xml:space="preserve">Заказы на текущий день составлены и отправлены </t>
  </si>
  <si>
    <t>Food Safety book заполнен в соответствии с задачами смены</t>
  </si>
  <si>
    <t>Пятиминутка с командой проведена. 
Результаты, цели, признание, процедуры COVID, план смены, задачи Хостес</t>
  </si>
  <si>
    <t>Бланки на смену напечатаны, включая актуальный часовик по продуктам и ингридиентам</t>
  </si>
  <si>
    <t>Продукт и сроки</t>
  </si>
  <si>
    <t>АКТИВНЫЕ ЧАСЫ СМЕНЫ</t>
  </si>
  <si>
    <t>Все станции пополнены. На время часа пик все складские помещения закрыты</t>
  </si>
  <si>
    <t>Обход ресторана снаружи и внешней территории проведен (нет мусора, летнее кафе чистое, линия DT чистая и исправная)</t>
  </si>
  <si>
    <t>ОТКРЫТИЕ / ПРИЕМ / ЗАКРЫТИЕ СМЕНЫ</t>
  </si>
  <si>
    <t>У1</t>
  </si>
  <si>
    <t>У2</t>
  </si>
  <si>
    <t>У3</t>
  </si>
  <si>
    <t>В1</t>
  </si>
  <si>
    <t>В2</t>
  </si>
  <si>
    <t>В3</t>
  </si>
  <si>
    <t>Н1</t>
  </si>
  <si>
    <t>Н2</t>
  </si>
  <si>
    <t>УПРАВЛЕНИЕ СМЕНОЙ</t>
  </si>
  <si>
    <t>Н3</t>
  </si>
  <si>
    <t>ANALYZE</t>
  </si>
  <si>
    <t>Результаты смены: выполнено =&gt; признание, не достигнуты =&gt; причина</t>
  </si>
  <si>
    <t>На следующую смену достаточное количество персонала. 
Сотрудники передаются без неотгулянных обедов</t>
  </si>
  <si>
    <t>Продукта в достаточном количестве. 
При необходимости организован процесс дефростации</t>
  </si>
  <si>
    <t>Все кассовое оборудование исправно и включено
(гарнитуры  DRIVE, VDU, фискальные регистраторы, сервис принтеры, киоски)</t>
  </si>
  <si>
    <t>Учетные операции с наличностью проведены. 
Передача наличности отражена в бланках ЖЕУ (открытие/пересчет сейфов; подготовка сейф-пакетов)</t>
  </si>
  <si>
    <r>
      <t xml:space="preserve">Станции укомплектованы (продукция, кондименты, мбп)
Все продукты соот-т стандартам качества - </t>
    </r>
    <r>
      <rPr>
        <b/>
        <sz val="16"/>
        <rFont val="Arial"/>
        <family val="2"/>
        <charset val="204"/>
      </rPr>
      <t xml:space="preserve">ВОН готов к смене </t>
    </r>
  </si>
  <si>
    <r>
      <rPr>
        <b/>
        <sz val="16"/>
        <rFont val="Arial"/>
        <family val="2"/>
        <charset val="204"/>
      </rPr>
      <t>FOH  подготовлен к встрече Гостей (о</t>
    </r>
    <r>
      <rPr>
        <sz val="16"/>
        <rFont val="Arial"/>
        <family val="2"/>
        <charset val="204"/>
      </rPr>
      <t>бход и готовность станций проведена)
За 5 минут до старта смены все двери/жалюзи открыты</t>
    </r>
  </si>
  <si>
    <r>
      <t xml:space="preserve">Все сотрудники вышли согласно расписания, ознакомились с целями на смену, личными и доп заданиями; </t>
    </r>
    <r>
      <rPr>
        <b/>
        <sz val="16"/>
        <rFont val="Arial"/>
        <family val="2"/>
        <charset val="204"/>
      </rPr>
      <t>больничные листы и невыходы перекрыты</t>
    </r>
  </si>
  <si>
    <r>
      <t xml:space="preserve">Промежуточные итоги смены и кассиров подведены, проведена корректировка  </t>
    </r>
    <r>
      <rPr>
        <b/>
        <sz val="16"/>
        <rFont val="Arial"/>
        <family val="2"/>
        <charset val="204"/>
      </rPr>
      <t>действий и целей</t>
    </r>
  </si>
  <si>
    <r>
      <rPr>
        <b/>
        <sz val="16"/>
        <rFont val="Arial"/>
        <family val="2"/>
        <charset val="204"/>
      </rPr>
      <t>Складские помещения</t>
    </r>
    <r>
      <rPr>
        <sz val="16"/>
        <rFont val="Arial"/>
        <family val="2"/>
        <charset val="204"/>
      </rPr>
      <t xml:space="preserve">
проверка чистоты сроков годности и температурных режимов, отсутствует перекрестное заражение. </t>
    </r>
  </si>
  <si>
    <r>
      <rPr>
        <b/>
        <sz val="16"/>
        <rFont val="Arial"/>
        <family val="2"/>
        <charset val="204"/>
      </rPr>
      <t xml:space="preserve">3-х секционная мойка 
</t>
    </r>
    <r>
      <rPr>
        <sz val="16"/>
        <rFont val="Arial"/>
        <family val="2"/>
        <charset val="204"/>
      </rPr>
      <t>чисто, инвентарь чистый сохнет правильно/замочен и моется согласно процедур, вода соот-т стандарту (t не ниже 49С); моющих и дез. ср-в , расходных материалов достаточно, СИЗ исправны и в наличии, сантехника исправна; конц-я дез. ср-в  - стандарт</t>
    </r>
  </si>
  <si>
    <r>
      <rPr>
        <b/>
        <sz val="16"/>
        <rFont val="Arial"/>
        <family val="2"/>
        <charset val="204"/>
      </rPr>
      <t xml:space="preserve">Панировка
</t>
    </r>
    <r>
      <rPr>
        <sz val="16"/>
        <rFont val="Arial"/>
        <family val="2"/>
        <charset val="204"/>
      </rPr>
      <t xml:space="preserve">запас куриного ПФ достаточен, t режимы и сроки годности куриного ПФ - </t>
    </r>
    <r>
      <rPr>
        <b/>
        <sz val="16"/>
        <rFont val="Arial"/>
        <family val="2"/>
        <charset val="204"/>
      </rPr>
      <t>стандарт</t>
    </r>
    <r>
      <rPr>
        <sz val="16"/>
        <rFont val="Arial"/>
        <family val="2"/>
        <charset val="204"/>
      </rPr>
      <t xml:space="preserve">, оборудование исправно, </t>
    </r>
    <r>
      <rPr>
        <b/>
        <sz val="16"/>
        <rFont val="Arial"/>
        <family val="2"/>
        <charset val="204"/>
      </rPr>
      <t xml:space="preserve">жаровни чистые и профильтрованы, </t>
    </r>
    <r>
      <rPr>
        <sz val="16"/>
        <rFont val="Arial"/>
        <family val="2"/>
        <charset val="204"/>
      </rPr>
      <t>подготовлена смесь в нужном объеме</t>
    </r>
    <r>
      <rPr>
        <b/>
        <sz val="16"/>
        <rFont val="Arial"/>
        <family val="2"/>
        <charset val="204"/>
      </rPr>
      <t>,</t>
    </r>
    <r>
      <rPr>
        <sz val="16"/>
        <rFont val="Arial"/>
        <family val="2"/>
        <charset val="204"/>
      </rPr>
      <t xml:space="preserve">  поставлены задачи по пополнению к часу пик, </t>
    </r>
    <r>
      <rPr>
        <b/>
        <sz val="16"/>
        <rFont val="Arial"/>
        <family val="2"/>
        <charset val="204"/>
      </rPr>
      <t xml:space="preserve">часовик в наличии - выполняется; расходных материалов достаточно; </t>
    </r>
    <r>
      <rPr>
        <sz val="16"/>
        <rFont val="Arial"/>
        <family val="2"/>
        <charset val="204"/>
      </rPr>
      <t xml:space="preserve"> </t>
    </r>
    <r>
      <rPr>
        <b/>
        <sz val="16"/>
        <rFont val="Arial"/>
        <family val="2"/>
        <charset val="204"/>
      </rPr>
      <t>инвентарь в наличии исправен, достаточно</t>
    </r>
    <r>
      <rPr>
        <sz val="16"/>
        <rFont val="Arial"/>
        <family val="2"/>
        <charset val="204"/>
      </rPr>
      <t xml:space="preserve">; </t>
    </r>
    <r>
      <rPr>
        <b/>
        <sz val="16"/>
        <rFont val="Arial"/>
        <family val="2"/>
        <charset val="204"/>
      </rPr>
      <t>конц-я дез. ср-в  - стандарт</t>
    </r>
  </si>
  <si>
    <r>
      <rPr>
        <b/>
        <sz val="16"/>
        <rFont val="Arial"/>
        <family val="2"/>
        <charset val="204"/>
      </rPr>
      <t xml:space="preserve">Кухня
</t>
    </r>
    <r>
      <rPr>
        <sz val="16"/>
        <rFont val="Arial"/>
        <family val="2"/>
        <charset val="204"/>
      </rPr>
      <t xml:space="preserve">сверен часовик по ингредиентам, мясу и БШ, произведены замеры t и сроки годности - саладет+ шкаф, бракераж продукции - стандарт/коррекция;  задачи по пополнению к часу пик поставлены, упаковки и расходных материалов достаточно; оборудование исправно, фритюры чистые профильтрованы; </t>
    </r>
    <r>
      <rPr>
        <b/>
        <sz val="16"/>
        <rFont val="Arial"/>
        <family val="2"/>
        <charset val="204"/>
      </rPr>
      <t>конц-я дез. ср-в  - стандарт</t>
    </r>
  </si>
  <si>
    <r>
      <rPr>
        <b/>
        <sz val="16"/>
        <rFont val="Arial"/>
        <family val="2"/>
        <charset val="204"/>
      </rPr>
      <t xml:space="preserve">Касса
</t>
    </r>
    <r>
      <rPr>
        <sz val="16"/>
        <rFont val="Arial"/>
        <family val="2"/>
        <charset val="204"/>
      </rPr>
      <t xml:space="preserve">проверить  чистоту, наличие размена; наличие кондиментов, продукта и упаковки- задачи по пополнению поставлены, сроки годности и t режимы соответствуют стандартам; проведен бракераж напитков, мороженого и десертов - стандарт/коррекция;  касс.оборудование исправно; </t>
    </r>
    <r>
      <rPr>
        <b/>
        <sz val="16"/>
        <rFont val="Arial"/>
        <family val="2"/>
        <charset val="204"/>
      </rPr>
      <t>конц-я дез. ср-в  - стандарт</t>
    </r>
  </si>
  <si>
    <r>
      <t xml:space="preserve">Контрольный пересчет кассиров проведен, выемки сверх лимита осуществляются - </t>
    </r>
    <r>
      <rPr>
        <b/>
        <sz val="16"/>
        <rFont val="Arial"/>
        <family val="2"/>
        <charset val="204"/>
      </rPr>
      <t>вне пиковых часов</t>
    </r>
  </si>
  <si>
    <r>
      <rPr>
        <b/>
        <sz val="16"/>
        <rFont val="Arial"/>
        <family val="2"/>
        <charset val="204"/>
      </rPr>
      <t xml:space="preserve">Перед часом пик проведена </t>
    </r>
    <r>
      <rPr>
        <sz val="16"/>
        <rFont val="Arial"/>
        <family val="2"/>
        <charset val="204"/>
      </rPr>
      <t>расстановка сотрудников по позициям = плановой 
(лучше люди на лучших местах)</t>
    </r>
  </si>
  <si>
    <r>
      <rPr>
        <b/>
        <sz val="22"/>
        <color rgb="FFFFFFFF"/>
        <rFont val="Arial"/>
        <family val="2"/>
        <charset val="204"/>
      </rPr>
      <t>КОЛИЧЕСТВЕННЫЕ ЦЕЛИ НА СМЕНУ</t>
    </r>
  </si>
  <si>
    <t>РЕСТОРАН:</t>
  </si>
  <si>
    <t>ТО DO</t>
  </si>
  <si>
    <t>НЕ ЗАБЫТЬ СДЕЛАТЬ</t>
  </si>
  <si>
    <r>
      <t xml:space="preserve">Все сотрудники вышли согласно расписания, ознакомились с целями на смену, личными и доп заданиями; </t>
    </r>
    <r>
      <rPr>
        <b/>
        <sz val="18"/>
        <rFont val="Arial"/>
        <family val="2"/>
        <charset val="204"/>
      </rPr>
      <t>больничные листы и невыходы перекрыты</t>
    </r>
  </si>
  <si>
    <r>
      <t xml:space="preserve">Промежуточные итоги смены и кассиров подведены, проведена корректировка  </t>
    </r>
    <r>
      <rPr>
        <b/>
        <sz val="18"/>
        <rFont val="Arial"/>
        <family val="2"/>
        <charset val="204"/>
      </rPr>
      <t>действий и целей</t>
    </r>
  </si>
  <si>
    <r>
      <rPr>
        <b/>
        <sz val="18"/>
        <rFont val="Arial"/>
        <family val="2"/>
        <charset val="204"/>
      </rPr>
      <t xml:space="preserve">Перед часом пик проведена </t>
    </r>
    <r>
      <rPr>
        <sz val="18"/>
        <rFont val="Arial"/>
        <family val="2"/>
        <charset val="204"/>
      </rPr>
      <t>расстановка сотрудников по позициям = плановой 
(лучше люди на лучших местах)</t>
    </r>
  </si>
  <si>
    <r>
      <rPr>
        <b/>
        <sz val="18"/>
        <rFont val="Arial"/>
        <family val="2"/>
        <charset val="204"/>
      </rPr>
      <t>Складские помещения</t>
    </r>
    <r>
      <rPr>
        <sz val="18"/>
        <rFont val="Arial"/>
        <family val="2"/>
        <charset val="204"/>
      </rPr>
      <t xml:space="preserve">
проверка чистоты сроков годности и температурных режимов, отсутствует перекрестное заражение. </t>
    </r>
  </si>
  <si>
    <r>
      <rPr>
        <b/>
        <sz val="18"/>
        <rFont val="Arial"/>
        <family val="2"/>
        <charset val="204"/>
      </rPr>
      <t xml:space="preserve">3-х секционная мойка 
</t>
    </r>
    <r>
      <rPr>
        <sz val="18"/>
        <rFont val="Arial"/>
        <family val="2"/>
        <charset val="204"/>
      </rPr>
      <t>чисто, инвентарь чистый сохнет правильно/замочен и моется согласно процедур, вода соот-т стандарту (t не ниже 49С); моющих и дез. ср-в , расходных материалов достаточно, СИЗ исправны и в наличии, сантехника исправна; конц-я дез. ср-в  - стандарт</t>
    </r>
  </si>
  <si>
    <r>
      <rPr>
        <b/>
        <sz val="18"/>
        <rFont val="Arial"/>
        <family val="2"/>
        <charset val="204"/>
      </rPr>
      <t xml:space="preserve">Панировка
</t>
    </r>
    <r>
      <rPr>
        <sz val="18"/>
        <rFont val="Arial"/>
        <family val="2"/>
        <charset val="204"/>
      </rPr>
      <t xml:space="preserve">запас куриного ПФ достаточен, t режимы и сроки годности куриного ПФ - </t>
    </r>
    <r>
      <rPr>
        <b/>
        <sz val="18"/>
        <rFont val="Arial"/>
        <family val="2"/>
        <charset val="204"/>
      </rPr>
      <t>стандарт</t>
    </r>
    <r>
      <rPr>
        <sz val="18"/>
        <rFont val="Arial"/>
        <family val="2"/>
        <charset val="204"/>
      </rPr>
      <t xml:space="preserve">, оборудование исправно, </t>
    </r>
    <r>
      <rPr>
        <b/>
        <sz val="18"/>
        <rFont val="Arial"/>
        <family val="2"/>
        <charset val="204"/>
      </rPr>
      <t xml:space="preserve">жаровни чистые и профильтрованы, </t>
    </r>
    <r>
      <rPr>
        <sz val="18"/>
        <rFont val="Arial"/>
        <family val="2"/>
        <charset val="204"/>
      </rPr>
      <t>подготовлена смесь в нужном объеме</t>
    </r>
    <r>
      <rPr>
        <b/>
        <sz val="18"/>
        <rFont val="Arial"/>
        <family val="2"/>
        <charset val="204"/>
      </rPr>
      <t>,</t>
    </r>
    <r>
      <rPr>
        <sz val="18"/>
        <rFont val="Arial"/>
        <family val="2"/>
        <charset val="204"/>
      </rPr>
      <t xml:space="preserve">  поставлены задачи по пополнению к часу пик, </t>
    </r>
    <r>
      <rPr>
        <b/>
        <sz val="18"/>
        <rFont val="Arial"/>
        <family val="2"/>
        <charset val="204"/>
      </rPr>
      <t xml:space="preserve">часовик в наличии - выполняется; расходных материалов достаточно; </t>
    </r>
    <r>
      <rPr>
        <sz val="18"/>
        <rFont val="Arial"/>
        <family val="2"/>
        <charset val="204"/>
      </rPr>
      <t xml:space="preserve"> </t>
    </r>
    <r>
      <rPr>
        <b/>
        <sz val="18"/>
        <rFont val="Arial"/>
        <family val="2"/>
        <charset val="204"/>
      </rPr>
      <t>инвентарь в наличии исправен, достаточно</t>
    </r>
    <r>
      <rPr>
        <sz val="18"/>
        <rFont val="Arial"/>
        <family val="2"/>
        <charset val="204"/>
      </rPr>
      <t xml:space="preserve">; </t>
    </r>
    <r>
      <rPr>
        <b/>
        <sz val="18"/>
        <rFont val="Arial"/>
        <family val="2"/>
        <charset val="204"/>
      </rPr>
      <t>конц-я дез. ср-в  - стандарт</t>
    </r>
  </si>
  <si>
    <r>
      <rPr>
        <b/>
        <sz val="18"/>
        <rFont val="Arial"/>
        <family val="2"/>
        <charset val="204"/>
      </rPr>
      <t xml:space="preserve">Кухня
</t>
    </r>
    <r>
      <rPr>
        <sz val="18"/>
        <rFont val="Arial"/>
        <family val="2"/>
        <charset val="204"/>
      </rPr>
      <t xml:space="preserve">сверен часовик по ингредиентам, мясу и БШ, произведены замеры t и сроки годности - саладет+ шкаф, бракераж продукции - стандарт/коррекция;  задачи по пополнению к часу пик поставлены, упаковки и расходных материалов достаточно; оборудование исправно, фритюры чистые профильтрованы; </t>
    </r>
    <r>
      <rPr>
        <b/>
        <sz val="18"/>
        <rFont val="Arial"/>
        <family val="2"/>
        <charset val="204"/>
      </rPr>
      <t>конц-я дез. ср-в  - стандарт</t>
    </r>
  </si>
  <si>
    <r>
      <rPr>
        <b/>
        <sz val="18"/>
        <rFont val="Arial"/>
        <family val="2"/>
        <charset val="204"/>
      </rPr>
      <t xml:space="preserve">Касса
</t>
    </r>
    <r>
      <rPr>
        <sz val="18"/>
        <rFont val="Arial"/>
        <family val="2"/>
        <charset val="204"/>
      </rPr>
      <t xml:space="preserve">проверить  чистоту, наличие размена; наличие кондиментов, продукта и упаковки- задачи по пополнению поставлены, сроки годности и t режимы соответствуют стандартам; проведен бракераж напитков, мороженого и десертов - стандарт/коррекция;  касс.оборудование исправно; </t>
    </r>
    <r>
      <rPr>
        <b/>
        <sz val="18"/>
        <rFont val="Arial"/>
        <family val="2"/>
        <charset val="204"/>
      </rPr>
      <t>конц-я дез. ср-в  - стандарт</t>
    </r>
  </si>
  <si>
    <r>
      <t xml:space="preserve">Контрольный пересчет кассиров проведен, выемки сверх лимита осуществляются - </t>
    </r>
    <r>
      <rPr>
        <b/>
        <sz val="18"/>
        <rFont val="Arial"/>
        <family val="2"/>
        <charset val="204"/>
      </rPr>
      <t>вне пиковых часов</t>
    </r>
  </si>
  <si>
    <t>Административные задачи касающиеся текущей смены выполнены 
(табель,оприходовать накладные, оформить претензии в GSD, инкассация)</t>
  </si>
  <si>
    <t>Обход ресторана снаружи и внешней территории перед открытием/закрытием проведен.
Ресторан снят с охранной сигнализации, либо поставлен на сигнализацию при закрытии.</t>
  </si>
  <si>
    <t xml:space="preserve">Станции укомплектованы (продукция, кондименты, мбп)
Все продукты соот-т стандартам качества - ВОН готов к смене </t>
  </si>
  <si>
    <t>FOH  подготовлен к встрече Гостей (обход и готовность станций проведена)
За 5 минут до старта смены все двери/жалюзи открыты</t>
  </si>
  <si>
    <t>TO DO</t>
  </si>
  <si>
    <r>
      <rPr>
        <b/>
        <sz val="11.5"/>
        <color rgb="FFFFFFFF"/>
        <rFont val="Trebuchet MS"/>
        <family val="2"/>
      </rPr>
      <t>ПРОМЕЖУТОЧНОЕ ПОДВЕДЕНИЕ ИТОГО (КАЖДЫЙ ЧАС)</t>
    </r>
  </si>
  <si>
    <r>
      <rPr>
        <b/>
        <sz val="6"/>
        <color rgb="FF221F1F"/>
        <rFont val="Trebuchet MS"/>
        <family val="2"/>
        <charset val="204"/>
      </rPr>
      <t>ВРЕМЯ</t>
    </r>
  </si>
  <si>
    <t>ПЛАН
Товарооборот</t>
  </si>
  <si>
    <t>ФАКТ
Товарооборот</t>
  </si>
  <si>
    <t>Товарооборот по накоплению за смену</t>
  </si>
  <si>
    <t>ПЛАН Транзакции</t>
  </si>
  <si>
    <t>ФАКТ Транзакции</t>
  </si>
  <si>
    <t xml:space="preserve">СР.ЧЕК
ПЛАН на смену </t>
  </si>
  <si>
    <t>СР.ЧЕК
ФАКТ</t>
  </si>
  <si>
    <t>Общее время обслуживания /
% заказов в цели</t>
  </si>
  <si>
    <t>Время сбора и выдачи заказа /
% заказов в цели</t>
  </si>
  <si>
    <t>Среднее время заказов на доставку /
% заказов в цели</t>
  </si>
  <si>
    <t>Общее время обслуживания DT/
% заказов в цели</t>
  </si>
  <si>
    <t>ИТОГО УТРО</t>
  </si>
  <si>
    <t>ИТОГО ВЕЧЕР</t>
  </si>
  <si>
    <t>ИТОГО НОЧЬ</t>
  </si>
  <si>
    <t>ИТОГО ДЕНЬ</t>
  </si>
  <si>
    <t>Ежечасный обзор выполнения целей кассирами и донесение результатов (цели должны быть в штуках)</t>
  </si>
  <si>
    <t xml:space="preserve">Фамилия, Имя </t>
  </si>
  <si>
    <t>Кассир 1</t>
  </si>
  <si>
    <t>Кассир 2</t>
  </si>
  <si>
    <t>Кассир 3</t>
  </si>
  <si>
    <t>Кассир 4</t>
  </si>
  <si>
    <t>Кассир 5</t>
  </si>
  <si>
    <t>Кассир 6</t>
  </si>
  <si>
    <t>Кассир 7</t>
  </si>
  <si>
    <t>Цели</t>
  </si>
  <si>
    <t>Цель 1</t>
  </si>
  <si>
    <t>Цель 2</t>
  </si>
  <si>
    <t>Цель 3</t>
  </si>
  <si>
    <t>Time</t>
  </si>
  <si>
    <t>Итог 1</t>
  </si>
  <si>
    <t>Итог 2</t>
  </si>
  <si>
    <t>Итог 3</t>
  </si>
  <si>
    <t xml:space="preserve">ИТОГ ЗА СМЕНУ: </t>
  </si>
  <si>
    <t>ОЦЕНКА ЭФФЕКТИВНОСТИ СМЕНЫ</t>
  </si>
  <si>
    <t>* Вес KPI: Товарооборот  - 50%, два остальный  KPI  - по 25%</t>
  </si>
  <si>
    <t xml:space="preserve">KPI </t>
  </si>
  <si>
    <t>Цель</t>
  </si>
  <si>
    <t>Факт</t>
  </si>
  <si>
    <t>Выполнение</t>
  </si>
  <si>
    <t>ИТОГОВАЯ ОЦЕНКА ЭФФЕКТИВНОСТИ</t>
  </si>
  <si>
    <t>Выполнено</t>
  </si>
  <si>
    <t>Нет</t>
  </si>
  <si>
    <t>Скорость % заказов OT (1 мин 15 сек)</t>
  </si>
  <si>
    <t>Производительность</t>
  </si>
  <si>
    <t>UNDERPERFORMING</t>
  </si>
  <si>
    <t>MARGINAL</t>
  </si>
  <si>
    <t>AT STANDART</t>
  </si>
  <si>
    <t>Список 1</t>
  </si>
  <si>
    <t>Список 2</t>
  </si>
  <si>
    <t>TCPH</t>
  </si>
  <si>
    <t>Скорость % ОТ на Автораздаче (2 мин 30 сек)</t>
  </si>
  <si>
    <t>Ориентация на ТОВАРООБОРОТ</t>
  </si>
  <si>
    <t>Ориентация на FOOD SAFETY</t>
  </si>
  <si>
    <t>Название ресторана:</t>
  </si>
  <si>
    <t>Дата визита:                                                                                  Время визита:</t>
  </si>
  <si>
    <t>Менеджер:</t>
  </si>
  <si>
    <t>Оценивающий:</t>
  </si>
  <si>
    <t xml:space="preserve">Ориентация на ГОСТЯ </t>
  </si>
  <si>
    <t>ОБРАТНАЯ СВЯЗЬ</t>
  </si>
  <si>
    <t>План смены</t>
  </si>
  <si>
    <t>Касса 1</t>
  </si>
  <si>
    <t>Касса 2</t>
  </si>
  <si>
    <t>Касса Авто</t>
  </si>
  <si>
    <t>Пакер</t>
  </si>
  <si>
    <t>Ранер</t>
  </si>
  <si>
    <t>Презентор</t>
  </si>
  <si>
    <t>Скаут</t>
  </si>
  <si>
    <t>Пакер Авто</t>
  </si>
  <si>
    <t>Выдача Авто</t>
  </si>
  <si>
    <t>Доставка</t>
  </si>
  <si>
    <t>СМЕНА</t>
  </si>
  <si>
    <t>ФИО</t>
  </si>
  <si>
    <t>Дата:</t>
  </si>
  <si>
    <t>Обязанности</t>
  </si>
  <si>
    <t>Время:</t>
  </si>
  <si>
    <t>Утро 7-15</t>
  </si>
  <si>
    <t>ЦЕЛИ НА СМЕНУ</t>
  </si>
  <si>
    <t>ТО:</t>
  </si>
  <si>
    <t>Доп. обязан</t>
  </si>
  <si>
    <t>Средний чек:</t>
  </si>
  <si>
    <t>Цель на смену</t>
  </si>
  <si>
    <t>Средний чек Авто:</t>
  </si>
  <si>
    <t>Кол-во чек:</t>
  </si>
  <si>
    <t>Производительность:</t>
  </si>
  <si>
    <t>Рейтинги:</t>
  </si>
  <si>
    <t>Булочки</t>
  </si>
  <si>
    <t>Уборка</t>
  </si>
  <si>
    <t>Пополнение</t>
  </si>
  <si>
    <t>Лепешки</t>
  </si>
  <si>
    <t>Упаковка</t>
  </si>
  <si>
    <t>Картошка</t>
  </si>
  <si>
    <t>Кликун</t>
  </si>
  <si>
    <t>SOS Зал:</t>
  </si>
  <si>
    <t>SOS Доставка:</t>
  </si>
  <si>
    <t>SOS Авто:</t>
  </si>
  <si>
    <t>РАСПРЕДЕЛЕНИЕ ОБЯЗАННОСТЕЙ</t>
  </si>
  <si>
    <t>Менеджер смены:</t>
  </si>
  <si>
    <t>Менеджер раздачи:</t>
  </si>
  <si>
    <t>Кликун:</t>
  </si>
  <si>
    <t>Скаут:</t>
  </si>
  <si>
    <t>Бренд Шеф:</t>
  </si>
  <si>
    <t>Панировщик</t>
  </si>
  <si>
    <t xml:space="preserve">Панировщик OR </t>
  </si>
  <si>
    <t>Панировщик HS</t>
  </si>
  <si>
    <t>Жаровщик</t>
  </si>
  <si>
    <t>Бренд Шеф</t>
  </si>
  <si>
    <t>Мойка</t>
  </si>
  <si>
    <t>Всем удачной смены!</t>
  </si>
  <si>
    <t>Станция Касса</t>
  </si>
  <si>
    <t>Доп обязанности</t>
  </si>
  <si>
    <t>Осн обязанности</t>
  </si>
  <si>
    <t>Цель на смену касса</t>
  </si>
  <si>
    <t>Запасы</t>
  </si>
  <si>
    <t>Ср чек 350 руб</t>
  </si>
  <si>
    <t>В течение смены добиться 25% время обслуживания гостя 1:15, путем растановки "лучшие люди на лучших местах", распределения обязанностей,подготовки станции к часу пик, работе по витрине, что будет отражено в замерах скорости и отчетах SOS.</t>
  </si>
  <si>
    <t>Дезинфекция</t>
  </si>
  <si>
    <t>Фри 90/Соус 100</t>
  </si>
  <si>
    <t>В течение смены добиться среднего чека 350 руб., за счет выполнения рейтингов фри 90/соус 100/напитки 95, путем предоставления подсказки каждому гостю на опережение, используя правило 5-ти угольника, что будет отражено в отчетах</t>
  </si>
  <si>
    <t>Касса 3</t>
  </si>
  <si>
    <t>Чистота</t>
  </si>
  <si>
    <t>Десерты 20</t>
  </si>
  <si>
    <t>ФИО 4</t>
  </si>
  <si>
    <t>Сбор доставки</t>
  </si>
  <si>
    <t>Добавки 20</t>
  </si>
  <si>
    <t>ФИО 5</t>
  </si>
  <si>
    <t>Подносы</t>
  </si>
  <si>
    <t>Прием 30 сек</t>
  </si>
  <si>
    <t>ФИО 6</t>
  </si>
  <si>
    <t>Маркировка</t>
  </si>
  <si>
    <t>Сбор 60 сек</t>
  </si>
  <si>
    <t>Напитки</t>
  </si>
  <si>
    <t>ФИО 7</t>
  </si>
  <si>
    <t>Показатели/час</t>
  </si>
  <si>
    <t>Выдача 15 сек</t>
  </si>
  <si>
    <t>ФИО 8</t>
  </si>
  <si>
    <t>График уборки</t>
  </si>
  <si>
    <t>Точность 100%</t>
  </si>
  <si>
    <t>ФИО 9</t>
  </si>
  <si>
    <t>Напитки 15 сек</t>
  </si>
  <si>
    <t>ФИО 10</t>
  </si>
  <si>
    <t>Сверка по чеку</t>
  </si>
  <si>
    <t>ФИО 11</t>
  </si>
  <si>
    <t>Скорость 25% 1:15</t>
  </si>
  <si>
    <t>ФИО 12</t>
  </si>
  <si>
    <t>OCL на кассиров</t>
  </si>
  <si>
    <t>ФИО 13</t>
  </si>
  <si>
    <t>ОС + РИ</t>
  </si>
  <si>
    <t>ФИО 14</t>
  </si>
  <si>
    <t>Оплата 15 сек</t>
  </si>
  <si>
    <t>ФИО 15</t>
  </si>
  <si>
    <t>ФИО 16</t>
  </si>
  <si>
    <t>ФИО 17</t>
  </si>
  <si>
    <t>ФИО 18</t>
  </si>
  <si>
    <t>ФИО 19</t>
  </si>
  <si>
    <t>ФИО 20</t>
  </si>
  <si>
    <t>ФИО 21</t>
  </si>
  <si>
    <t>Станция кухня</t>
  </si>
  <si>
    <t>Сендвичи&lt;60 сек</t>
  </si>
  <si>
    <t>В течение смены добиться 100% качества картофеля фри, путем удаления глазков, соблюдения процедур приготовления и сроков хранения, что отразится в бракераже и отзывах гостей</t>
  </si>
  <si>
    <t>Упаковка&lt;60 сек</t>
  </si>
  <si>
    <t>В течение смены добиться 100% качества сандвичей в лепешке, путем соблюдения процедур приготовления и сроков хранения, что отразиться в бракераже и отзывах гостей</t>
  </si>
  <si>
    <t>Картофель&lt;20 сек</t>
  </si>
  <si>
    <t>В течение смены добиться скорости приготовления заказов не менее 25% в цели, путем подготовки к часу пик, работы с часовиком, соблюдения времени приготовления блюд, что отразится в замерах и отчетах SOS.</t>
  </si>
  <si>
    <t>Заказ&lt;60 сек</t>
  </si>
  <si>
    <t>Сроки годности</t>
  </si>
  <si>
    <t>OCL + ОС</t>
  </si>
  <si>
    <t>100% качество</t>
  </si>
  <si>
    <t>Фильтрация жира</t>
  </si>
  <si>
    <t>Ежечасный обход</t>
  </si>
  <si>
    <t>Замена жира</t>
  </si>
  <si>
    <t>Часовик</t>
  </si>
  <si>
    <t>Списание 0,7%</t>
  </si>
  <si>
    <t>Станция панировка</t>
  </si>
  <si>
    <t>Цели на смену</t>
  </si>
  <si>
    <t>SOS панирования</t>
  </si>
  <si>
    <t>В течение смены добиться 100% качества куриных ног, путем проведения бракеража сырого и готового продукта, соблюдения процедур приготовления и сроков хранения, что отразится в бракераже и отзывах гостей</t>
  </si>
  <si>
    <t>В течение смены добиться 100% наличия готовой продукции согласно ТО, путем подготовки к часу пик, работы с часовиком, соблюдения времени приготовления блюд, что отразится в замерах и отчетах SOS.</t>
  </si>
  <si>
    <t>Крыльев</t>
  </si>
  <si>
    <t>Стрипс HS</t>
  </si>
  <si>
    <r>
      <rPr>
        <sz val="11"/>
        <color theme="1"/>
        <rFont val="Calibri"/>
        <family val="2"/>
        <charset val="204"/>
      </rPr>
      <t>t°</t>
    </r>
    <r>
      <rPr>
        <sz val="11"/>
        <color theme="1"/>
        <rFont val="Calibri"/>
        <family val="2"/>
        <charset val="204"/>
        <scheme val="minor"/>
      </rPr>
      <t xml:space="preserve"> режимы</t>
    </r>
  </si>
  <si>
    <t>Байтс</t>
  </si>
  <si>
    <t>Филе HS</t>
  </si>
  <si>
    <t>Ножек</t>
  </si>
  <si>
    <t>Выкладка</t>
  </si>
  <si>
    <t>Филе OR</t>
  </si>
  <si>
    <t>Стрипс OR</t>
  </si>
  <si>
    <t>Смена МС</t>
  </si>
  <si>
    <t>День 12-20</t>
  </si>
  <si>
    <t>Вечер 15-23</t>
  </si>
  <si>
    <t>Ночь 23-7</t>
  </si>
  <si>
    <t>ОЦЕНКА УПРАВЛЕНИЯ СМЕНОЙ ДИРЕКТОРОМ</t>
  </si>
  <si>
    <t>Заготовки</t>
  </si>
  <si>
    <t>Оборудование исправно (при неисправности есть корректно оформленные заявки).
Оборудование включается и выключается в соответствии с графиком. На ночь t камеры исправны.
Работы по PM календарю запланированы (нужные PM карты подготовлены)</t>
  </si>
  <si>
    <t>Проверены работы по PM календарю/ проконтролированы работы сервисной службой.
Поставлены отметки о выполнении работ, качество выполненных работ по PM календарю оценено</t>
  </si>
  <si>
    <t>Контроль выполнения качественных целей.
Оценка скорости обслуживания и гостеприимства - корректировка действий команды проведена</t>
  </si>
  <si>
    <t>Иван</t>
  </si>
  <si>
    <t>Петр</t>
  </si>
  <si>
    <t>Дмитрий</t>
  </si>
  <si>
    <t>Анна</t>
  </si>
  <si>
    <t>Ольга</t>
  </si>
  <si>
    <t>Света</t>
  </si>
  <si>
    <t>Роман</t>
  </si>
  <si>
    <t>Сергей</t>
  </si>
  <si>
    <t>Андрей</t>
  </si>
  <si>
    <t>Чек-лист RGS заполнен, количество обходов актуально. МС знает цели, поставленные перед рестораном, понимает то, как он будет их достигать</t>
  </si>
  <si>
    <t>Цели на смену поставлены. План смены вывешен, приоритеты на смену доведены до всех. Сотрудники могут рассказать их. Пятиминутка с сотрудниками проведена.</t>
  </si>
  <si>
    <t>Процедуры приготовления соблюдаются на всех станциях. Скорость приготовления блюд соответствует стандартам (ЧК могут назвать время приготовления) По времени приготовления команде предоставляется ОС</t>
  </si>
  <si>
    <t>Соблюдается уровень полуфабрикатов, ингредиентов на саладете, таймеры на саладете установлены</t>
  </si>
  <si>
    <t>Внутренние температуры готовых и сырых продуктов в рамках допустимых пределов</t>
  </si>
  <si>
    <t>FSВ и журналы заполнены в соответствии правилами</t>
  </si>
  <si>
    <t>Прилегающая территория ресторана чистая</t>
  </si>
  <si>
    <t>Чистота и порядок в служебных помещениях поддерживается в течение всей смены</t>
  </si>
  <si>
    <t xml:space="preserve">Руки моются должным образом с соблюдением соответствующих процедур и в соответствующее время </t>
  </si>
  <si>
    <t>Чек-лист по соблюдению стандартов COVID-19 заполнен. Стандарты COVID-19 соблюдаются</t>
  </si>
  <si>
    <t>Жалобы Гостей решаются по ВИП2 =&gt; используются купон "Оставайтесь с нами"</t>
  </si>
  <si>
    <t>Сотрудники ориентированы на скорость. При необходимости используется HOT/ Гостей фокусируют на возможности воспользоваться киоском самообслуживания/или оформить заказ через приложение KFC. На смену стоят цели по % продаж на HOT и киосках, результат отслеживается и доводится до команды</t>
  </si>
  <si>
    <t>Стандарты дефростации соблюдаются</t>
  </si>
  <si>
    <t>Внешний вид сотрудников (чистая униформа, бейджи, маска, перчатки, обувь, личная гигиена)</t>
  </si>
  <si>
    <t>Сотрудники расставлены в соответствии с Деплойментом. Закреплены основные и переходящие позиции</t>
  </si>
  <si>
    <t>В туалетах чисто, неприятный запах отсутствует. Уборка производится каждые 15 мин. Есть отметки в Графике уборки</t>
  </si>
  <si>
    <t>МС знает интенсивные часы в ресторане и правильно к ним готовится</t>
  </si>
  <si>
    <t>МС дает четкие указания и контролирует их выполнение. Использует обратную связь</t>
  </si>
  <si>
    <t>МС быстро реагирует на все возникающие Узкие места и немедленно предпринимает соответствующие действия</t>
  </si>
  <si>
    <t>МС работает посредством менеджеров (сотрудников) участков и поддерживает команду во время часов повышенного товарооборота (SISO)</t>
  </si>
  <si>
    <t>МС правильно реагирует на остаточный срок хранения продукции, предпринимает соответствующие действия для правильного предложения гостям</t>
  </si>
  <si>
    <t>МС доводит до команды почасовые результаты, анализирует достижение поставленных целей, корректирует действия команды в случае необходимости</t>
  </si>
  <si>
    <t>МС признает работников за выполнение целей и/или отличную работу</t>
  </si>
  <si>
    <t>Менеджер и работники гостеприимны, создают исключительную атмосферу в ресторане. Все этапы обслуживания выполняются в соответствии с установленными процедурами</t>
  </si>
  <si>
    <t xml:space="preserve">На смене нет критичных отклонений по Пищевой безопасности </t>
  </si>
  <si>
    <t xml:space="preserve">Концентрация дез. растворов соответствует стандарту, соблюдаются процедуры дезинфекции инвентаря и поверхностей </t>
  </si>
  <si>
    <t>Стандарты финансовой безопасности соблюдаются</t>
  </si>
  <si>
    <t>В час пик сотрудники находятся на основной позиции, во время спада занимаются вторичными обязанностями</t>
  </si>
  <si>
    <t>Правильно используются таймеры для готовой продукции/ингредиентов. Продукция с истекшим сроком хранения своевременно списывается</t>
  </si>
  <si>
    <t>МС совершает обход всего ресторана с фокусом на TOP приоритеты 1 раз в час. Обратная связь доносится до команды</t>
  </si>
  <si>
    <t>МС доносит результаты по скорости обслуживания из SOS reporting'а и ТО до команды. Команда знает, как достичь поставленных целей на смене</t>
  </si>
  <si>
    <t>МС знает задачи по плану действий ROCC и отслеживает их выполнение на смене. Ночная уборка проведена и система уборки используется</t>
  </si>
  <si>
    <t>Обход по безопасности внутри ресторана проведен. Система видеонаблюдения включена и корректно работает. Принята уборка/ распределены задачи по детальной уборке на смене.</t>
  </si>
  <si>
    <t>Обход по безопасности внутри ресторана проведен. Система видеонаблюдения включена и корректно работает. 
Принята уборка/ распределены задачи по детальной уборке на смене.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</si>
</sst>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\ &quot;₽&quot;"/>
  </numFmts>
  <fonts count="61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  <font>
      <b/>
      <sz val="9"/>
      <color rgb="FF221F1F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20"/>
      <color theme="0"/>
      <name val="Arial"/>
      <family val="2"/>
      <charset val="204"/>
    </font>
    <font>
      <b/>
      <i/>
      <sz val="9"/>
      <color rgb="FF000000"/>
      <name val="Arial"/>
      <family val="2"/>
      <charset val="204"/>
    </font>
    <font>
      <b/>
      <i/>
      <sz val="26"/>
      <color rgb="FFC00000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i/>
      <sz val="30"/>
      <color rgb="FFC00000"/>
      <name val="Arial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11"/>
      <color rgb="FF221F1F"/>
      <name val="Arial"/>
      <family val="2"/>
      <charset val="204"/>
    </font>
    <font>
      <sz val="16"/>
      <name val="Arial"/>
      <family val="2"/>
      <charset val="204"/>
    </font>
    <font>
      <b/>
      <sz val="16"/>
      <name val="Arial"/>
      <family val="2"/>
      <charset val="204"/>
    </font>
    <font>
      <b/>
      <sz val="22"/>
      <color theme="0"/>
      <name val="Calibri"/>
      <family val="2"/>
      <charset val="204"/>
      <scheme val="minor"/>
    </font>
    <font>
      <b/>
      <sz val="22"/>
      <color rgb="FFFFFFFF"/>
      <name val="Arial"/>
      <family val="2"/>
      <charset val="204"/>
    </font>
    <font>
      <sz val="22"/>
      <color theme="1"/>
      <name val="Calibri"/>
      <family val="2"/>
      <charset val="204"/>
      <scheme val="minor"/>
    </font>
    <font>
      <sz val="18"/>
      <name val="Arial"/>
      <family val="2"/>
      <charset val="204"/>
    </font>
    <font>
      <sz val="20"/>
      <color rgb="FF221F1F"/>
      <name val="Arial"/>
      <family val="2"/>
      <charset val="204"/>
    </font>
    <font>
      <b/>
      <sz val="18"/>
      <name val="Arial"/>
      <family val="2"/>
      <charset val="204"/>
    </font>
    <font>
      <sz val="17"/>
      <color rgb="FF221F1F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imes New Roman"/>
      <charset val="204"/>
    </font>
    <font>
      <b/>
      <sz val="16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.5"/>
      <name val="Trebuchet MS"/>
      <family val="2"/>
      <charset val="204"/>
    </font>
    <font>
      <b/>
      <sz val="11.5"/>
      <color rgb="FFFFFFFF"/>
      <name val="Trebuchet MS"/>
      <family val="2"/>
    </font>
    <font>
      <b/>
      <sz val="6"/>
      <name val="Trebuchet MS"/>
      <family val="2"/>
      <charset val="204"/>
    </font>
    <font>
      <b/>
      <sz val="6"/>
      <color rgb="FF221F1F"/>
      <name val="Trebuchet MS"/>
      <family val="2"/>
      <charset val="204"/>
    </font>
    <font>
      <b/>
      <sz val="6"/>
      <color theme="0"/>
      <name val="Trebuchet MS"/>
      <family val="2"/>
      <charset val="204"/>
    </font>
    <font>
      <b/>
      <sz val="8"/>
      <color theme="0"/>
      <name val="Trebuchet MS"/>
      <family val="2"/>
      <charset val="204"/>
    </font>
    <font>
      <b/>
      <sz val="14"/>
      <color theme="0"/>
      <name val="Trebuchet MS"/>
      <family val="2"/>
      <charset val="204"/>
    </font>
    <font>
      <sz val="11"/>
      <color theme="1"/>
      <name val="Trebuchet MS"/>
      <family val="2"/>
      <charset val="204"/>
    </font>
    <font>
      <b/>
      <sz val="11"/>
      <color theme="1"/>
      <name val="Trebuchet MS"/>
      <family val="2"/>
      <charset val="204"/>
    </font>
    <font>
      <b/>
      <sz val="9"/>
      <color theme="0"/>
      <name val="Trebuchet MS"/>
      <family val="2"/>
      <charset val="204"/>
    </font>
    <font>
      <b/>
      <sz val="9"/>
      <name val="Trebuchet MS"/>
      <family val="2"/>
      <charset val="204"/>
    </font>
    <font>
      <sz val="10"/>
      <name val="Arial CE"/>
      <charset val="238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22"/>
      <color rgb="FFC0000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8"/>
      <color theme="1"/>
      <name val="Arial Narrow"/>
      <family val="2"/>
      <charset val="204"/>
    </font>
    <font>
      <sz val="11"/>
      <color theme="0" tint="-0.249977111117893"/>
      <name val="Calibri"/>
      <family val="2"/>
      <charset val="204"/>
      <scheme val="minor"/>
    </font>
    <font>
      <sz val="18"/>
      <color theme="1"/>
      <name val="Arial Narrow"/>
      <family val="2"/>
      <charset val="204"/>
    </font>
    <font>
      <b/>
      <sz val="28"/>
      <color theme="1"/>
      <name val="Arial Narrow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11" fillId="0" borderId="0"/>
    <xf numFmtId="0" fontId="26" fillId="0" borderId="0"/>
    <xf numFmtId="0" fontId="24" fillId="0" borderId="0"/>
    <xf numFmtId="0" fontId="40" fillId="0" borderId="0"/>
    <xf numFmtId="0" fontId="24" fillId="0" borderId="0"/>
    <xf numFmtId="0" fontId="50" fillId="0" borderId="0"/>
  </cellStyleXfs>
  <cellXfs count="348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/>
    <xf numFmtId="0" fontId="3" fillId="2" borderId="0" xfId="0" applyFont="1" applyFill="1" applyBorder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vertical="center" wrapText="1" shrinkToFit="1"/>
    </xf>
    <xf numFmtId="0" fontId="7" fillId="2" borderId="0" xfId="0" applyFont="1" applyFill="1" applyBorder="1" applyAlignment="1">
      <alignment vertical="center" shrinkToFit="1"/>
    </xf>
    <xf numFmtId="0" fontId="9" fillId="2" borderId="0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vertical="center" shrinkToFit="1"/>
    </xf>
    <xf numFmtId="0" fontId="10" fillId="2" borderId="6" xfId="0" applyFont="1" applyFill="1" applyBorder="1" applyAlignment="1">
      <alignment vertical="center" shrinkToFit="1"/>
    </xf>
    <xf numFmtId="0" fontId="10" fillId="2" borderId="0" xfId="0" applyFont="1" applyFill="1" applyBorder="1" applyAlignment="1">
      <alignment vertical="center" shrinkToFit="1"/>
    </xf>
    <xf numFmtId="0" fontId="2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 shrinkToFit="1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 wrapText="1" shrinkToFit="1"/>
    </xf>
    <xf numFmtId="0" fontId="6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wrapText="1" shrinkToFit="1"/>
    </xf>
    <xf numFmtId="0" fontId="12" fillId="2" borderId="0" xfId="0" applyFont="1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/>
    </xf>
    <xf numFmtId="0" fontId="13" fillId="2" borderId="0" xfId="0" applyFont="1" applyFill="1" applyBorder="1"/>
    <xf numFmtId="0" fontId="13" fillId="2" borderId="0" xfId="0" applyFont="1" applyFill="1"/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 wrapText="1" shrinkToFit="1"/>
    </xf>
    <xf numFmtId="0" fontId="0" fillId="2" borderId="11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 shrinkToFit="1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wrapText="1" shrinkToFit="1"/>
    </xf>
    <xf numFmtId="0" fontId="12" fillId="2" borderId="0" xfId="0" applyFont="1" applyFill="1" applyBorder="1" applyAlignment="1">
      <alignment horizontal="center" vertical="center" shrinkToFit="1"/>
    </xf>
    <xf numFmtId="0" fontId="19" fillId="2" borderId="0" xfId="0" applyFont="1" applyFill="1" applyBorder="1"/>
    <xf numFmtId="0" fontId="19" fillId="2" borderId="0" xfId="0" applyFont="1" applyFill="1"/>
    <xf numFmtId="0" fontId="19" fillId="2" borderId="1" xfId="0" applyFont="1" applyFill="1" applyBorder="1" applyAlignment="1"/>
    <xf numFmtId="0" fontId="19" fillId="2" borderId="1" xfId="0" applyFont="1" applyFill="1" applyBorder="1"/>
    <xf numFmtId="0" fontId="17" fillId="2" borderId="0" xfId="0" applyFont="1" applyFill="1" applyBorder="1" applyAlignment="1">
      <alignment vertical="center"/>
    </xf>
    <xf numFmtId="0" fontId="28" fillId="0" borderId="0" xfId="2" applyFont="1" applyFill="1" applyBorder="1" applyAlignment="1">
      <alignment horizontal="left" vertical="center"/>
    </xf>
    <xf numFmtId="0" fontId="26" fillId="0" borderId="0" xfId="2" applyFill="1" applyBorder="1" applyAlignment="1">
      <alignment horizontal="left" vertical="top"/>
    </xf>
    <xf numFmtId="0" fontId="31" fillId="0" borderId="21" xfId="2" applyFont="1" applyFill="1" applyBorder="1" applyAlignment="1">
      <alignment horizontal="center" vertical="center" wrapText="1"/>
    </xf>
    <xf numFmtId="0" fontId="32" fillId="0" borderId="22" xfId="2" applyFont="1" applyFill="1" applyBorder="1" applyAlignment="1">
      <alignment horizontal="center" vertical="center" wrapText="1"/>
    </xf>
    <xf numFmtId="0" fontId="32" fillId="0" borderId="23" xfId="2" applyFont="1" applyFill="1" applyBorder="1" applyAlignment="1">
      <alignment horizontal="center" vertical="center" wrapText="1"/>
    </xf>
    <xf numFmtId="0" fontId="26" fillId="0" borderId="24" xfId="2" applyFill="1" applyBorder="1" applyAlignment="1">
      <alignment horizontal="center" vertical="center" wrapText="1"/>
    </xf>
    <xf numFmtId="0" fontId="26" fillId="0" borderId="25" xfId="2" applyFill="1" applyBorder="1" applyAlignment="1">
      <alignment horizontal="center" vertical="center" wrapText="1"/>
    </xf>
    <xf numFmtId="0" fontId="26" fillId="0" borderId="27" xfId="2" applyFill="1" applyBorder="1" applyAlignment="1">
      <alignment horizontal="center" vertical="center" wrapText="1"/>
    </xf>
    <xf numFmtId="0" fontId="26" fillId="0" borderId="19" xfId="2" applyFill="1" applyBorder="1" applyAlignment="1">
      <alignment horizontal="center" wrapText="1"/>
    </xf>
    <xf numFmtId="0" fontId="26" fillId="0" borderId="10" xfId="2" applyFill="1" applyBorder="1" applyAlignment="1">
      <alignment horizontal="left" wrapText="1"/>
    </xf>
    <xf numFmtId="0" fontId="26" fillId="0" borderId="20" xfId="2" applyFill="1" applyBorder="1" applyAlignment="1">
      <alignment horizontal="left" wrapText="1"/>
    </xf>
    <xf numFmtId="0" fontId="26" fillId="0" borderId="29" xfId="2" applyFill="1" applyBorder="1" applyAlignment="1">
      <alignment horizontal="center" wrapText="1"/>
    </xf>
    <xf numFmtId="0" fontId="26" fillId="0" borderId="30" xfId="2" applyFill="1" applyBorder="1" applyAlignment="1">
      <alignment horizontal="left" wrapText="1"/>
    </xf>
    <xf numFmtId="0" fontId="26" fillId="0" borderId="32" xfId="2" applyFill="1" applyBorder="1" applyAlignment="1">
      <alignment horizontal="left" wrapText="1"/>
    </xf>
    <xf numFmtId="0" fontId="26" fillId="0" borderId="24" xfId="2" applyFill="1" applyBorder="1" applyAlignment="1">
      <alignment horizontal="center" wrapText="1"/>
    </xf>
    <xf numFmtId="0" fontId="26" fillId="0" borderId="25" xfId="2" applyFill="1" applyBorder="1" applyAlignment="1">
      <alignment horizontal="left" wrapText="1"/>
    </xf>
    <xf numFmtId="0" fontId="26" fillId="0" borderId="27" xfId="2" applyFill="1" applyBorder="1" applyAlignment="1">
      <alignment horizontal="left" wrapText="1"/>
    </xf>
    <xf numFmtId="0" fontId="36" fillId="0" borderId="0" xfId="3" applyFont="1" applyAlignment="1">
      <alignment vertical="center"/>
    </xf>
    <xf numFmtId="0" fontId="36" fillId="0" borderId="24" xfId="3" applyFont="1" applyBorder="1" applyAlignment="1">
      <alignment vertical="center"/>
    </xf>
    <xf numFmtId="0" fontId="36" fillId="0" borderId="1" xfId="3" applyFont="1" applyBorder="1" applyAlignment="1">
      <alignment vertical="center"/>
    </xf>
    <xf numFmtId="0" fontId="36" fillId="0" borderId="27" xfId="3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/>
    </xf>
    <xf numFmtId="0" fontId="36" fillId="0" borderId="19" xfId="3" applyFont="1" applyBorder="1" applyAlignment="1">
      <alignment vertical="center"/>
    </xf>
    <xf numFmtId="0" fontId="36" fillId="0" borderId="6" xfId="3" applyFont="1" applyBorder="1" applyAlignment="1">
      <alignment vertical="center"/>
    </xf>
    <xf numFmtId="0" fontId="36" fillId="0" borderId="32" xfId="3" applyFont="1" applyBorder="1" applyAlignment="1">
      <alignment horizontal="center" vertical="center"/>
    </xf>
    <xf numFmtId="0" fontId="36" fillId="0" borderId="9" xfId="3" applyFont="1" applyBorder="1" applyAlignment="1">
      <alignment horizontal="center" vertical="center"/>
    </xf>
    <xf numFmtId="0" fontId="36" fillId="0" borderId="40" xfId="3" applyFont="1" applyBorder="1" applyAlignment="1">
      <alignment vertical="center"/>
    </xf>
    <xf numFmtId="0" fontId="36" fillId="0" borderId="41" xfId="3" applyFont="1" applyBorder="1" applyAlignment="1">
      <alignment vertical="center"/>
    </xf>
    <xf numFmtId="0" fontId="36" fillId="0" borderId="42" xfId="3" applyFont="1" applyBorder="1" applyAlignment="1">
      <alignment horizontal="center" vertical="center"/>
    </xf>
    <xf numFmtId="0" fontId="36" fillId="0" borderId="44" xfId="3" applyFont="1" applyBorder="1" applyAlignment="1">
      <alignment horizontal="center" vertical="center"/>
    </xf>
    <xf numFmtId="0" fontId="36" fillId="4" borderId="46" xfId="3" applyFont="1" applyFill="1" applyBorder="1" applyAlignment="1">
      <alignment horizontal="center" vertical="center"/>
    </xf>
    <xf numFmtId="0" fontId="36" fillId="4" borderId="21" xfId="3" applyFont="1" applyFill="1" applyBorder="1" applyAlignment="1">
      <alignment horizontal="center" vertical="center"/>
    </xf>
    <xf numFmtId="0" fontId="36" fillId="4" borderId="47" xfId="3" applyFont="1" applyFill="1" applyBorder="1" applyAlignment="1">
      <alignment horizontal="center" vertical="center"/>
    </xf>
    <xf numFmtId="0" fontId="36" fillId="4" borderId="23" xfId="3" applyFont="1" applyFill="1" applyBorder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6" fillId="0" borderId="48" xfId="3" applyFont="1" applyBorder="1" applyAlignment="1">
      <alignment horizontal="center" vertical="center"/>
    </xf>
    <xf numFmtId="0" fontId="36" fillId="0" borderId="27" xfId="3" applyFont="1" applyBorder="1" applyAlignment="1">
      <alignment vertical="center"/>
    </xf>
    <xf numFmtId="0" fontId="36" fillId="0" borderId="3" xfId="3" applyFont="1" applyBorder="1" applyAlignment="1">
      <alignment vertical="center"/>
    </xf>
    <xf numFmtId="0" fontId="36" fillId="0" borderId="5" xfId="3" applyFont="1" applyBorder="1" applyAlignment="1">
      <alignment vertical="center"/>
    </xf>
    <xf numFmtId="0" fontId="36" fillId="0" borderId="49" xfId="3" applyFont="1" applyBorder="1" applyAlignment="1">
      <alignment horizontal="center" vertical="center"/>
    </xf>
    <xf numFmtId="0" fontId="36" fillId="0" borderId="8" xfId="3" applyFont="1" applyBorder="1" applyAlignment="1">
      <alignment vertical="center"/>
    </xf>
    <xf numFmtId="0" fontId="36" fillId="0" borderId="20" xfId="3" applyFont="1" applyBorder="1" applyAlignment="1">
      <alignment vertical="center"/>
    </xf>
    <xf numFmtId="0" fontId="36" fillId="0" borderId="12" xfId="3" applyFont="1" applyBorder="1" applyAlignment="1">
      <alignment vertical="center"/>
    </xf>
    <xf numFmtId="0" fontId="36" fillId="0" borderId="11" xfId="3" applyFont="1" applyBorder="1" applyAlignment="1">
      <alignment vertical="center"/>
    </xf>
    <xf numFmtId="0" fontId="36" fillId="0" borderId="50" xfId="3" applyFont="1" applyBorder="1" applyAlignment="1">
      <alignment horizontal="center" vertical="center"/>
    </xf>
    <xf numFmtId="0" fontId="36" fillId="0" borderId="29" xfId="3" applyFont="1" applyBorder="1" applyAlignment="1">
      <alignment vertical="center"/>
    </xf>
    <xf numFmtId="0" fontId="36" fillId="0" borderId="32" xfId="3" applyFont="1" applyBorder="1" applyAlignment="1">
      <alignment vertical="center"/>
    </xf>
    <xf numFmtId="0" fontId="36" fillId="0" borderId="7" xfId="3" applyFont="1" applyBorder="1" applyAlignment="1">
      <alignment vertical="center"/>
    </xf>
    <xf numFmtId="0" fontId="36" fillId="0" borderId="9" xfId="3" applyFont="1" applyBorder="1" applyAlignment="1">
      <alignment vertical="center"/>
    </xf>
    <xf numFmtId="0" fontId="41" fillId="0" borderId="0" xfId="4" applyFont="1" applyBorder="1" applyAlignment="1" applyProtection="1">
      <alignment vertical="center"/>
    </xf>
    <xf numFmtId="0" fontId="42" fillId="0" borderId="0" xfId="4" applyFont="1" applyFill="1" applyBorder="1" applyAlignment="1" applyProtection="1">
      <alignment horizontal="right" vertical="center" wrapText="1"/>
    </xf>
    <xf numFmtId="0" fontId="41" fillId="0" borderId="0" xfId="4" applyFont="1" applyFill="1" applyBorder="1" applyAlignment="1" applyProtection="1">
      <alignment horizontal="right" vertical="center" wrapText="1"/>
    </xf>
    <xf numFmtId="0" fontId="41" fillId="0" borderId="0" xfId="4" applyFont="1" applyFill="1" applyBorder="1" applyAlignment="1" applyProtection="1">
      <alignment vertical="center"/>
    </xf>
    <xf numFmtId="0" fontId="43" fillId="0" borderId="0" xfId="4" applyFont="1" applyFill="1" applyBorder="1" applyAlignment="1" applyProtection="1">
      <alignment horizontal="left" vertical="center"/>
    </xf>
    <xf numFmtId="0" fontId="42" fillId="0" borderId="0" xfId="4" applyFont="1" applyBorder="1" applyAlignment="1" applyProtection="1">
      <alignment horizontal="right" vertical="center" wrapText="1"/>
    </xf>
    <xf numFmtId="0" fontId="41" fillId="0" borderId="0" xfId="4" applyFont="1" applyFill="1" applyBorder="1" applyAlignment="1" applyProtection="1">
      <alignment horizontal="center" vertical="center"/>
    </xf>
    <xf numFmtId="0" fontId="44" fillId="0" borderId="0" xfId="4" applyFont="1" applyFill="1" applyBorder="1" applyAlignment="1" applyProtection="1">
      <alignment horizontal="center" vertical="center" wrapText="1"/>
    </xf>
    <xf numFmtId="0" fontId="24" fillId="0" borderId="0" xfId="5" applyProtection="1"/>
    <xf numFmtId="0" fontId="24" fillId="0" borderId="0" xfId="5"/>
    <xf numFmtId="0" fontId="24" fillId="0" borderId="0" xfId="5" applyAlignment="1" applyProtection="1">
      <alignment wrapText="1"/>
    </xf>
    <xf numFmtId="0" fontId="46" fillId="0" borderId="0" xfId="5" applyFont="1"/>
    <xf numFmtId="0" fontId="24" fillId="0" borderId="0" xfId="5" applyProtection="1">
      <protection hidden="1"/>
    </xf>
    <xf numFmtId="0" fontId="25" fillId="0" borderId="0" xfId="5" applyFont="1" applyProtection="1">
      <protection hidden="1"/>
    </xf>
    <xf numFmtId="0" fontId="33" fillId="3" borderId="21" xfId="2" applyFont="1" applyFill="1" applyBorder="1" applyAlignment="1">
      <alignment horizontal="center" vertical="center" wrapText="1"/>
    </xf>
    <xf numFmtId="0" fontId="34" fillId="3" borderId="22" xfId="2" applyFont="1" applyFill="1" applyBorder="1" applyAlignment="1">
      <alignment vertical="center" wrapText="1"/>
    </xf>
    <xf numFmtId="0" fontId="34" fillId="3" borderId="23" xfId="2" applyFont="1" applyFill="1" applyBorder="1" applyAlignment="1">
      <alignment vertical="center" wrapText="1"/>
    </xf>
    <xf numFmtId="0" fontId="34" fillId="3" borderId="22" xfId="2" applyFont="1" applyFill="1" applyBorder="1" applyAlignment="1">
      <alignment vertical="top" wrapText="1"/>
    </xf>
    <xf numFmtId="0" fontId="34" fillId="3" borderId="23" xfId="2" applyFont="1" applyFill="1" applyBorder="1" applyAlignment="1">
      <alignment vertical="top" wrapText="1"/>
    </xf>
    <xf numFmtId="0" fontId="33" fillId="3" borderId="22" xfId="2" applyFont="1" applyFill="1" applyBorder="1" applyAlignment="1">
      <alignment vertical="center" wrapText="1"/>
    </xf>
    <xf numFmtId="0" fontId="33" fillId="3" borderId="23" xfId="2" applyFont="1" applyFill="1" applyBorder="1" applyAlignment="1">
      <alignment vertical="center" wrapText="1"/>
    </xf>
    <xf numFmtId="0" fontId="34" fillId="3" borderId="33" xfId="2" applyFont="1" applyFill="1" applyBorder="1" applyAlignment="1">
      <alignment horizontal="center" vertical="center" wrapText="1"/>
    </xf>
    <xf numFmtId="0" fontId="31" fillId="3" borderId="31" xfId="2" applyFont="1" applyFill="1" applyBorder="1" applyAlignment="1">
      <alignment vertical="center" wrapText="1"/>
    </xf>
    <xf numFmtId="0" fontId="31" fillId="3" borderId="34" xfId="2" applyFont="1" applyFill="1" applyBorder="1" applyAlignment="1">
      <alignment vertical="center" wrapText="1"/>
    </xf>
    <xf numFmtId="0" fontId="38" fillId="3" borderId="21" xfId="2" applyFont="1" applyFill="1" applyBorder="1" applyAlignment="1">
      <alignment horizontal="center" vertical="center" wrapText="1"/>
    </xf>
    <xf numFmtId="0" fontId="39" fillId="3" borderId="22" xfId="2" applyFont="1" applyFill="1" applyBorder="1" applyAlignment="1">
      <alignment vertical="center" wrapText="1"/>
    </xf>
    <xf numFmtId="0" fontId="39" fillId="3" borderId="23" xfId="2" applyFont="1" applyFill="1" applyBorder="1" applyAlignment="1">
      <alignment vertical="center" wrapText="1"/>
    </xf>
    <xf numFmtId="0" fontId="50" fillId="0" borderId="0" xfId="6"/>
    <xf numFmtId="0" fontId="51" fillId="0" borderId="0" xfId="6" applyFont="1" applyAlignment="1">
      <alignment horizontal="center" wrapText="1"/>
    </xf>
    <xf numFmtId="0" fontId="25" fillId="0" borderId="0" xfId="6" applyFont="1" applyAlignment="1">
      <alignment horizontal="center" vertical="center"/>
    </xf>
    <xf numFmtId="0" fontId="50" fillId="0" borderId="13" xfId="6" applyBorder="1"/>
    <xf numFmtId="0" fontId="50" fillId="0" borderId="14" xfId="6" applyBorder="1"/>
    <xf numFmtId="0" fontId="51" fillId="0" borderId="14" xfId="6" applyFont="1" applyBorder="1" applyAlignment="1">
      <alignment horizontal="center" wrapText="1"/>
    </xf>
    <xf numFmtId="0" fontId="25" fillId="0" borderId="14" xfId="6" applyFont="1" applyBorder="1" applyAlignment="1">
      <alignment horizontal="center" vertical="center"/>
    </xf>
    <xf numFmtId="0" fontId="50" fillId="0" borderId="15" xfId="6" applyBorder="1"/>
    <xf numFmtId="0" fontId="50" fillId="0" borderId="53" xfId="6" applyBorder="1"/>
    <xf numFmtId="0" fontId="50" fillId="0" borderId="0" xfId="6" applyBorder="1"/>
    <xf numFmtId="0" fontId="51" fillId="0" borderId="0" xfId="6" applyFont="1" applyBorder="1" applyAlignment="1">
      <alignment horizontal="center" wrapText="1"/>
    </xf>
    <xf numFmtId="0" fontId="25" fillId="0" borderId="0" xfId="6" applyFont="1" applyBorder="1" applyAlignment="1">
      <alignment horizontal="center" vertical="center"/>
    </xf>
    <xf numFmtId="0" fontId="50" fillId="0" borderId="54" xfId="6" applyBorder="1"/>
    <xf numFmtId="0" fontId="53" fillId="3" borderId="56" xfId="6" applyFont="1" applyFill="1" applyBorder="1" applyAlignment="1">
      <alignment horizontal="center" vertical="center" wrapText="1"/>
    </xf>
    <xf numFmtId="0" fontId="53" fillId="3" borderId="57" xfId="6" applyFont="1" applyFill="1" applyBorder="1" applyAlignment="1">
      <alignment horizontal="center" vertical="center"/>
    </xf>
    <xf numFmtId="0" fontId="53" fillId="3" borderId="21" xfId="6" applyFont="1" applyFill="1" applyBorder="1" applyAlignment="1">
      <alignment horizontal="center" vertical="center"/>
    </xf>
    <xf numFmtId="0" fontId="53" fillId="3" borderId="56" xfId="6" applyFont="1" applyFill="1" applyBorder="1" applyAlignment="1">
      <alignment horizontal="center" vertical="center"/>
    </xf>
    <xf numFmtId="14" fontId="25" fillId="0" borderId="27" xfId="6" applyNumberFormat="1" applyFont="1" applyBorder="1" applyAlignment="1">
      <alignment horizontal="center" vertical="center"/>
    </xf>
    <xf numFmtId="0" fontId="25" fillId="0" borderId="37" xfId="6" applyFont="1" applyBorder="1" applyAlignment="1">
      <alignment horizontal="center" vertical="center"/>
    </xf>
    <xf numFmtId="0" fontId="25" fillId="0" borderId="16" xfId="6" applyFont="1" applyBorder="1" applyAlignment="1">
      <alignment horizontal="center" vertical="center"/>
    </xf>
    <xf numFmtId="0" fontId="25" fillId="0" borderId="58" xfId="6" applyFont="1" applyBorder="1" applyAlignment="1">
      <alignment horizontal="center" vertical="center"/>
    </xf>
    <xf numFmtId="0" fontId="25" fillId="0" borderId="32" xfId="6" applyFont="1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0" borderId="24" xfId="6" applyFont="1" applyBorder="1" applyAlignment="1">
      <alignment horizontal="center" vertical="center"/>
    </xf>
    <xf numFmtId="0" fontId="25" fillId="0" borderId="59" xfId="6" applyFont="1" applyBorder="1" applyAlignment="1">
      <alignment horizontal="center" vertical="center"/>
    </xf>
    <xf numFmtId="0" fontId="25" fillId="0" borderId="60" xfId="6" applyFont="1" applyBorder="1" applyAlignment="1">
      <alignment horizontal="center" vertical="center"/>
    </xf>
    <xf numFmtId="0" fontId="25" fillId="0" borderId="33" xfId="6" applyFont="1" applyBorder="1" applyAlignment="1">
      <alignment horizontal="center" vertical="center"/>
    </xf>
    <xf numFmtId="0" fontId="25" fillId="0" borderId="45" xfId="6" applyFont="1" applyBorder="1" applyAlignment="1">
      <alignment horizontal="center" vertical="center"/>
    </xf>
    <xf numFmtId="164" fontId="25" fillId="0" borderId="27" xfId="6" applyNumberFormat="1" applyFont="1" applyBorder="1" applyAlignment="1">
      <alignment horizontal="center" vertical="center"/>
    </xf>
    <xf numFmtId="164" fontId="25" fillId="0" borderId="20" xfId="6" applyNumberFormat="1" applyFont="1" applyBorder="1" applyAlignment="1">
      <alignment horizontal="center" vertical="center"/>
    </xf>
    <xf numFmtId="1" fontId="25" fillId="0" borderId="20" xfId="6" applyNumberFormat="1" applyFont="1" applyBorder="1" applyAlignment="1">
      <alignment horizontal="center" vertical="center"/>
    </xf>
    <xf numFmtId="0" fontId="25" fillId="0" borderId="20" xfId="6" applyFont="1" applyBorder="1" applyAlignment="1">
      <alignment horizontal="center" vertical="center"/>
    </xf>
    <xf numFmtId="0" fontId="25" fillId="0" borderId="63" xfId="6" applyFont="1" applyBorder="1" applyAlignment="1">
      <alignment horizontal="center" vertical="center"/>
    </xf>
    <xf numFmtId="0" fontId="25" fillId="0" borderId="48" xfId="6" applyFont="1" applyBorder="1" applyAlignment="1">
      <alignment horizontal="center" vertical="center"/>
    </xf>
    <xf numFmtId="0" fontId="25" fillId="0" borderId="64" xfId="6" applyFont="1" applyBorder="1" applyAlignment="1">
      <alignment horizontal="center" vertical="center"/>
    </xf>
    <xf numFmtId="0" fontId="25" fillId="0" borderId="65" xfId="6" applyFont="1" applyBorder="1" applyAlignment="1">
      <alignment horizontal="center" vertical="center"/>
    </xf>
    <xf numFmtId="0" fontId="25" fillId="0" borderId="66" xfId="6" applyFont="1" applyBorder="1" applyAlignment="1">
      <alignment horizontal="center" vertical="center"/>
    </xf>
    <xf numFmtId="0" fontId="25" fillId="0" borderId="27" xfId="6" applyFont="1" applyBorder="1" applyAlignment="1">
      <alignment horizontal="center" vertical="center"/>
    </xf>
    <xf numFmtId="0" fontId="25" fillId="0" borderId="56" xfId="6" applyFont="1" applyBorder="1" applyAlignment="1">
      <alignment horizontal="center" vertical="center"/>
    </xf>
    <xf numFmtId="0" fontId="50" fillId="0" borderId="42" xfId="6" applyBorder="1"/>
    <xf numFmtId="0" fontId="53" fillId="3" borderId="35" xfId="6" applyFont="1" applyFill="1" applyBorder="1" applyAlignment="1">
      <alignment horizontal="center" vertical="center"/>
    </xf>
    <xf numFmtId="0" fontId="53" fillId="3" borderId="14" xfId="6" applyFont="1" applyFill="1" applyBorder="1" applyAlignment="1">
      <alignment horizontal="center" vertical="center"/>
    </xf>
    <xf numFmtId="0" fontId="25" fillId="0" borderId="36" xfId="6" applyFont="1" applyBorder="1" applyAlignment="1">
      <alignment horizontal="center" vertical="center"/>
    </xf>
    <xf numFmtId="0" fontId="25" fillId="0" borderId="8" xfId="6" applyFont="1" applyBorder="1" applyAlignment="1">
      <alignment horizontal="center" vertical="center"/>
    </xf>
    <xf numFmtId="0" fontId="25" fillId="0" borderId="41" xfId="6" applyFont="1" applyBorder="1" applyAlignment="1">
      <alignment horizontal="center" vertical="center"/>
    </xf>
    <xf numFmtId="0" fontId="25" fillId="0" borderId="61" xfId="6" applyFont="1" applyBorder="1" applyAlignment="1">
      <alignment horizontal="center" vertical="center"/>
    </xf>
    <xf numFmtId="0" fontId="55" fillId="0" borderId="0" xfId="6" applyFont="1" applyBorder="1" applyAlignment="1">
      <alignment vertical="center" wrapText="1"/>
    </xf>
    <xf numFmtId="0" fontId="50" fillId="0" borderId="65" xfId="6" applyBorder="1"/>
    <xf numFmtId="0" fontId="50" fillId="0" borderId="61" xfId="6" applyBorder="1"/>
    <xf numFmtId="0" fontId="51" fillId="0" borderId="61" xfId="6" applyFont="1" applyBorder="1" applyAlignment="1">
      <alignment horizontal="center" wrapText="1"/>
    </xf>
    <xf numFmtId="0" fontId="50" fillId="0" borderId="62" xfId="6" applyBorder="1"/>
    <xf numFmtId="0" fontId="25" fillId="0" borderId="0" xfId="6" applyFont="1"/>
    <xf numFmtId="0" fontId="50" fillId="0" borderId="0" xfId="6" applyAlignment="1">
      <alignment horizontal="left" vertical="center"/>
    </xf>
    <xf numFmtId="0" fontId="50" fillId="0" borderId="10" xfId="6" applyBorder="1" applyAlignment="1">
      <alignment horizontal="left" vertical="center"/>
    </xf>
    <xf numFmtId="0" fontId="50" fillId="0" borderId="10" xfId="6" applyBorder="1" applyAlignment="1">
      <alignment horizontal="left" vertical="center" wrapText="1"/>
    </xf>
    <xf numFmtId="0" fontId="24" fillId="0" borderId="10" xfId="6" applyFont="1" applyBorder="1" applyAlignment="1">
      <alignment horizontal="left" vertical="center"/>
    </xf>
    <xf numFmtId="0" fontId="57" fillId="6" borderId="10" xfId="6" applyFont="1" applyFill="1" applyBorder="1" applyAlignment="1">
      <alignment horizontal="center" vertical="center"/>
    </xf>
    <xf numFmtId="0" fontId="25" fillId="6" borderId="10" xfId="6" applyFont="1" applyFill="1" applyBorder="1" applyAlignment="1">
      <alignment horizontal="center" vertical="center"/>
    </xf>
    <xf numFmtId="0" fontId="60" fillId="0" borderId="19" xfId="0" applyFont="1" applyBorder="1" applyAlignment="1">
      <alignment vertical="center" wrapText="1" shrinkToFit="1"/>
    </xf>
    <xf numFmtId="0" fontId="0" fillId="0" borderId="0" xfId="0" applyAlignment="1">
      <alignment vertical="center" shrinkToFit="1"/>
    </xf>
    <xf numFmtId="0" fontId="59" fillId="0" borderId="16" xfId="0" applyFont="1" applyBorder="1" applyAlignment="1">
      <alignment vertical="center" wrapText="1" shrinkToFit="1"/>
    </xf>
    <xf numFmtId="0" fontId="59" fillId="0" borderId="18" xfId="0" applyFont="1" applyBorder="1" applyAlignment="1">
      <alignment vertical="center" shrinkToFit="1"/>
    </xf>
    <xf numFmtId="0" fontId="59" fillId="0" borderId="19" xfId="0" applyFont="1" applyBorder="1" applyAlignment="1">
      <alignment vertical="center" wrapText="1" shrinkToFit="1"/>
    </xf>
    <xf numFmtId="0" fontId="59" fillId="0" borderId="20" xfId="0" applyFont="1" applyBorder="1" applyAlignment="1">
      <alignment vertical="center" shrinkToFit="1"/>
    </xf>
    <xf numFmtId="0" fontId="59" fillId="0" borderId="40" xfId="0" applyFont="1" applyBorder="1" applyAlignment="1">
      <alignment vertical="center" wrapText="1" shrinkToFit="1"/>
    </xf>
    <xf numFmtId="0" fontId="59" fillId="0" borderId="42" xfId="0" applyFont="1" applyBorder="1" applyAlignment="1">
      <alignment vertical="center" shrinkToFit="1"/>
    </xf>
    <xf numFmtId="0" fontId="60" fillId="0" borderId="24" xfId="0" applyFont="1" applyBorder="1" applyAlignment="1">
      <alignment vertical="center" wrapText="1" shrinkToFit="1"/>
    </xf>
    <xf numFmtId="0" fontId="59" fillId="0" borderId="27" xfId="0" applyFont="1" applyBorder="1" applyAlignment="1">
      <alignment vertical="center" shrinkToFit="1"/>
    </xf>
    <xf numFmtId="0" fontId="50" fillId="0" borderId="0" xfId="6" applyAlignment="1">
      <alignment vertical="center"/>
    </xf>
    <xf numFmtId="0" fontId="50" fillId="0" borderId="14" xfId="6" applyBorder="1" applyAlignment="1">
      <alignment vertical="center"/>
    </xf>
    <xf numFmtId="0" fontId="25" fillId="0" borderId="24" xfId="6" applyFont="1" applyBorder="1" applyAlignment="1">
      <alignment vertical="center"/>
    </xf>
    <xf numFmtId="0" fontId="25" fillId="0" borderId="29" xfId="6" applyFont="1" applyBorder="1" applyAlignment="1">
      <alignment vertical="center"/>
    </xf>
    <xf numFmtId="0" fontId="25" fillId="0" borderId="19" xfId="6" applyFont="1" applyBorder="1" applyAlignment="1">
      <alignment vertical="center"/>
    </xf>
    <xf numFmtId="0" fontId="25" fillId="0" borderId="40" xfId="6" applyFont="1" applyBorder="1" applyAlignment="1">
      <alignment vertical="center"/>
    </xf>
    <xf numFmtId="0" fontId="50" fillId="0" borderId="0" xfId="6" applyBorder="1" applyAlignment="1">
      <alignment vertical="center"/>
    </xf>
    <xf numFmtId="0" fontId="50" fillId="0" borderId="61" xfId="6" applyBorder="1" applyAlignment="1">
      <alignment vertical="center"/>
    </xf>
    <xf numFmtId="0" fontId="59" fillId="0" borderId="29" xfId="0" applyFont="1" applyBorder="1" applyAlignment="1">
      <alignment vertical="center" wrapText="1" shrinkToFit="1"/>
    </xf>
    <xf numFmtId="0" fontId="59" fillId="0" borderId="32" xfId="0" applyFont="1" applyBorder="1" applyAlignment="1">
      <alignment vertical="center" shrinkToFit="1"/>
    </xf>
    <xf numFmtId="0" fontId="59" fillId="0" borderId="33" xfId="0" applyFont="1" applyBorder="1" applyAlignment="1">
      <alignment vertical="center" wrapText="1" shrinkToFit="1"/>
    </xf>
    <xf numFmtId="0" fontId="17" fillId="3" borderId="9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 wrapText="1" shrinkToFit="1"/>
    </xf>
    <xf numFmtId="0" fontId="15" fillId="2" borderId="10" xfId="0" applyFont="1" applyFill="1" applyBorder="1" applyAlignment="1">
      <alignment horizontal="left" vertical="center" shrinkToFit="1"/>
    </xf>
    <xf numFmtId="0" fontId="0" fillId="2" borderId="9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8" fillId="3" borderId="9" xfId="0" applyFont="1" applyFill="1" applyBorder="1" applyAlignment="1">
      <alignment horizontal="center" vertical="center" wrapText="1" shrinkToFit="1"/>
    </xf>
    <xf numFmtId="0" fontId="8" fillId="3" borderId="6" xfId="0" applyFont="1" applyFill="1" applyBorder="1" applyAlignment="1">
      <alignment horizontal="center" vertical="center" wrapText="1" shrinkToFit="1"/>
    </xf>
    <xf numFmtId="0" fontId="8" fillId="3" borderId="7" xfId="0" applyFont="1" applyFill="1" applyBorder="1" applyAlignment="1">
      <alignment horizontal="center" vertical="center" wrapText="1" shrinkToFit="1"/>
    </xf>
    <xf numFmtId="0" fontId="8" fillId="3" borderId="5" xfId="0" applyFont="1" applyFill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center" vertical="center" wrapText="1" shrinkToFit="1"/>
    </xf>
    <xf numFmtId="0" fontId="8" fillId="3" borderId="3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4" fillId="2" borderId="10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55" fillId="2" borderId="10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/>
    </xf>
    <xf numFmtId="0" fontId="17" fillId="3" borderId="1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shrinkToFit="1"/>
    </xf>
    <xf numFmtId="0" fontId="9" fillId="2" borderId="0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 wrapText="1" shrinkToFit="1"/>
    </xf>
    <xf numFmtId="0" fontId="7" fillId="2" borderId="6" xfId="0" applyFont="1" applyFill="1" applyBorder="1" applyAlignment="1">
      <alignment horizontal="center" vertical="center" wrapText="1" shrinkToFit="1"/>
    </xf>
    <xf numFmtId="0" fontId="7" fillId="2" borderId="5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 shrinkToFit="1"/>
    </xf>
    <xf numFmtId="0" fontId="7" fillId="2" borderId="7" xfId="0" applyFont="1" applyFill="1" applyBorder="1" applyAlignment="1">
      <alignment horizontal="center" vertical="center" wrapText="1" shrinkToFit="1"/>
    </xf>
    <xf numFmtId="0" fontId="7" fillId="2" borderId="3" xfId="0" applyFont="1" applyFill="1" applyBorder="1" applyAlignment="1">
      <alignment horizontal="center" vertical="center" wrapText="1" shrinkToFit="1"/>
    </xf>
    <xf numFmtId="0" fontId="7" fillId="0" borderId="6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0" fontId="23" fillId="2" borderId="10" xfId="0" applyFont="1" applyFill="1" applyBorder="1" applyAlignment="1">
      <alignment horizontal="right" vertical="center" wrapText="1" shrinkToFit="1"/>
    </xf>
    <xf numFmtId="0" fontId="6" fillId="2" borderId="10" xfId="0" applyFont="1" applyFill="1" applyBorder="1" applyAlignment="1">
      <alignment horizontal="center" vertical="center" shrinkToFit="1"/>
    </xf>
    <xf numFmtId="0" fontId="21" fillId="2" borderId="10" xfId="0" applyFont="1" applyFill="1" applyBorder="1" applyAlignment="1">
      <alignment horizontal="right" vertical="center" wrapText="1" shrinkToFit="1"/>
    </xf>
    <xf numFmtId="0" fontId="54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 shrinkToFit="1"/>
    </xf>
    <xf numFmtId="0" fontId="20" fillId="2" borderId="10" xfId="0" applyFont="1" applyFill="1" applyBorder="1" applyAlignment="1">
      <alignment horizontal="left" vertical="center" wrapText="1" shrinkToFit="1"/>
    </xf>
    <xf numFmtId="0" fontId="20" fillId="2" borderId="10" xfId="0" applyFont="1" applyFill="1" applyBorder="1" applyAlignment="1">
      <alignment horizontal="left" vertical="center" shrinkToFit="1"/>
    </xf>
    <xf numFmtId="0" fontId="0" fillId="2" borderId="11" xfId="0" applyFont="1" applyFill="1" applyBorder="1" applyAlignment="1">
      <alignment horizontal="left" vertical="center"/>
    </xf>
    <xf numFmtId="0" fontId="0" fillId="2" borderId="12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 wrapText="1" shrinkToFit="1"/>
    </xf>
    <xf numFmtId="0" fontId="7" fillId="2" borderId="10" xfId="0" applyFont="1" applyFill="1" applyBorder="1" applyAlignment="1">
      <alignment horizontal="center" vertical="center" wrapText="1" shrinkToFit="1"/>
    </xf>
    <xf numFmtId="0" fontId="27" fillId="3" borderId="13" xfId="2" applyFont="1" applyFill="1" applyBorder="1" applyAlignment="1">
      <alignment horizontal="center" vertical="center"/>
    </xf>
    <xf numFmtId="0" fontId="27" fillId="3" borderId="14" xfId="2" applyFont="1" applyFill="1" applyBorder="1" applyAlignment="1">
      <alignment horizontal="center" vertical="center"/>
    </xf>
    <xf numFmtId="0" fontId="27" fillId="3" borderId="15" xfId="2" applyFont="1" applyFill="1" applyBorder="1" applyAlignment="1">
      <alignment horizontal="center" vertical="center"/>
    </xf>
    <xf numFmtId="0" fontId="7" fillId="0" borderId="16" xfId="2" applyFont="1" applyFill="1" applyBorder="1" applyAlignment="1">
      <alignment horizontal="center" vertical="center"/>
    </xf>
    <xf numFmtId="0" fontId="7" fillId="0" borderId="17" xfId="2" applyFont="1" applyFill="1" applyBorder="1" applyAlignment="1">
      <alignment horizontal="center" vertical="center"/>
    </xf>
    <xf numFmtId="0" fontId="7" fillId="0" borderId="18" xfId="2" applyFont="1" applyFill="1" applyBorder="1" applyAlignment="1">
      <alignment horizontal="center" vertical="center"/>
    </xf>
    <xf numFmtId="0" fontId="7" fillId="0" borderId="19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20" xfId="2" applyFont="1" applyFill="1" applyBorder="1" applyAlignment="1">
      <alignment horizontal="center" vertical="center"/>
    </xf>
    <xf numFmtId="0" fontId="29" fillId="3" borderId="13" xfId="2" applyFont="1" applyFill="1" applyBorder="1" applyAlignment="1">
      <alignment horizontal="left" vertical="top" wrapText="1"/>
    </xf>
    <xf numFmtId="0" fontId="29" fillId="3" borderId="14" xfId="2" applyFont="1" applyFill="1" applyBorder="1" applyAlignment="1">
      <alignment horizontal="left" vertical="top" wrapText="1"/>
    </xf>
    <xf numFmtId="0" fontId="29" fillId="3" borderId="15" xfId="2" applyFont="1" applyFill="1" applyBorder="1" applyAlignment="1">
      <alignment horizontal="left" vertical="top" wrapText="1"/>
    </xf>
    <xf numFmtId="0" fontId="26" fillId="0" borderId="26" xfId="2" applyFill="1" applyBorder="1" applyAlignment="1">
      <alignment horizontal="center" vertical="center" wrapText="1"/>
    </xf>
    <xf numFmtId="0" fontId="26" fillId="0" borderId="28" xfId="2" applyFill="1" applyBorder="1" applyAlignment="1">
      <alignment horizontal="center" vertical="center" wrapText="1"/>
    </xf>
    <xf numFmtId="0" fontId="26" fillId="0" borderId="31" xfId="2" applyFill="1" applyBorder="1" applyAlignment="1">
      <alignment horizontal="center" vertical="center" wrapText="1"/>
    </xf>
    <xf numFmtId="0" fontId="26" fillId="0" borderId="26" xfId="2" applyFill="1" applyBorder="1" applyAlignment="1">
      <alignment horizontal="center" wrapText="1"/>
    </xf>
    <xf numFmtId="0" fontId="26" fillId="0" borderId="28" xfId="2" applyFill="1" applyBorder="1" applyAlignment="1">
      <alignment horizontal="center" wrapText="1"/>
    </xf>
    <xf numFmtId="0" fontId="26" fillId="0" borderId="31" xfId="2" applyFill="1" applyBorder="1" applyAlignment="1">
      <alignment horizontal="center" wrapText="1"/>
    </xf>
    <xf numFmtId="0" fontId="37" fillId="0" borderId="43" xfId="3" applyFont="1" applyBorder="1" applyAlignment="1">
      <alignment horizontal="center" vertical="center"/>
    </xf>
    <xf numFmtId="0" fontId="37" fillId="0" borderId="41" xfId="3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/>
    </xf>
    <xf numFmtId="0" fontId="37" fillId="0" borderId="40" xfId="3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/>
    </xf>
    <xf numFmtId="0" fontId="35" fillId="3" borderId="13" xfId="2" applyFont="1" applyFill="1" applyBorder="1" applyAlignment="1">
      <alignment horizontal="center" vertical="center"/>
    </xf>
    <xf numFmtId="0" fontId="35" fillId="3" borderId="14" xfId="2" applyFont="1" applyFill="1" applyBorder="1" applyAlignment="1">
      <alignment horizontal="center" vertical="center"/>
    </xf>
    <xf numFmtId="0" fontId="35" fillId="3" borderId="15" xfId="2" applyFont="1" applyFill="1" applyBorder="1" applyAlignment="1">
      <alignment horizontal="center" vertical="center"/>
    </xf>
    <xf numFmtId="0" fontId="36" fillId="0" borderId="35" xfId="3" applyFont="1" applyBorder="1" applyAlignment="1">
      <alignment horizontal="center" vertical="center" wrapText="1"/>
    </xf>
    <xf numFmtId="0" fontId="36" fillId="0" borderId="39" xfId="3" applyFont="1" applyBorder="1" applyAlignment="1">
      <alignment horizontal="center" vertical="center" wrapText="1"/>
    </xf>
    <xf numFmtId="0" fontId="37" fillId="0" borderId="16" xfId="3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/>
    </xf>
    <xf numFmtId="0" fontId="37" fillId="0" borderId="18" xfId="3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/>
    </xf>
    <xf numFmtId="0" fontId="37" fillId="0" borderId="38" xfId="3" applyFont="1" applyBorder="1" applyAlignment="1">
      <alignment horizontal="center" vertical="center"/>
    </xf>
    <xf numFmtId="0" fontId="36" fillId="0" borderId="45" xfId="3" applyFont="1" applyBorder="1" applyAlignment="1">
      <alignment horizontal="center" vertical="center" wrapText="1"/>
    </xf>
    <xf numFmtId="0" fontId="53" fillId="3" borderId="35" xfId="6" applyFont="1" applyFill="1" applyBorder="1" applyAlignment="1">
      <alignment horizontal="center" vertical="center" wrapText="1"/>
    </xf>
    <xf numFmtId="0" fontId="53" fillId="3" borderId="39" xfId="6" applyFont="1" applyFill="1" applyBorder="1" applyAlignment="1">
      <alignment horizontal="center" vertical="center" wrapText="1"/>
    </xf>
    <xf numFmtId="0" fontId="53" fillId="3" borderId="45" xfId="6" applyFont="1" applyFill="1" applyBorder="1" applyAlignment="1">
      <alignment horizontal="center" vertical="center" wrapText="1"/>
    </xf>
    <xf numFmtId="0" fontId="1" fillId="3" borderId="46" xfId="6" applyFont="1" applyFill="1" applyBorder="1" applyAlignment="1">
      <alignment horizontal="center"/>
    </xf>
    <xf numFmtId="0" fontId="1" fillId="3" borderId="55" xfId="6" applyFont="1" applyFill="1" applyBorder="1" applyAlignment="1">
      <alignment horizontal="center"/>
    </xf>
    <xf numFmtId="0" fontId="25" fillId="0" borderId="13" xfId="6" applyFont="1" applyBorder="1" applyAlignment="1">
      <alignment horizontal="center" vertical="center" wrapText="1"/>
    </xf>
    <xf numFmtId="0" fontId="25" fillId="0" borderId="14" xfId="6" applyFont="1" applyBorder="1" applyAlignment="1">
      <alignment horizontal="center" vertical="center" wrapText="1"/>
    </xf>
    <xf numFmtId="0" fontId="25" fillId="0" borderId="15" xfId="6" applyFont="1" applyBorder="1" applyAlignment="1">
      <alignment horizontal="center" vertical="center" wrapText="1"/>
    </xf>
    <xf numFmtId="0" fontId="25" fillId="0" borderId="53" xfId="6" applyFont="1" applyBorder="1" applyAlignment="1">
      <alignment horizontal="center" vertical="center" wrapText="1"/>
    </xf>
    <xf numFmtId="0" fontId="25" fillId="0" borderId="0" xfId="6" applyFont="1" applyBorder="1" applyAlignment="1">
      <alignment horizontal="center" vertical="center" wrapText="1"/>
    </xf>
    <xf numFmtId="0" fontId="25" fillId="0" borderId="54" xfId="6" applyFont="1" applyBorder="1" applyAlignment="1">
      <alignment horizontal="center" vertical="center" wrapText="1"/>
    </xf>
    <xf numFmtId="0" fontId="25" fillId="0" borderId="65" xfId="6" applyFont="1" applyBorder="1" applyAlignment="1">
      <alignment horizontal="center" vertical="center" wrapText="1"/>
    </xf>
    <xf numFmtId="0" fontId="25" fillId="0" borderId="61" xfId="6" applyFont="1" applyBorder="1" applyAlignment="1">
      <alignment horizontal="center" vertical="center" wrapText="1"/>
    </xf>
    <xf numFmtId="0" fontId="25" fillId="0" borderId="62" xfId="6" applyFont="1" applyBorder="1" applyAlignment="1">
      <alignment horizontal="center" vertical="center" wrapText="1"/>
    </xf>
    <xf numFmtId="0" fontId="54" fillId="0" borderId="0" xfId="6" applyFont="1" applyBorder="1" applyAlignment="1">
      <alignment horizontal="center" vertical="center"/>
    </xf>
    <xf numFmtId="0" fontId="53" fillId="3" borderId="13" xfId="6" applyFont="1" applyFill="1" applyBorder="1" applyAlignment="1">
      <alignment horizontal="center" vertical="center" wrapText="1"/>
    </xf>
    <xf numFmtId="0" fontId="53" fillId="3" borderId="53" xfId="6" applyFont="1" applyFill="1" applyBorder="1" applyAlignment="1">
      <alignment horizontal="center" vertical="center" wrapText="1"/>
    </xf>
    <xf numFmtId="0" fontId="53" fillId="3" borderId="65" xfId="6" applyFont="1" applyFill="1" applyBorder="1" applyAlignment="1">
      <alignment horizontal="center" vertical="center" wrapText="1"/>
    </xf>
    <xf numFmtId="0" fontId="25" fillId="0" borderId="16" xfId="6" applyFont="1" applyBorder="1" applyAlignment="1">
      <alignment horizontal="center" vertical="center" wrapText="1"/>
    </xf>
    <xf numFmtId="0" fontId="25" fillId="0" borderId="17" xfId="6" applyFont="1" applyBorder="1" applyAlignment="1">
      <alignment horizontal="center" vertical="center" wrapText="1"/>
    </xf>
    <xf numFmtId="0" fontId="25" fillId="0" borderId="18" xfId="6" applyFont="1" applyBorder="1" applyAlignment="1">
      <alignment horizontal="center" vertical="center" wrapText="1"/>
    </xf>
    <xf numFmtId="0" fontId="25" fillId="0" borderId="19" xfId="6" applyFont="1" applyBorder="1" applyAlignment="1">
      <alignment horizontal="center" vertical="center" wrapText="1"/>
    </xf>
    <xf numFmtId="0" fontId="25" fillId="0" borderId="10" xfId="6" applyFont="1" applyBorder="1" applyAlignment="1">
      <alignment horizontal="center" vertical="center" wrapText="1"/>
    </xf>
    <xf numFmtId="0" fontId="25" fillId="0" borderId="20" xfId="6" applyFont="1" applyBorder="1" applyAlignment="1">
      <alignment horizontal="center" vertical="center" wrapText="1"/>
    </xf>
    <xf numFmtId="0" fontId="25" fillId="0" borderId="40" xfId="6" applyFont="1" applyBorder="1" applyAlignment="1">
      <alignment horizontal="center" vertical="center" wrapText="1"/>
    </xf>
    <xf numFmtId="0" fontId="25" fillId="0" borderId="67" xfId="6" applyFont="1" applyBorder="1" applyAlignment="1">
      <alignment horizontal="center" vertical="center" wrapText="1"/>
    </xf>
    <xf numFmtId="0" fontId="25" fillId="0" borderId="42" xfId="6" applyFont="1" applyBorder="1" applyAlignment="1">
      <alignment horizontal="center" vertical="center" wrapText="1"/>
    </xf>
    <xf numFmtId="0" fontId="52" fillId="0" borderId="0" xfId="6" applyFont="1" applyBorder="1" applyAlignment="1">
      <alignment horizontal="center"/>
    </xf>
    <xf numFmtId="0" fontId="43" fillId="0" borderId="51" xfId="4" applyFont="1" applyFill="1" applyBorder="1" applyAlignment="1" applyProtection="1">
      <alignment horizontal="left" vertical="center"/>
    </xf>
    <xf numFmtId="0" fontId="25" fillId="0" borderId="52" xfId="5" applyFont="1" applyBorder="1" applyAlignment="1" applyProtection="1">
      <alignment horizontal="left" wrapText="1"/>
    </xf>
    <xf numFmtId="0" fontId="45" fillId="5" borderId="10" xfId="5" applyFont="1" applyFill="1" applyBorder="1" applyAlignment="1" applyProtection="1">
      <alignment horizontal="center" vertical="center"/>
    </xf>
    <xf numFmtId="1" fontId="47" fillId="0" borderId="10" xfId="5" applyNumberFormat="1" applyFont="1" applyFill="1" applyBorder="1" applyAlignment="1" applyProtection="1">
      <alignment horizontal="center" vertical="center" shrinkToFit="1"/>
    </xf>
    <xf numFmtId="0" fontId="47" fillId="0" borderId="10" xfId="5" applyFont="1" applyFill="1" applyBorder="1" applyAlignment="1" applyProtection="1">
      <alignment horizontal="center" vertical="center"/>
    </xf>
    <xf numFmtId="0" fontId="49" fillId="0" borderId="0" xfId="5" applyFont="1" applyAlignment="1" applyProtection="1">
      <alignment horizontal="center"/>
    </xf>
    <xf numFmtId="0" fontId="48" fillId="0" borderId="9" xfId="5" applyFont="1" applyFill="1" applyBorder="1" applyAlignment="1" applyProtection="1">
      <alignment horizontal="center" vertical="center"/>
    </xf>
    <xf numFmtId="0" fontId="48" fillId="0" borderId="6" xfId="5" applyFont="1" applyFill="1" applyBorder="1" applyAlignment="1" applyProtection="1">
      <alignment horizontal="center" vertical="center"/>
    </xf>
    <xf numFmtId="0" fontId="48" fillId="0" borderId="7" xfId="5" applyFont="1" applyFill="1" applyBorder="1" applyAlignment="1" applyProtection="1">
      <alignment horizontal="center" vertical="center"/>
    </xf>
    <xf numFmtId="0" fontId="48" fillId="0" borderId="4" xfId="5" applyFont="1" applyFill="1" applyBorder="1" applyAlignment="1" applyProtection="1">
      <alignment horizontal="center" vertical="center"/>
    </xf>
    <xf numFmtId="0" fontId="48" fillId="0" borderId="0" xfId="5" applyFont="1" applyFill="1" applyBorder="1" applyAlignment="1" applyProtection="1">
      <alignment horizontal="center" vertical="center"/>
    </xf>
    <xf numFmtId="0" fontId="48" fillId="0" borderId="2" xfId="5" applyFont="1" applyFill="1" applyBorder="1" applyAlignment="1" applyProtection="1">
      <alignment horizontal="center" vertical="center"/>
    </xf>
    <xf numFmtId="0" fontId="48" fillId="0" borderId="5" xfId="5" applyFont="1" applyFill="1" applyBorder="1" applyAlignment="1" applyProtection="1">
      <alignment horizontal="center" vertical="center"/>
    </xf>
    <xf numFmtId="0" fontId="48" fillId="0" borderId="1" xfId="5" applyFont="1" applyFill="1" applyBorder="1" applyAlignment="1" applyProtection="1">
      <alignment horizontal="center" vertical="center"/>
    </xf>
    <xf numFmtId="0" fontId="48" fillId="0" borderId="3" xfId="5" applyFont="1" applyFill="1" applyBorder="1" applyAlignment="1" applyProtection="1">
      <alignment horizontal="center" vertical="center"/>
    </xf>
    <xf numFmtId="0" fontId="45" fillId="5" borderId="10" xfId="5" applyFont="1" applyFill="1" applyBorder="1" applyAlignment="1" applyProtection="1">
      <alignment horizontal="center" vertical="center" wrapText="1"/>
    </xf>
    <xf numFmtId="0" fontId="58" fillId="3" borderId="21" xfId="0" applyFont="1" applyFill="1" applyBorder="1" applyAlignment="1">
      <alignment horizontal="center" vertical="center" shrinkToFit="1"/>
    </xf>
    <xf numFmtId="0" fontId="58" fillId="3" borderId="23" xfId="0" applyFont="1" applyFill="1" applyBorder="1" applyAlignment="1">
      <alignment horizontal="center" vertical="center" shrinkToFit="1"/>
    </xf>
    <xf numFmtId="0" fontId="59" fillId="0" borderId="16" xfId="0" applyFont="1" applyBorder="1" applyAlignment="1">
      <alignment horizontal="left" vertical="center" shrinkToFit="1"/>
    </xf>
    <xf numFmtId="0" fontId="59" fillId="0" borderId="18" xfId="0" applyFont="1" applyBorder="1" applyAlignment="1">
      <alignment horizontal="left" vertical="center" shrinkToFit="1"/>
    </xf>
    <xf numFmtId="0" fontId="59" fillId="0" borderId="19" xfId="0" applyFont="1" applyBorder="1" applyAlignment="1">
      <alignment horizontal="left" vertical="center" shrinkToFit="1"/>
    </xf>
    <xf numFmtId="0" fontId="59" fillId="0" borderId="20" xfId="0" applyFont="1" applyBorder="1" applyAlignment="1">
      <alignment horizontal="left" vertical="center" shrinkToFit="1"/>
    </xf>
    <xf numFmtId="0" fontId="59" fillId="0" borderId="40" xfId="0" applyFont="1" applyBorder="1" applyAlignment="1">
      <alignment horizontal="left" vertical="center" shrinkToFit="1"/>
    </xf>
    <xf numFmtId="0" fontId="59" fillId="0" borderId="42" xfId="0" applyFont="1" applyBorder="1" applyAlignment="1">
      <alignment horizontal="left" vertical="center" shrinkToFit="1"/>
    </xf>
    <xf numFmtId="0" fontId="0" fillId="0" borderId="19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58" fillId="3" borderId="68" xfId="0" applyFont="1" applyFill="1" applyBorder="1" applyAlignment="1">
      <alignment horizontal="center" vertical="center" shrinkToFit="1"/>
    </xf>
    <xf numFmtId="0" fontId="58" fillId="3" borderId="69" xfId="0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40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</cellXfs>
  <cellStyles count="7">
    <cellStyle name="Обычный" xfId="0" builtinId="0"/>
    <cellStyle name="Обычный 2" xfId="1"/>
    <cellStyle name="Обычный 3" xfId="2"/>
    <cellStyle name="Обычный 3 2" xfId="3"/>
    <cellStyle name="Обычный 4" xfId="4"/>
    <cellStyle name="Обычный 5" xfId="5"/>
    <cellStyle name="Обычный 6" xfId="6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566</xdr:colOff>
      <xdr:row>0</xdr:row>
      <xdr:rowOff>142875</xdr:rowOff>
    </xdr:from>
    <xdr:ext cx="2141997" cy="843757"/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620FD646-C931-43E2-985D-79F6E789F5BE}"/>
            </a:ext>
          </a:extLst>
        </xdr:cNvPr>
        <xdr:cNvSpPr/>
      </xdr:nvSpPr>
      <xdr:spPr>
        <a:xfrm>
          <a:off x="381566" y="142875"/>
          <a:ext cx="2141997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10160">
                <a:solidFill>
                  <a:srgbClr val="C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RGS</a:t>
          </a:r>
          <a:r>
            <a:rPr lang="en-US" sz="4800" b="1" cap="none" spc="0" baseline="0">
              <a:ln w="10160">
                <a:solidFill>
                  <a:srgbClr val="C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3.0</a:t>
          </a:r>
          <a:endParaRPr lang="ru-RU" sz="4800" b="1" cap="none" spc="0">
            <a:ln w="10160">
              <a:solidFill>
                <a:srgbClr val="C00000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566</xdr:colOff>
      <xdr:row>0</xdr:row>
      <xdr:rowOff>142875</xdr:rowOff>
    </xdr:from>
    <xdr:ext cx="2141997" cy="843757"/>
    <xdr:sp macro="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FF94DB4C-A9D4-46E3-9951-299E8165D46E}"/>
            </a:ext>
          </a:extLst>
        </xdr:cNvPr>
        <xdr:cNvSpPr/>
      </xdr:nvSpPr>
      <xdr:spPr>
        <a:xfrm>
          <a:off x="372041" y="142875"/>
          <a:ext cx="2141997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>
              <a:ln w="10160">
                <a:solidFill>
                  <a:srgbClr val="C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RGS</a:t>
          </a:r>
          <a:r>
            <a:rPr lang="en-US" sz="4800" b="1" cap="none" spc="0" baseline="0">
              <a:ln w="10160">
                <a:solidFill>
                  <a:srgbClr val="C00000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 3.0</a:t>
          </a:r>
          <a:endParaRPr lang="ru-RU" sz="4800" b="1" cap="none" spc="0">
            <a:ln w="10160">
              <a:solidFill>
                <a:srgbClr val="C00000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BO57"/>
  <sheetViews>
    <sheetView view="pageBreakPreview" topLeftCell="A29" zoomScale="40" zoomScaleNormal="45" zoomScaleSheetLayoutView="40" workbookViewId="0">
      <selection activeCell="B39" sqref="B39:L39"/>
    </sheetView>
  </sheetViews>
  <sheetFormatPr defaultColWidth="8.90625" defaultRowHeight="14.5" x14ac:dyDescent="0.35"/>
  <cols>
    <col min="1" max="1" width="5.54296875" style="2" customWidth="1"/>
    <col min="2" max="12" width="12.6328125" style="1" customWidth="1"/>
    <col min="13" max="13" width="3.36328125" style="1" customWidth="1"/>
    <col min="14" max="14" width="10.54296875" style="1" customWidth="1"/>
    <col min="15" max="18" width="5" style="1" customWidth="1"/>
    <col min="19" max="19" width="1.54296875" style="1" customWidth="1"/>
    <col min="20" max="20" width="1.54296875" style="2" customWidth="1"/>
    <col min="21" max="22" width="5.36328125" style="1" customWidth="1"/>
    <col min="23" max="31" width="5.6328125" style="1" customWidth="1"/>
    <col min="32" max="32" width="5.6328125" style="2" customWidth="1"/>
    <col min="33" max="43" width="5.6328125" style="1" customWidth="1"/>
    <col min="44" max="44" width="5.6328125" style="2" customWidth="1"/>
    <col min="45" max="47" width="5.6328125" style="1" customWidth="1"/>
    <col min="48" max="55" width="5.36328125" style="1" customWidth="1"/>
    <col min="56" max="56" width="5.36328125" style="2" customWidth="1"/>
    <col min="57" max="66" width="5.36328125" style="1" customWidth="1"/>
    <col min="67" max="67" width="8.90625" style="2"/>
    <col min="68" max="16384" width="8.90625" style="1"/>
  </cols>
  <sheetData>
    <row r="2" spans="1:67" s="22" customFormat="1" ht="28.5" x14ac:dyDescent="0.55000000000000004">
      <c r="A2" s="21"/>
      <c r="B2" s="194" t="s">
        <v>6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6"/>
      <c r="BO2" s="21"/>
    </row>
    <row r="3" spans="1:67" s="22" customFormat="1" ht="28.5" x14ac:dyDescent="0.55000000000000004">
      <c r="A3" s="21"/>
      <c r="B3" s="197" t="s">
        <v>72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9"/>
      <c r="BO3" s="21"/>
    </row>
    <row r="4" spans="1:67" ht="10.25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</row>
    <row r="5" spans="1:67" ht="31.25" customHeight="1" x14ac:dyDescent="0.35">
      <c r="I5" s="228" t="s">
        <v>15</v>
      </c>
      <c r="J5" s="228"/>
      <c r="K5" s="228"/>
      <c r="L5" s="228"/>
      <c r="M5" s="228"/>
      <c r="N5" s="228"/>
      <c r="O5" s="228"/>
      <c r="P5" s="228"/>
      <c r="Q5" s="228"/>
      <c r="R5" s="228"/>
      <c r="S5" s="15"/>
      <c r="T5" s="3"/>
      <c r="U5" s="226" t="s">
        <v>16</v>
      </c>
      <c r="V5" s="226"/>
      <c r="W5" s="226"/>
      <c r="X5" s="226"/>
      <c r="Y5" s="226"/>
      <c r="Z5" s="226" t="s">
        <v>17</v>
      </c>
      <c r="AA5" s="226"/>
      <c r="AB5" s="226"/>
      <c r="AC5" s="226"/>
      <c r="AD5" s="226"/>
      <c r="AE5" s="26"/>
      <c r="AF5" s="26"/>
      <c r="AG5" s="226" t="s">
        <v>18</v>
      </c>
      <c r="AH5" s="226"/>
      <c r="AI5" s="226"/>
      <c r="AJ5" s="226"/>
      <c r="AK5" s="226"/>
      <c r="AL5" s="226" t="s">
        <v>19</v>
      </c>
      <c r="AM5" s="226"/>
      <c r="AN5" s="226"/>
      <c r="AO5" s="226"/>
      <c r="AP5" s="226"/>
      <c r="AQ5" s="26"/>
      <c r="AR5" s="26"/>
      <c r="AS5" s="226" t="s">
        <v>20</v>
      </c>
      <c r="AT5" s="226"/>
      <c r="AU5" s="226"/>
      <c r="AV5" s="226"/>
      <c r="AW5" s="226"/>
      <c r="AX5" s="226" t="s">
        <v>21</v>
      </c>
      <c r="AY5" s="226"/>
      <c r="AZ5" s="226"/>
      <c r="BA5" s="226"/>
      <c r="BB5" s="226"/>
      <c r="BC5" s="26"/>
      <c r="BD5" s="26"/>
      <c r="BE5" s="226" t="s">
        <v>22</v>
      </c>
      <c r="BF5" s="226"/>
      <c r="BG5" s="226"/>
      <c r="BH5" s="226"/>
      <c r="BI5" s="226"/>
      <c r="BJ5" s="226" t="s">
        <v>23</v>
      </c>
      <c r="BK5" s="226"/>
      <c r="BL5" s="226"/>
      <c r="BM5" s="226"/>
      <c r="BN5" s="226"/>
    </row>
    <row r="6" spans="1:67" ht="24.75" customHeight="1" x14ac:dyDescent="0.65">
      <c r="B6" s="229" t="s">
        <v>73</v>
      </c>
      <c r="C6" s="229"/>
      <c r="D6" s="229"/>
      <c r="E6" s="229"/>
      <c r="F6" s="229"/>
      <c r="G6" s="229"/>
      <c r="I6" s="243" t="s">
        <v>7</v>
      </c>
      <c r="J6" s="243"/>
      <c r="K6" s="243"/>
      <c r="L6" s="243"/>
      <c r="M6" s="243"/>
      <c r="N6" s="243"/>
      <c r="O6" s="243"/>
      <c r="P6" s="243"/>
      <c r="Q6" s="243"/>
      <c r="R6" s="243"/>
      <c r="S6" s="16"/>
      <c r="T6" s="5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5"/>
      <c r="AF6" s="5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5"/>
      <c r="AR6" s="5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5"/>
      <c r="BD6" s="5"/>
      <c r="BE6" s="227"/>
      <c r="BF6" s="227"/>
      <c r="BG6" s="227"/>
      <c r="BH6" s="227"/>
      <c r="BI6" s="227"/>
      <c r="BJ6" s="227"/>
      <c r="BK6" s="227"/>
      <c r="BL6" s="227"/>
      <c r="BM6" s="227"/>
      <c r="BN6" s="227"/>
    </row>
    <row r="7" spans="1:67" ht="24.75" customHeight="1" x14ac:dyDescent="0.65">
      <c r="B7" s="34"/>
      <c r="C7" s="34"/>
      <c r="D7" s="34"/>
      <c r="E7" s="34"/>
      <c r="F7" s="35"/>
      <c r="G7" s="35"/>
      <c r="I7" s="243" t="s">
        <v>8</v>
      </c>
      <c r="J7" s="243"/>
      <c r="K7" s="243"/>
      <c r="L7" s="243"/>
      <c r="M7" s="243"/>
      <c r="N7" s="243"/>
      <c r="O7" s="243"/>
      <c r="P7" s="243"/>
      <c r="Q7" s="243"/>
      <c r="R7" s="243"/>
      <c r="S7" s="16"/>
      <c r="T7" s="5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5"/>
      <c r="AF7" s="5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5"/>
      <c r="AR7" s="5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5"/>
      <c r="BD7" s="5"/>
      <c r="BE7" s="227"/>
      <c r="BF7" s="227"/>
      <c r="BG7" s="227"/>
      <c r="BH7" s="227"/>
      <c r="BI7" s="227"/>
      <c r="BJ7" s="227"/>
      <c r="BK7" s="227"/>
      <c r="BL7" s="227"/>
      <c r="BM7" s="227"/>
      <c r="BN7" s="227"/>
    </row>
    <row r="8" spans="1:67" ht="24.75" customHeight="1" x14ac:dyDescent="0.35">
      <c r="I8" s="243" t="s">
        <v>9</v>
      </c>
      <c r="J8" s="243"/>
      <c r="K8" s="243"/>
      <c r="L8" s="243"/>
      <c r="M8" s="243"/>
      <c r="N8" s="243"/>
      <c r="O8" s="243"/>
      <c r="P8" s="243"/>
      <c r="Q8" s="243"/>
      <c r="R8" s="243"/>
      <c r="S8" s="16"/>
      <c r="T8" s="5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5"/>
      <c r="AF8" s="5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5"/>
      <c r="AR8" s="5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5"/>
      <c r="BD8" s="5"/>
      <c r="BE8" s="227"/>
      <c r="BF8" s="227"/>
      <c r="BG8" s="227"/>
      <c r="BH8" s="227"/>
      <c r="BI8" s="227"/>
      <c r="BJ8" s="227"/>
      <c r="BK8" s="227"/>
      <c r="BL8" s="227"/>
      <c r="BM8" s="227"/>
      <c r="BN8" s="227"/>
    </row>
    <row r="9" spans="1:67" ht="24.75" customHeight="1" x14ac:dyDescent="0.65">
      <c r="B9" s="36" t="s">
        <v>3</v>
      </c>
      <c r="C9" s="37"/>
      <c r="D9" s="37"/>
      <c r="E9" s="37"/>
      <c r="F9" s="37"/>
      <c r="G9" s="37"/>
      <c r="I9" s="243" t="s">
        <v>10</v>
      </c>
      <c r="J9" s="243"/>
      <c r="K9" s="243"/>
      <c r="L9" s="243"/>
      <c r="M9" s="243"/>
      <c r="N9" s="243"/>
      <c r="O9" s="243"/>
      <c r="P9" s="243"/>
      <c r="Q9" s="243"/>
      <c r="R9" s="243"/>
      <c r="S9" s="16"/>
      <c r="T9" s="5"/>
      <c r="U9" s="227"/>
      <c r="V9" s="227"/>
      <c r="W9" s="227"/>
      <c r="X9" s="227"/>
      <c r="Y9" s="227"/>
      <c r="Z9" s="227"/>
      <c r="AA9" s="227"/>
      <c r="AB9" s="227"/>
      <c r="AC9" s="227"/>
      <c r="AD9" s="227"/>
      <c r="AE9" s="5"/>
      <c r="AF9" s="5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5"/>
      <c r="AR9" s="5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5"/>
      <c r="BD9" s="5"/>
      <c r="BE9" s="227"/>
      <c r="BF9" s="227"/>
      <c r="BG9" s="227"/>
      <c r="BH9" s="227"/>
      <c r="BI9" s="227"/>
      <c r="BJ9" s="227"/>
      <c r="BK9" s="227"/>
      <c r="BL9" s="227"/>
      <c r="BM9" s="227"/>
      <c r="BN9" s="227"/>
    </row>
    <row r="10" spans="1:67" ht="24.75" customHeight="1" x14ac:dyDescent="0.65">
      <c r="B10" s="34"/>
      <c r="C10" s="34"/>
      <c r="D10" s="34"/>
      <c r="E10" s="34"/>
      <c r="F10" s="35"/>
      <c r="G10" s="35"/>
      <c r="I10" s="243" t="s">
        <v>11</v>
      </c>
      <c r="J10" s="243"/>
      <c r="K10" s="243"/>
      <c r="L10" s="243"/>
      <c r="M10" s="243"/>
      <c r="N10" s="243"/>
      <c r="O10" s="243"/>
      <c r="P10" s="243"/>
      <c r="Q10" s="243"/>
      <c r="R10" s="243"/>
      <c r="S10" s="16"/>
      <c r="T10" s="5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5"/>
      <c r="AF10" s="5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5"/>
      <c r="AR10" s="5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5"/>
      <c r="BD10" s="5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</row>
    <row r="11" spans="1:67" ht="24.75" customHeight="1" x14ac:dyDescent="0.65">
      <c r="B11" s="36" t="s">
        <v>4</v>
      </c>
      <c r="C11" s="37"/>
      <c r="D11" s="37"/>
      <c r="E11" s="37"/>
      <c r="F11" s="37"/>
      <c r="G11" s="37"/>
      <c r="I11" s="243" t="s">
        <v>12</v>
      </c>
      <c r="J11" s="243"/>
      <c r="K11" s="243"/>
      <c r="L11" s="243"/>
      <c r="M11" s="243"/>
      <c r="N11" s="243"/>
      <c r="O11" s="243"/>
      <c r="P11" s="243"/>
      <c r="Q11" s="243"/>
      <c r="R11" s="243"/>
      <c r="S11" s="16"/>
      <c r="T11" s="5"/>
      <c r="U11" s="227"/>
      <c r="V11" s="227"/>
      <c r="W11" s="227"/>
      <c r="X11" s="227"/>
      <c r="Y11" s="227"/>
      <c r="Z11" s="227"/>
      <c r="AA11" s="227"/>
      <c r="AB11" s="227"/>
      <c r="AC11" s="227"/>
      <c r="AD11" s="227"/>
      <c r="AE11" s="5"/>
      <c r="AF11" s="5"/>
      <c r="AG11" s="227"/>
      <c r="AH11" s="227"/>
      <c r="AI11" s="227"/>
      <c r="AJ11" s="227"/>
      <c r="AK11" s="227"/>
      <c r="AL11" s="227"/>
      <c r="AM11" s="227"/>
      <c r="AN11" s="227"/>
      <c r="AO11" s="227"/>
      <c r="AP11" s="227"/>
      <c r="AQ11" s="5"/>
      <c r="AR11" s="5"/>
      <c r="AS11" s="227"/>
      <c r="AT11" s="227"/>
      <c r="AU11" s="227"/>
      <c r="AV11" s="227"/>
      <c r="AW11" s="227"/>
      <c r="AX11" s="227"/>
      <c r="AY11" s="227"/>
      <c r="AZ11" s="227"/>
      <c r="BA11" s="227"/>
      <c r="BB11" s="227"/>
      <c r="BC11" s="5"/>
      <c r="BD11" s="5"/>
      <c r="BE11" s="227"/>
      <c r="BF11" s="227"/>
      <c r="BG11" s="227"/>
      <c r="BH11" s="227"/>
      <c r="BI11" s="227"/>
      <c r="BJ11" s="227"/>
      <c r="BK11" s="227"/>
      <c r="BL11" s="227"/>
      <c r="BM11" s="227"/>
      <c r="BN11" s="227"/>
    </row>
    <row r="12" spans="1:67" ht="24.75" customHeight="1" x14ac:dyDescent="0.65">
      <c r="B12" s="34"/>
      <c r="C12" s="34"/>
      <c r="D12" s="34"/>
      <c r="E12" s="34"/>
      <c r="F12" s="35"/>
      <c r="G12" s="35"/>
      <c r="I12" s="243" t="s">
        <v>13</v>
      </c>
      <c r="J12" s="243"/>
      <c r="K12" s="243"/>
      <c r="L12" s="243"/>
      <c r="M12" s="243"/>
      <c r="N12" s="243"/>
      <c r="O12" s="243"/>
      <c r="P12" s="243"/>
      <c r="Q12" s="243"/>
      <c r="R12" s="243"/>
      <c r="S12" s="16"/>
      <c r="T12" s="5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5"/>
      <c r="AF12" s="5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5"/>
      <c r="AR12" s="5"/>
      <c r="AS12" s="227"/>
      <c r="AT12" s="227"/>
      <c r="AU12" s="227"/>
      <c r="AV12" s="227"/>
      <c r="AW12" s="227"/>
      <c r="AX12" s="227"/>
      <c r="AY12" s="227"/>
      <c r="AZ12" s="227"/>
      <c r="BA12" s="227"/>
      <c r="BB12" s="227"/>
      <c r="BC12" s="5"/>
      <c r="BD12" s="5"/>
      <c r="BE12" s="227"/>
      <c r="BF12" s="227"/>
      <c r="BG12" s="227"/>
      <c r="BH12" s="227"/>
      <c r="BI12" s="227"/>
      <c r="BJ12" s="227"/>
      <c r="BK12" s="227"/>
      <c r="BL12" s="227"/>
      <c r="BM12" s="227"/>
      <c r="BN12" s="227"/>
    </row>
    <row r="13" spans="1:67" ht="24.75" customHeight="1" x14ac:dyDescent="0.65">
      <c r="B13" s="36" t="s">
        <v>5</v>
      </c>
      <c r="C13" s="37"/>
      <c r="D13" s="37"/>
      <c r="E13" s="37"/>
      <c r="F13" s="37"/>
      <c r="G13" s="37"/>
      <c r="I13" s="243" t="s">
        <v>14</v>
      </c>
      <c r="J13" s="243"/>
      <c r="K13" s="243"/>
      <c r="L13" s="243"/>
      <c r="M13" s="243"/>
      <c r="N13" s="243"/>
      <c r="O13" s="243"/>
      <c r="P13" s="243"/>
      <c r="Q13" s="243"/>
      <c r="R13" s="243"/>
      <c r="S13" s="16"/>
      <c r="T13" s="5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5"/>
      <c r="AF13" s="5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5"/>
      <c r="AR13" s="5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5"/>
      <c r="BD13" s="5"/>
      <c r="BE13" s="227"/>
      <c r="BF13" s="227"/>
      <c r="BG13" s="227"/>
      <c r="BH13" s="227"/>
      <c r="BI13" s="227"/>
      <c r="BJ13" s="227"/>
      <c r="BK13" s="227"/>
      <c r="BL13" s="227"/>
      <c r="BM13" s="227"/>
      <c r="BN13" s="227"/>
    </row>
    <row r="14" spans="1:67" ht="8" customHeight="1" x14ac:dyDescent="0.35"/>
    <row r="15" spans="1:67" ht="11" customHeight="1" x14ac:dyDescent="0.35">
      <c r="B15" s="210" t="s">
        <v>24</v>
      </c>
      <c r="C15" s="211"/>
      <c r="D15" s="211"/>
      <c r="E15" s="211"/>
      <c r="F15" s="211"/>
      <c r="G15" s="211"/>
      <c r="H15" s="211"/>
      <c r="I15" s="211"/>
      <c r="J15" s="211"/>
      <c r="K15" s="211"/>
      <c r="L15" s="212"/>
      <c r="M15" s="244" t="s">
        <v>40</v>
      </c>
      <c r="N15" s="244"/>
      <c r="O15" s="244"/>
      <c r="P15" s="244"/>
      <c r="Q15" s="244"/>
      <c r="R15" s="244"/>
      <c r="S15" s="17"/>
      <c r="T15" s="7"/>
      <c r="U15" s="233"/>
      <c r="V15" s="234"/>
      <c r="W15" s="234"/>
      <c r="X15" s="234"/>
      <c r="Y15" s="234"/>
      <c r="Z15" s="234"/>
      <c r="AA15" s="234"/>
      <c r="AB15" s="234"/>
      <c r="AC15" s="234"/>
      <c r="AD15" s="237"/>
      <c r="AE15" s="18"/>
      <c r="AF15" s="8"/>
      <c r="AG15" s="233"/>
      <c r="AH15" s="234"/>
      <c r="AI15" s="234"/>
      <c r="AJ15" s="234"/>
      <c r="AK15" s="234"/>
      <c r="AL15" s="234"/>
      <c r="AM15" s="234"/>
      <c r="AN15" s="234"/>
      <c r="AO15" s="234"/>
      <c r="AP15" s="237"/>
      <c r="AQ15" s="18"/>
      <c r="AS15" s="233"/>
      <c r="AT15" s="234"/>
      <c r="AU15" s="234"/>
      <c r="AV15" s="234"/>
      <c r="AW15" s="234"/>
      <c r="AX15" s="234"/>
      <c r="AY15" s="234"/>
      <c r="AZ15" s="234"/>
      <c r="BA15" s="234"/>
      <c r="BB15" s="237"/>
      <c r="BC15" s="18"/>
      <c r="BE15" s="233"/>
      <c r="BF15" s="234"/>
      <c r="BG15" s="234"/>
      <c r="BH15" s="234"/>
      <c r="BI15" s="234"/>
      <c r="BJ15" s="239"/>
      <c r="BK15" s="239"/>
      <c r="BL15" s="239"/>
      <c r="BM15" s="239"/>
      <c r="BN15" s="240"/>
    </row>
    <row r="16" spans="1:67" ht="11" customHeight="1" x14ac:dyDescent="0.35">
      <c r="B16" s="213"/>
      <c r="C16" s="214"/>
      <c r="D16" s="214"/>
      <c r="E16" s="214"/>
      <c r="F16" s="214"/>
      <c r="G16" s="214"/>
      <c r="H16" s="214"/>
      <c r="I16" s="214"/>
      <c r="J16" s="214"/>
      <c r="K16" s="214"/>
      <c r="L16" s="215"/>
      <c r="M16" s="244"/>
      <c r="N16" s="244"/>
      <c r="O16" s="244"/>
      <c r="P16" s="244"/>
      <c r="Q16" s="244"/>
      <c r="R16" s="244"/>
      <c r="S16" s="17"/>
      <c r="T16" s="8"/>
      <c r="U16" s="235"/>
      <c r="V16" s="236"/>
      <c r="W16" s="236"/>
      <c r="X16" s="236"/>
      <c r="Y16" s="236"/>
      <c r="Z16" s="236"/>
      <c r="AA16" s="236"/>
      <c r="AB16" s="236"/>
      <c r="AC16" s="236"/>
      <c r="AD16" s="238"/>
      <c r="AE16" s="18"/>
      <c r="AF16" s="8"/>
      <c r="AG16" s="235"/>
      <c r="AH16" s="236"/>
      <c r="AI16" s="236"/>
      <c r="AJ16" s="236"/>
      <c r="AK16" s="236"/>
      <c r="AL16" s="236"/>
      <c r="AM16" s="236"/>
      <c r="AN16" s="236"/>
      <c r="AO16" s="236"/>
      <c r="AP16" s="238"/>
      <c r="AQ16" s="18"/>
      <c r="AS16" s="235"/>
      <c r="AT16" s="236"/>
      <c r="AU16" s="236"/>
      <c r="AV16" s="236"/>
      <c r="AW16" s="236"/>
      <c r="AX16" s="236"/>
      <c r="AY16" s="236"/>
      <c r="AZ16" s="236"/>
      <c r="BA16" s="236"/>
      <c r="BB16" s="238"/>
      <c r="BC16" s="18"/>
      <c r="BE16" s="235"/>
      <c r="BF16" s="236"/>
      <c r="BG16" s="236"/>
      <c r="BH16" s="236"/>
      <c r="BI16" s="236"/>
      <c r="BJ16" s="241"/>
      <c r="BK16" s="241"/>
      <c r="BL16" s="241"/>
      <c r="BM16" s="241"/>
      <c r="BN16" s="242"/>
    </row>
    <row r="17" spans="2:66" ht="7.25" customHeight="1" x14ac:dyDescent="0.35">
      <c r="M17" s="2"/>
      <c r="N17" s="2"/>
      <c r="O17" s="2"/>
      <c r="P17" s="2"/>
      <c r="Q17" s="2"/>
      <c r="R17" s="2"/>
      <c r="S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66" ht="28.5" x14ac:dyDescent="0.35">
      <c r="B18" s="230" t="s">
        <v>25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  <c r="BD18" s="230"/>
      <c r="BE18" s="230"/>
      <c r="BF18" s="230"/>
      <c r="BG18" s="230"/>
      <c r="BH18" s="230"/>
      <c r="BI18" s="230"/>
      <c r="BJ18" s="230"/>
      <c r="BK18" s="230"/>
      <c r="BL18" s="230"/>
      <c r="BM18" s="230"/>
      <c r="BN18" s="230"/>
    </row>
    <row r="19" spans="2:66" ht="14.4" customHeight="1" x14ac:dyDescent="0.35">
      <c r="B19" s="221">
        <v>1</v>
      </c>
      <c r="C19" s="19"/>
      <c r="D19" s="10"/>
      <c r="E19" s="10"/>
      <c r="F19" s="231"/>
      <c r="G19" s="231"/>
      <c r="H19" s="231"/>
      <c r="I19" s="231"/>
      <c r="J19" s="9"/>
      <c r="K19" s="231"/>
      <c r="L19" s="231"/>
      <c r="M19" s="231"/>
      <c r="N19" s="9"/>
      <c r="O19" s="9"/>
      <c r="P19" s="9"/>
      <c r="Q19" s="9"/>
      <c r="R19" s="9"/>
      <c r="S19" s="9"/>
      <c r="T19" s="232"/>
      <c r="U19" s="232"/>
      <c r="V19" s="14"/>
      <c r="W19" s="14"/>
      <c r="X19" s="14"/>
      <c r="Y19" s="10"/>
      <c r="Z19" s="10"/>
      <c r="AA19" s="10"/>
      <c r="AB19" s="10"/>
      <c r="AC19" s="10"/>
      <c r="AD19" s="10"/>
      <c r="AE19" s="10"/>
      <c r="AF19" s="10"/>
      <c r="AG19" s="10"/>
      <c r="AH19" s="221">
        <v>2</v>
      </c>
      <c r="AI19" s="10"/>
      <c r="AJ19" s="10"/>
      <c r="AK19" s="11"/>
      <c r="AL19" s="10"/>
      <c r="AM19" s="10"/>
      <c r="AN19" s="10"/>
      <c r="AO19" s="10"/>
      <c r="AP19" s="2"/>
      <c r="AQ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2:66" ht="14.4" customHeight="1" x14ac:dyDescent="0.35">
      <c r="B20" s="222"/>
      <c r="C20" s="19"/>
      <c r="M20" s="2"/>
      <c r="N20" s="2"/>
      <c r="O20" s="2"/>
      <c r="P20" s="2"/>
      <c r="Q20" s="2"/>
      <c r="R20" s="2"/>
      <c r="S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G20" s="2"/>
      <c r="AH20" s="222"/>
      <c r="AI20" s="2"/>
      <c r="AJ20" s="2"/>
      <c r="AK20" s="12"/>
      <c r="AL20" s="2"/>
      <c r="AM20" s="2"/>
      <c r="AN20" s="2"/>
      <c r="AO20" s="2"/>
    </row>
    <row r="21" spans="2:66" ht="14.4" customHeight="1" x14ac:dyDescent="0.35">
      <c r="B21" s="222"/>
      <c r="C21" s="19"/>
      <c r="M21" s="2"/>
      <c r="N21" s="2"/>
      <c r="O21" s="2"/>
      <c r="P21" s="2"/>
      <c r="Q21" s="2"/>
      <c r="R21" s="2"/>
      <c r="S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G21" s="2"/>
      <c r="AH21" s="222"/>
      <c r="AI21" s="2"/>
      <c r="AJ21" s="2"/>
      <c r="AK21" s="12"/>
      <c r="AL21" s="2"/>
      <c r="AM21" s="2"/>
      <c r="AN21" s="2"/>
      <c r="AO21" s="2"/>
    </row>
    <row r="22" spans="2:66" ht="14.4" customHeight="1" x14ac:dyDescent="0.35">
      <c r="B22" s="222"/>
      <c r="C22" s="19"/>
      <c r="M22" s="2"/>
      <c r="N22" s="2"/>
      <c r="O22" s="2"/>
      <c r="P22" s="2"/>
      <c r="Q22" s="2"/>
      <c r="R22" s="2"/>
      <c r="S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G22" s="2"/>
      <c r="AH22" s="222"/>
      <c r="AI22" s="2"/>
      <c r="AJ22" s="2"/>
      <c r="AK22" s="12"/>
      <c r="AL22" s="2"/>
      <c r="AM22" s="2"/>
      <c r="AN22" s="2"/>
      <c r="AO22" s="2"/>
    </row>
    <row r="23" spans="2:66" ht="14.4" customHeight="1" x14ac:dyDescent="0.35">
      <c r="B23" s="222"/>
      <c r="C23" s="19"/>
      <c r="AH23" s="222"/>
      <c r="AK23" s="12"/>
    </row>
    <row r="24" spans="2:66" ht="6.65" customHeight="1" x14ac:dyDescent="0.35">
      <c r="B24" s="223"/>
      <c r="C24" s="19"/>
      <c r="AH24" s="223"/>
    </row>
    <row r="25" spans="2:66" ht="28.5" x14ac:dyDescent="0.35">
      <c r="B25" s="230" t="s">
        <v>30</v>
      </c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30"/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  <c r="BD25" s="230"/>
      <c r="BE25" s="230"/>
      <c r="BF25" s="230"/>
      <c r="BG25" s="230"/>
      <c r="BH25" s="230"/>
      <c r="BI25" s="230"/>
      <c r="BJ25" s="230"/>
      <c r="BK25" s="230"/>
      <c r="BL25" s="230"/>
      <c r="BM25" s="230"/>
      <c r="BN25" s="230"/>
    </row>
    <row r="26" spans="2:66" s="4" customFormat="1" ht="12.65" customHeight="1" x14ac:dyDescent="0.35">
      <c r="T26" s="3"/>
      <c r="U26" s="225">
        <v>1</v>
      </c>
      <c r="V26" s="225"/>
      <c r="W26" s="225">
        <v>2</v>
      </c>
      <c r="X26" s="225"/>
      <c r="Y26" s="225">
        <v>3</v>
      </c>
      <c r="Z26" s="225"/>
      <c r="AA26" s="225">
        <v>4</v>
      </c>
      <c r="AB26" s="225"/>
      <c r="AC26" s="225">
        <v>5</v>
      </c>
      <c r="AD26" s="225"/>
      <c r="AE26" s="225">
        <v>6</v>
      </c>
      <c r="AF26" s="225"/>
      <c r="AG26" s="225">
        <v>7</v>
      </c>
      <c r="AH26" s="225"/>
      <c r="AI26" s="225">
        <v>8</v>
      </c>
      <c r="AJ26" s="225"/>
      <c r="AK26" s="225">
        <v>9</v>
      </c>
      <c r="AL26" s="225"/>
      <c r="AM26" s="225">
        <v>10</v>
      </c>
      <c r="AN26" s="225"/>
      <c r="AO26" s="225">
        <v>11</v>
      </c>
      <c r="AP26" s="225"/>
      <c r="AQ26" s="225">
        <v>12</v>
      </c>
      <c r="AR26" s="225"/>
      <c r="AS26" s="225">
        <v>13</v>
      </c>
      <c r="AT26" s="225"/>
      <c r="AU26" s="225">
        <v>14</v>
      </c>
      <c r="AV26" s="225"/>
      <c r="AW26" s="225">
        <v>15</v>
      </c>
      <c r="AX26" s="225"/>
      <c r="AY26" s="225">
        <v>16</v>
      </c>
      <c r="AZ26" s="225"/>
      <c r="BA26" s="225">
        <v>17</v>
      </c>
      <c r="BB26" s="225"/>
      <c r="BC26" s="225">
        <v>18</v>
      </c>
      <c r="BD26" s="225"/>
      <c r="BE26" s="225">
        <v>19</v>
      </c>
      <c r="BF26" s="225"/>
      <c r="BG26" s="225">
        <v>20</v>
      </c>
      <c r="BH26" s="225"/>
      <c r="BI26" s="225">
        <v>21</v>
      </c>
      <c r="BJ26" s="225"/>
      <c r="BK26" s="225">
        <v>22</v>
      </c>
      <c r="BL26" s="225"/>
      <c r="BM26" s="225">
        <v>24</v>
      </c>
      <c r="BN26" s="225"/>
    </row>
    <row r="27" spans="2:66" ht="40.25" customHeight="1" x14ac:dyDescent="0.35">
      <c r="B27" s="203" t="s">
        <v>26</v>
      </c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T27" s="1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09"/>
      <c r="BD27" s="209"/>
      <c r="BE27" s="209"/>
      <c r="BF27" s="209"/>
      <c r="BG27" s="209"/>
      <c r="BH27" s="209"/>
      <c r="BI27" s="209"/>
      <c r="BJ27" s="209"/>
      <c r="BK27" s="209"/>
      <c r="BL27" s="209"/>
      <c r="BM27" s="209"/>
      <c r="BN27" s="209"/>
    </row>
    <row r="28" spans="2:66" ht="40.25" customHeight="1" x14ac:dyDescent="0.35">
      <c r="B28" s="203" t="s">
        <v>31</v>
      </c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T28" s="1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09"/>
      <c r="BD28" s="209"/>
      <c r="BE28" s="209"/>
      <c r="BF28" s="209"/>
      <c r="BG28" s="209"/>
      <c r="BH28" s="209"/>
      <c r="BI28" s="209"/>
      <c r="BJ28" s="209"/>
      <c r="BK28" s="209"/>
      <c r="BL28" s="209"/>
      <c r="BM28" s="209"/>
      <c r="BN28" s="209"/>
    </row>
    <row r="29" spans="2:66" ht="40.25" customHeight="1" x14ac:dyDescent="0.35">
      <c r="B29" s="203" t="s">
        <v>27</v>
      </c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T29" s="1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09"/>
      <c r="BD29" s="209"/>
      <c r="BE29" s="209"/>
      <c r="BF29" s="209"/>
      <c r="BG29" s="209"/>
      <c r="BH29" s="209"/>
      <c r="BI29" s="209"/>
      <c r="BJ29" s="209"/>
      <c r="BK29" s="209"/>
      <c r="BL29" s="209"/>
      <c r="BM29" s="209"/>
      <c r="BN29" s="209"/>
    </row>
    <row r="30" spans="2:66" ht="40.25" customHeight="1" x14ac:dyDescent="0.35">
      <c r="B30" s="203" t="s">
        <v>28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T30" s="1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</row>
    <row r="31" spans="2:66" ht="40.25" customHeight="1" x14ac:dyDescent="0.35">
      <c r="B31" s="203" t="s">
        <v>29</v>
      </c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T31" s="1"/>
      <c r="U31" s="209"/>
      <c r="V31" s="209"/>
      <c r="W31" s="209"/>
      <c r="X31" s="209"/>
      <c r="Y31" s="209"/>
      <c r="Z31" s="209"/>
      <c r="AA31" s="209"/>
      <c r="AB31" s="209"/>
      <c r="AC31" s="209"/>
      <c r="AD31" s="209"/>
      <c r="AE31" s="209"/>
      <c r="AF31" s="209"/>
      <c r="AG31" s="209"/>
      <c r="AH31" s="209"/>
      <c r="AI31" s="209"/>
      <c r="AJ31" s="209"/>
      <c r="AK31" s="209"/>
      <c r="AL31" s="209"/>
      <c r="AM31" s="209"/>
      <c r="AN31" s="209"/>
      <c r="AO31" s="209"/>
      <c r="AP31" s="209"/>
      <c r="AQ31" s="209"/>
      <c r="AR31" s="209"/>
      <c r="AS31" s="209"/>
      <c r="AT31" s="209"/>
      <c r="AU31" s="209"/>
      <c r="AV31" s="209"/>
      <c r="AW31" s="209"/>
      <c r="AX31" s="209"/>
      <c r="AY31" s="209"/>
      <c r="AZ31" s="209"/>
      <c r="BA31" s="209"/>
      <c r="BB31" s="209"/>
      <c r="BC31" s="209"/>
      <c r="BD31" s="209"/>
      <c r="BE31" s="209"/>
      <c r="BF31" s="209"/>
      <c r="BG31" s="209"/>
      <c r="BH31" s="209"/>
      <c r="BI31" s="209"/>
      <c r="BJ31" s="209"/>
      <c r="BK31" s="209"/>
      <c r="BL31" s="209"/>
      <c r="BM31" s="209"/>
      <c r="BN31" s="209"/>
    </row>
    <row r="32" spans="2:66" ht="8" customHeight="1" x14ac:dyDescent="0.35">
      <c r="T32" s="1"/>
    </row>
    <row r="33" spans="1:67" ht="21" customHeight="1" x14ac:dyDescent="0.35">
      <c r="B33" s="194" t="s">
        <v>32</v>
      </c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5"/>
      <c r="BB33" s="195"/>
      <c r="BC33" s="195"/>
      <c r="BD33" s="195"/>
      <c r="BE33" s="195"/>
      <c r="BF33" s="195"/>
      <c r="BG33" s="195"/>
      <c r="BH33" s="195"/>
      <c r="BI33" s="195"/>
      <c r="BJ33" s="195"/>
      <c r="BK33" s="195"/>
      <c r="BL33" s="195"/>
      <c r="BM33" s="195"/>
      <c r="BN33" s="196"/>
    </row>
    <row r="34" spans="1:67" ht="28.5" x14ac:dyDescent="0.35">
      <c r="B34" s="216" t="s">
        <v>53</v>
      </c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E34" s="217"/>
      <c r="BF34" s="217"/>
      <c r="BG34" s="217"/>
      <c r="BH34" s="217"/>
      <c r="BI34" s="217"/>
      <c r="BJ34" s="217"/>
      <c r="BK34" s="217"/>
      <c r="BL34" s="217"/>
      <c r="BM34" s="217"/>
      <c r="BN34" s="218"/>
    </row>
    <row r="35" spans="1:67" s="2" customFormat="1" ht="7.25" customHeight="1" x14ac:dyDescent="0.3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</row>
    <row r="36" spans="1:67" ht="12.65" customHeight="1" x14ac:dyDescent="0.35">
      <c r="B36" s="219" t="s">
        <v>44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0"/>
      <c r="M36" s="28"/>
      <c r="N36" s="20" t="s">
        <v>0</v>
      </c>
      <c r="O36" s="219" t="s">
        <v>1</v>
      </c>
      <c r="P36" s="220"/>
      <c r="Q36" s="219" t="s">
        <v>2</v>
      </c>
      <c r="R36" s="220"/>
      <c r="U36" s="209" t="s">
        <v>41</v>
      </c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13"/>
      <c r="AW36" s="209" t="s">
        <v>45</v>
      </c>
      <c r="AX36" s="209"/>
      <c r="AY36" s="219" t="s">
        <v>46</v>
      </c>
      <c r="AZ36" s="220"/>
      <c r="BA36" s="219" t="s">
        <v>47</v>
      </c>
      <c r="BB36" s="220"/>
      <c r="BC36" s="209" t="s">
        <v>48</v>
      </c>
      <c r="BD36" s="209"/>
      <c r="BE36" s="219" t="s">
        <v>49</v>
      </c>
      <c r="BF36" s="220"/>
      <c r="BG36" s="219" t="s">
        <v>50</v>
      </c>
      <c r="BH36" s="220"/>
      <c r="BI36" s="209" t="s">
        <v>51</v>
      </c>
      <c r="BJ36" s="209"/>
      <c r="BK36" s="219" t="s">
        <v>52</v>
      </c>
      <c r="BL36" s="220"/>
      <c r="BM36" s="219" t="s">
        <v>54</v>
      </c>
      <c r="BN36" s="220"/>
    </row>
    <row r="37" spans="1:67" ht="8.4" customHeight="1" x14ac:dyDescent="0.3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8"/>
      <c r="N37" s="3"/>
      <c r="O37" s="3"/>
      <c r="P37" s="3"/>
      <c r="Q37" s="3"/>
      <c r="R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3"/>
      <c r="AV37" s="1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</row>
    <row r="38" spans="1:67" s="24" customFormat="1" ht="52.25" customHeight="1" x14ac:dyDescent="0.35">
      <c r="A38" s="23"/>
      <c r="B38" s="203" t="s">
        <v>86</v>
      </c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8"/>
      <c r="N38" s="27"/>
      <c r="O38" s="200"/>
      <c r="P38" s="201"/>
      <c r="Q38" s="200"/>
      <c r="R38" s="201"/>
      <c r="U38" s="203" t="s">
        <v>63</v>
      </c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3"/>
      <c r="AQ38" s="203"/>
      <c r="AR38" s="203"/>
      <c r="AS38" s="203"/>
      <c r="AT38" s="203"/>
      <c r="AU38" s="203"/>
      <c r="AV38" s="25"/>
      <c r="AW38" s="202"/>
      <c r="AX38" s="202"/>
      <c r="AY38" s="202"/>
      <c r="AZ38" s="202"/>
      <c r="BA38" s="202"/>
      <c r="BB38" s="202"/>
      <c r="BC38" s="202"/>
      <c r="BD38" s="202"/>
      <c r="BE38" s="202"/>
      <c r="BF38" s="202"/>
      <c r="BG38" s="202"/>
      <c r="BH38" s="202"/>
      <c r="BI38" s="202"/>
      <c r="BJ38" s="202"/>
      <c r="BK38" s="202"/>
      <c r="BL38" s="202"/>
      <c r="BM38" s="202"/>
      <c r="BN38" s="202"/>
      <c r="BO38" s="23"/>
    </row>
    <row r="39" spans="1:67" s="24" customFormat="1" ht="52.25" customHeight="1" x14ac:dyDescent="0.35">
      <c r="A39" s="23"/>
      <c r="B39" s="203" t="s">
        <v>328</v>
      </c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8"/>
      <c r="N39" s="27"/>
      <c r="O39" s="200"/>
      <c r="P39" s="201"/>
      <c r="Q39" s="200"/>
      <c r="R39" s="201"/>
      <c r="U39" s="203" t="s">
        <v>64</v>
      </c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5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3"/>
    </row>
    <row r="40" spans="1:67" s="24" customFormat="1" ht="52.25" customHeight="1" x14ac:dyDescent="0.35">
      <c r="A40" s="23"/>
      <c r="B40" s="204" t="s">
        <v>39</v>
      </c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8"/>
      <c r="N40" s="27"/>
      <c r="O40" s="200"/>
      <c r="P40" s="201"/>
      <c r="Q40" s="200"/>
      <c r="R40" s="201"/>
      <c r="U40" s="203" t="s">
        <v>71</v>
      </c>
      <c r="V40" s="203"/>
      <c r="W40" s="203"/>
      <c r="X40" s="203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  <c r="AM40" s="203"/>
      <c r="AN40" s="203"/>
      <c r="AO40" s="203"/>
      <c r="AP40" s="203"/>
      <c r="AQ40" s="203"/>
      <c r="AR40" s="203"/>
      <c r="AS40" s="203"/>
      <c r="AT40" s="203"/>
      <c r="AU40" s="203"/>
      <c r="AV40" s="25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2"/>
      <c r="BH40" s="202"/>
      <c r="BI40" s="202"/>
      <c r="BJ40" s="202"/>
      <c r="BK40" s="202"/>
      <c r="BL40" s="202"/>
      <c r="BM40" s="202"/>
      <c r="BN40" s="202"/>
      <c r="BO40" s="23"/>
    </row>
    <row r="41" spans="1:67" s="24" customFormat="1" ht="52.25" customHeight="1" x14ac:dyDescent="0.35">
      <c r="A41" s="23"/>
      <c r="B41" s="203" t="s">
        <v>34</v>
      </c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8"/>
      <c r="N41" s="27"/>
      <c r="O41" s="200"/>
      <c r="P41" s="201"/>
      <c r="Q41" s="200"/>
      <c r="R41" s="201"/>
      <c r="U41" s="203" t="s">
        <v>42</v>
      </c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5"/>
      <c r="AW41" s="202"/>
      <c r="AX41" s="202"/>
      <c r="AY41" s="202"/>
      <c r="AZ41" s="202"/>
      <c r="BA41" s="202"/>
      <c r="BB41" s="202"/>
      <c r="BC41" s="202"/>
      <c r="BD41" s="202"/>
      <c r="BE41" s="202"/>
      <c r="BF41" s="202"/>
      <c r="BG41" s="202"/>
      <c r="BH41" s="202"/>
      <c r="BI41" s="202"/>
      <c r="BJ41" s="202"/>
      <c r="BK41" s="202"/>
      <c r="BL41" s="202"/>
      <c r="BM41" s="202"/>
      <c r="BN41" s="202"/>
      <c r="BO41" s="23"/>
    </row>
    <row r="42" spans="1:67" s="24" customFormat="1" ht="52.25" customHeight="1" x14ac:dyDescent="0.35">
      <c r="A42" s="23"/>
      <c r="B42" s="203" t="s">
        <v>35</v>
      </c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8"/>
      <c r="N42" s="27"/>
      <c r="O42" s="200"/>
      <c r="P42" s="201"/>
      <c r="Q42" s="200"/>
      <c r="R42" s="201"/>
      <c r="U42" s="203" t="s">
        <v>65</v>
      </c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3"/>
      <c r="AQ42" s="203"/>
      <c r="AR42" s="203"/>
      <c r="AS42" s="203"/>
      <c r="AT42" s="203"/>
      <c r="AU42" s="203"/>
      <c r="AV42" s="25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2"/>
      <c r="BH42" s="202"/>
      <c r="BI42" s="202"/>
      <c r="BJ42" s="202"/>
      <c r="BK42" s="202"/>
      <c r="BL42" s="202"/>
      <c r="BM42" s="202"/>
      <c r="BN42" s="202"/>
      <c r="BO42" s="23"/>
    </row>
    <row r="43" spans="1:67" s="24" customFormat="1" ht="70" customHeight="1" x14ac:dyDescent="0.35">
      <c r="A43" s="23"/>
      <c r="B43" s="203" t="s">
        <v>60</v>
      </c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8"/>
      <c r="N43" s="27"/>
      <c r="O43" s="200"/>
      <c r="P43" s="201"/>
      <c r="Q43" s="200"/>
      <c r="R43" s="201"/>
      <c r="U43" s="203" t="s">
        <v>66</v>
      </c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5"/>
      <c r="AW43" s="205"/>
      <c r="AX43" s="206"/>
      <c r="AY43" s="205"/>
      <c r="AZ43" s="206"/>
      <c r="BA43" s="205"/>
      <c r="BB43" s="206"/>
      <c r="BC43" s="205"/>
      <c r="BD43" s="206"/>
      <c r="BE43" s="205"/>
      <c r="BF43" s="206"/>
      <c r="BG43" s="205"/>
      <c r="BH43" s="206"/>
      <c r="BI43" s="205"/>
      <c r="BJ43" s="206"/>
      <c r="BK43" s="205"/>
      <c r="BL43" s="206"/>
      <c r="BM43" s="205"/>
      <c r="BN43" s="206"/>
      <c r="BO43" s="23"/>
    </row>
    <row r="44" spans="1:67" s="24" customFormat="1" ht="52.25" customHeight="1" x14ac:dyDescent="0.35">
      <c r="A44" s="23"/>
      <c r="B44" s="204" t="s">
        <v>33</v>
      </c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8"/>
      <c r="N44" s="27"/>
      <c r="O44" s="200"/>
      <c r="P44" s="201"/>
      <c r="Q44" s="200"/>
      <c r="R44" s="201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3"/>
      <c r="AQ44" s="203"/>
      <c r="AR44" s="203"/>
      <c r="AS44" s="203"/>
      <c r="AT44" s="203"/>
      <c r="AU44" s="203"/>
      <c r="AV44" s="25"/>
      <c r="AW44" s="207"/>
      <c r="AX44" s="208"/>
      <c r="AY44" s="207"/>
      <c r="AZ44" s="208"/>
      <c r="BA44" s="207"/>
      <c r="BB44" s="208"/>
      <c r="BC44" s="207"/>
      <c r="BD44" s="208"/>
      <c r="BE44" s="207"/>
      <c r="BF44" s="208"/>
      <c r="BG44" s="207"/>
      <c r="BH44" s="208"/>
      <c r="BI44" s="207"/>
      <c r="BJ44" s="208"/>
      <c r="BK44" s="207"/>
      <c r="BL44" s="208"/>
      <c r="BM44" s="207"/>
      <c r="BN44" s="208"/>
      <c r="BO44" s="23"/>
    </row>
    <row r="45" spans="1:67" s="24" customFormat="1" ht="52.25" customHeight="1" x14ac:dyDescent="0.35">
      <c r="A45" s="23"/>
      <c r="B45" s="204" t="s">
        <v>36</v>
      </c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8"/>
      <c r="N45" s="27"/>
      <c r="O45" s="200"/>
      <c r="P45" s="201"/>
      <c r="Q45" s="200"/>
      <c r="R45" s="201"/>
      <c r="U45" s="203" t="s">
        <v>67</v>
      </c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5"/>
      <c r="AW45" s="205"/>
      <c r="AX45" s="206"/>
      <c r="AY45" s="205"/>
      <c r="AZ45" s="206"/>
      <c r="BA45" s="205"/>
      <c r="BB45" s="206"/>
      <c r="BC45" s="205"/>
      <c r="BD45" s="206"/>
      <c r="BE45" s="205"/>
      <c r="BF45" s="206"/>
      <c r="BG45" s="205"/>
      <c r="BH45" s="206"/>
      <c r="BI45" s="205"/>
      <c r="BJ45" s="206"/>
      <c r="BK45" s="205"/>
      <c r="BL45" s="206"/>
      <c r="BM45" s="205"/>
      <c r="BN45" s="206"/>
      <c r="BO45" s="23"/>
    </row>
    <row r="46" spans="1:67" s="24" customFormat="1" ht="52.25" customHeight="1" x14ac:dyDescent="0.35">
      <c r="A46" s="23"/>
      <c r="B46" s="204" t="s">
        <v>37</v>
      </c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8"/>
      <c r="N46" s="27"/>
      <c r="O46" s="200"/>
      <c r="P46" s="201"/>
      <c r="Q46" s="200"/>
      <c r="R46" s="201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  <c r="AM46" s="203"/>
      <c r="AN46" s="203"/>
      <c r="AO46" s="203"/>
      <c r="AP46" s="203"/>
      <c r="AQ46" s="203"/>
      <c r="AR46" s="203"/>
      <c r="AS46" s="203"/>
      <c r="AT46" s="203"/>
      <c r="AU46" s="203"/>
      <c r="AV46" s="25"/>
      <c r="AW46" s="207"/>
      <c r="AX46" s="208"/>
      <c r="AY46" s="207"/>
      <c r="AZ46" s="208"/>
      <c r="BA46" s="207"/>
      <c r="BB46" s="208"/>
      <c r="BC46" s="207"/>
      <c r="BD46" s="208"/>
      <c r="BE46" s="207"/>
      <c r="BF46" s="208"/>
      <c r="BG46" s="207"/>
      <c r="BH46" s="208"/>
      <c r="BI46" s="207"/>
      <c r="BJ46" s="208"/>
      <c r="BK46" s="207"/>
      <c r="BL46" s="208"/>
      <c r="BM46" s="207"/>
      <c r="BN46" s="208"/>
      <c r="BO46" s="23"/>
    </row>
    <row r="47" spans="1:67" s="24" customFormat="1" ht="52.25" customHeight="1" x14ac:dyDescent="0.35">
      <c r="A47" s="23"/>
      <c r="B47" s="203" t="s">
        <v>85</v>
      </c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8"/>
      <c r="N47" s="27"/>
      <c r="O47" s="200"/>
      <c r="P47" s="201"/>
      <c r="Q47" s="200"/>
      <c r="R47" s="201"/>
      <c r="U47" s="203" t="s">
        <v>68</v>
      </c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5"/>
      <c r="AW47" s="205"/>
      <c r="AX47" s="206"/>
      <c r="AY47" s="205"/>
      <c r="AZ47" s="206"/>
      <c r="BA47" s="205"/>
      <c r="BB47" s="206"/>
      <c r="BC47" s="205"/>
      <c r="BD47" s="206"/>
      <c r="BE47" s="205"/>
      <c r="BF47" s="206"/>
      <c r="BG47" s="205"/>
      <c r="BH47" s="206"/>
      <c r="BI47" s="205"/>
      <c r="BJ47" s="206"/>
      <c r="BK47" s="205"/>
      <c r="BL47" s="206"/>
      <c r="BM47" s="205"/>
      <c r="BN47" s="206"/>
      <c r="BO47" s="23"/>
    </row>
    <row r="48" spans="1:67" s="24" customFormat="1" ht="52.25" customHeight="1" x14ac:dyDescent="0.35">
      <c r="A48" s="23"/>
      <c r="B48" s="203" t="s">
        <v>61</v>
      </c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8"/>
      <c r="N48" s="27"/>
      <c r="O48" s="200"/>
      <c r="P48" s="201"/>
      <c r="Q48" s="200"/>
      <c r="R48" s="201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  <c r="AM48" s="203"/>
      <c r="AN48" s="203"/>
      <c r="AO48" s="203"/>
      <c r="AP48" s="203"/>
      <c r="AQ48" s="203"/>
      <c r="AR48" s="203"/>
      <c r="AS48" s="203"/>
      <c r="AT48" s="203"/>
      <c r="AU48" s="203"/>
      <c r="AV48" s="25"/>
      <c r="AW48" s="207"/>
      <c r="AX48" s="208"/>
      <c r="AY48" s="207"/>
      <c r="AZ48" s="208"/>
      <c r="BA48" s="207"/>
      <c r="BB48" s="208"/>
      <c r="BC48" s="207"/>
      <c r="BD48" s="208"/>
      <c r="BE48" s="207"/>
      <c r="BF48" s="208"/>
      <c r="BG48" s="207"/>
      <c r="BH48" s="208"/>
      <c r="BI48" s="207"/>
      <c r="BJ48" s="208"/>
      <c r="BK48" s="207"/>
      <c r="BL48" s="208"/>
      <c r="BM48" s="207"/>
      <c r="BN48" s="208"/>
      <c r="BO48" s="23"/>
    </row>
    <row r="49" spans="1:67" s="24" customFormat="1" ht="52.25" customHeight="1" x14ac:dyDescent="0.35">
      <c r="A49" s="23"/>
      <c r="B49" s="203" t="s">
        <v>59</v>
      </c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8"/>
      <c r="N49" s="27"/>
      <c r="O49" s="200"/>
      <c r="P49" s="201"/>
      <c r="Q49" s="200"/>
      <c r="R49" s="201"/>
      <c r="U49" s="203" t="s">
        <v>69</v>
      </c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5"/>
      <c r="AW49" s="205"/>
      <c r="AX49" s="206"/>
      <c r="AY49" s="205"/>
      <c r="AZ49" s="206"/>
      <c r="BA49" s="205"/>
      <c r="BB49" s="206"/>
      <c r="BC49" s="205"/>
      <c r="BD49" s="206"/>
      <c r="BE49" s="205"/>
      <c r="BF49" s="206"/>
      <c r="BG49" s="205"/>
      <c r="BH49" s="206"/>
      <c r="BI49" s="205"/>
      <c r="BJ49" s="206"/>
      <c r="BK49" s="205"/>
      <c r="BL49" s="206"/>
      <c r="BM49" s="205"/>
      <c r="BN49" s="206"/>
      <c r="BO49" s="23"/>
    </row>
    <row r="50" spans="1:67" s="24" customFormat="1" ht="52.25" customHeight="1" x14ac:dyDescent="0.35">
      <c r="A50" s="23"/>
      <c r="B50" s="203" t="s">
        <v>62</v>
      </c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8"/>
      <c r="N50" s="27"/>
      <c r="O50" s="200"/>
      <c r="P50" s="201"/>
      <c r="Q50" s="200"/>
      <c r="R50" s="201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5"/>
      <c r="AW50" s="207"/>
      <c r="AX50" s="208"/>
      <c r="AY50" s="207"/>
      <c r="AZ50" s="208"/>
      <c r="BA50" s="207"/>
      <c r="BB50" s="208"/>
      <c r="BC50" s="207"/>
      <c r="BD50" s="208"/>
      <c r="BE50" s="207"/>
      <c r="BF50" s="208"/>
      <c r="BG50" s="207"/>
      <c r="BH50" s="208"/>
      <c r="BI50" s="207"/>
      <c r="BJ50" s="208"/>
      <c r="BK50" s="207"/>
      <c r="BL50" s="208"/>
      <c r="BM50" s="207"/>
      <c r="BN50" s="208"/>
      <c r="BO50" s="23"/>
    </row>
    <row r="51" spans="1:67" s="24" customFormat="1" ht="52.25" customHeight="1" x14ac:dyDescent="0.35">
      <c r="A51" s="23"/>
      <c r="B51" s="203" t="s">
        <v>38</v>
      </c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8"/>
      <c r="N51" s="27"/>
      <c r="O51" s="200"/>
      <c r="P51" s="201"/>
      <c r="Q51" s="200"/>
      <c r="R51" s="201"/>
      <c r="U51" s="203" t="s">
        <v>70</v>
      </c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5"/>
      <c r="AW51" s="202"/>
      <c r="AX51" s="202"/>
      <c r="AY51" s="202"/>
      <c r="AZ51" s="202"/>
      <c r="BA51" s="202"/>
      <c r="BB51" s="202"/>
      <c r="BC51" s="202"/>
      <c r="BD51" s="202"/>
      <c r="BE51" s="202"/>
      <c r="BF51" s="202"/>
      <c r="BG51" s="202"/>
      <c r="BH51" s="202"/>
      <c r="BI51" s="202"/>
      <c r="BJ51" s="202"/>
      <c r="BK51" s="202"/>
      <c r="BL51" s="202"/>
      <c r="BM51" s="202"/>
      <c r="BN51" s="202"/>
      <c r="BO51" s="23"/>
    </row>
    <row r="52" spans="1:67" s="24" customFormat="1" ht="52.25" customHeight="1" x14ac:dyDescent="0.35">
      <c r="A52" s="23"/>
      <c r="B52" s="203" t="s">
        <v>57</v>
      </c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8"/>
      <c r="N52" s="27"/>
      <c r="O52" s="200"/>
      <c r="P52" s="201"/>
      <c r="Q52" s="200"/>
      <c r="R52" s="201"/>
      <c r="U52" s="203" t="s">
        <v>286</v>
      </c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5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2"/>
      <c r="BH52" s="202"/>
      <c r="BI52" s="202"/>
      <c r="BJ52" s="202"/>
      <c r="BK52" s="202"/>
      <c r="BL52" s="202"/>
      <c r="BM52" s="202"/>
      <c r="BN52" s="202"/>
      <c r="BO52" s="23"/>
    </row>
    <row r="53" spans="1:67" s="24" customFormat="1" ht="52.25" customHeight="1" x14ac:dyDescent="0.35">
      <c r="A53" s="23"/>
      <c r="B53" s="203" t="s">
        <v>58</v>
      </c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8"/>
      <c r="N53" s="27"/>
      <c r="O53" s="200"/>
      <c r="P53" s="201"/>
      <c r="Q53" s="200"/>
      <c r="R53" s="201"/>
      <c r="U53" s="203" t="s">
        <v>285</v>
      </c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5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3"/>
    </row>
    <row r="54" spans="1:67" s="24" customFormat="1" ht="87" customHeight="1" x14ac:dyDescent="0.35">
      <c r="A54" s="23"/>
      <c r="B54" s="203" t="s">
        <v>284</v>
      </c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8"/>
      <c r="N54" s="27"/>
      <c r="O54" s="200"/>
      <c r="P54" s="201"/>
      <c r="Q54" s="200"/>
      <c r="R54" s="201"/>
      <c r="U54" s="203" t="s">
        <v>43</v>
      </c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5"/>
      <c r="AW54" s="202"/>
      <c r="AX54" s="202"/>
      <c r="AY54" s="202"/>
      <c r="AZ54" s="202"/>
      <c r="BA54" s="202"/>
      <c r="BB54" s="202"/>
      <c r="BC54" s="202"/>
      <c r="BD54" s="202"/>
      <c r="BE54" s="202"/>
      <c r="BF54" s="202"/>
      <c r="BG54" s="202"/>
      <c r="BH54" s="202"/>
      <c r="BI54" s="202"/>
      <c r="BJ54" s="202"/>
      <c r="BK54" s="202"/>
      <c r="BL54" s="202"/>
      <c r="BM54" s="202"/>
      <c r="BN54" s="202"/>
      <c r="BO54" s="23"/>
    </row>
    <row r="55" spans="1:67" ht="6" customHeight="1" x14ac:dyDescent="0.35"/>
    <row r="56" spans="1:67" ht="28.5" x14ac:dyDescent="0.35">
      <c r="B56" s="194" t="s">
        <v>55</v>
      </c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6"/>
      <c r="T56" s="1"/>
      <c r="U56" s="194" t="s">
        <v>74</v>
      </c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  <c r="AU56" s="195"/>
      <c r="AV56" s="195"/>
      <c r="AW56" s="195"/>
      <c r="AX56" s="195"/>
      <c r="AY56" s="195"/>
      <c r="AZ56" s="195"/>
      <c r="BA56" s="195"/>
      <c r="BB56" s="195"/>
      <c r="BC56" s="195"/>
      <c r="BD56" s="195"/>
      <c r="BE56" s="195"/>
      <c r="BF56" s="195"/>
      <c r="BG56" s="195"/>
      <c r="BH56" s="195"/>
      <c r="BI56" s="195"/>
      <c r="BJ56" s="195"/>
      <c r="BK56" s="195"/>
      <c r="BL56" s="195"/>
      <c r="BM56" s="195"/>
      <c r="BN56" s="196"/>
    </row>
    <row r="57" spans="1:67" ht="28.5" x14ac:dyDescent="0.35">
      <c r="B57" s="197" t="s">
        <v>56</v>
      </c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9"/>
      <c r="T57" s="1"/>
      <c r="U57" s="197" t="s">
        <v>75</v>
      </c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  <c r="AS57" s="198"/>
      <c r="AT57" s="198"/>
      <c r="AU57" s="198"/>
      <c r="AV57" s="198"/>
      <c r="AW57" s="198"/>
      <c r="AX57" s="198"/>
      <c r="AY57" s="198"/>
      <c r="AZ57" s="198"/>
      <c r="BA57" s="198"/>
      <c r="BB57" s="198"/>
      <c r="BC57" s="198"/>
      <c r="BD57" s="198"/>
      <c r="BE57" s="198"/>
      <c r="BF57" s="198"/>
      <c r="BG57" s="198"/>
      <c r="BH57" s="198"/>
      <c r="BI57" s="198"/>
      <c r="BJ57" s="198"/>
      <c r="BK57" s="198"/>
      <c r="BL57" s="198"/>
      <c r="BM57" s="198"/>
      <c r="BN57" s="199"/>
    </row>
  </sheetData>
  <mergeCells count="444">
    <mergeCell ref="BK47:BL48"/>
    <mergeCell ref="BM47:BN48"/>
    <mergeCell ref="AY49:AZ50"/>
    <mergeCell ref="BA49:BB50"/>
    <mergeCell ref="BC49:BD50"/>
    <mergeCell ref="BE49:BF50"/>
    <mergeCell ref="BG49:BH50"/>
    <mergeCell ref="BI49:BJ50"/>
    <mergeCell ref="BK49:BL50"/>
    <mergeCell ref="I13:R13"/>
    <mergeCell ref="I12:R12"/>
    <mergeCell ref="I11:R11"/>
    <mergeCell ref="I10:R10"/>
    <mergeCell ref="I9:R9"/>
    <mergeCell ref="I8:R8"/>
    <mergeCell ref="I7:R7"/>
    <mergeCell ref="I6:R6"/>
    <mergeCell ref="BG45:BH46"/>
    <mergeCell ref="U43:AU44"/>
    <mergeCell ref="U45:AU46"/>
    <mergeCell ref="O45:P45"/>
    <mergeCell ref="Q45:R45"/>
    <mergeCell ref="O46:P46"/>
    <mergeCell ref="BE10:BI10"/>
    <mergeCell ref="B27:R27"/>
    <mergeCell ref="B28:R28"/>
    <mergeCell ref="B29:R29"/>
    <mergeCell ref="B30:R30"/>
    <mergeCell ref="M15:R16"/>
    <mergeCell ref="BC26:BD26"/>
    <mergeCell ref="AS26:AT26"/>
    <mergeCell ref="AU26:AV26"/>
    <mergeCell ref="AW26:AX26"/>
    <mergeCell ref="U47:AU48"/>
    <mergeCell ref="U49:AU50"/>
    <mergeCell ref="BK51:BL51"/>
    <mergeCell ref="BI43:BJ44"/>
    <mergeCell ref="BK43:BL44"/>
    <mergeCell ref="BM43:BN44"/>
    <mergeCell ref="BM54:BN54"/>
    <mergeCell ref="BM52:BN52"/>
    <mergeCell ref="BI53:BJ53"/>
    <mergeCell ref="BK53:BL53"/>
    <mergeCell ref="BM53:BN53"/>
    <mergeCell ref="BI54:BJ54"/>
    <mergeCell ref="BK54:BL54"/>
    <mergeCell ref="BM51:BN51"/>
    <mergeCell ref="AW43:AX44"/>
    <mergeCell ref="AY43:AZ44"/>
    <mergeCell ref="BA43:BB44"/>
    <mergeCell ref="BI45:BJ46"/>
    <mergeCell ref="BK45:BL46"/>
    <mergeCell ref="BM45:BN46"/>
    <mergeCell ref="BG47:BH48"/>
    <mergeCell ref="BI47:BJ48"/>
    <mergeCell ref="BC43:BD44"/>
    <mergeCell ref="BE43:BF44"/>
    <mergeCell ref="O50:P50"/>
    <mergeCell ref="Q50:R50"/>
    <mergeCell ref="O51:P51"/>
    <mergeCell ref="Q51:R51"/>
    <mergeCell ref="BM49:BN50"/>
    <mergeCell ref="U51:AU51"/>
    <mergeCell ref="U52:AU52"/>
    <mergeCell ref="U53:AU53"/>
    <mergeCell ref="U54:AU54"/>
    <mergeCell ref="BA51:BB51"/>
    <mergeCell ref="BC51:BD51"/>
    <mergeCell ref="BE51:BF51"/>
    <mergeCell ref="B48:L48"/>
    <mergeCell ref="B49:L49"/>
    <mergeCell ref="O47:P47"/>
    <mergeCell ref="Q47:R47"/>
    <mergeCell ref="O48:P48"/>
    <mergeCell ref="Q48:R48"/>
    <mergeCell ref="O49:P49"/>
    <mergeCell ref="Q49:R49"/>
    <mergeCell ref="O40:P40"/>
    <mergeCell ref="Q40:R40"/>
    <mergeCell ref="O41:P41"/>
    <mergeCell ref="Q41:R41"/>
    <mergeCell ref="O42:P42"/>
    <mergeCell ref="Q42:R42"/>
    <mergeCell ref="O43:P43"/>
    <mergeCell ref="Q43:R43"/>
    <mergeCell ref="O44:P44"/>
    <mergeCell ref="Q44:R44"/>
    <mergeCell ref="B44:L44"/>
    <mergeCell ref="B45:L45"/>
    <mergeCell ref="B46:L46"/>
    <mergeCell ref="B47:L47"/>
    <mergeCell ref="Q46:R46"/>
    <mergeCell ref="B50:L50"/>
    <mergeCell ref="B51:L51"/>
    <mergeCell ref="B52:L52"/>
    <mergeCell ref="B3:BN3"/>
    <mergeCell ref="U11:Y11"/>
    <mergeCell ref="Z9:AD9"/>
    <mergeCell ref="AG9:AK9"/>
    <mergeCell ref="AL9:AP9"/>
    <mergeCell ref="AS5:AW5"/>
    <mergeCell ref="Z7:AD7"/>
    <mergeCell ref="AG7:AK7"/>
    <mergeCell ref="BJ10:BN10"/>
    <mergeCell ref="Z11:AD11"/>
    <mergeCell ref="AG11:AK11"/>
    <mergeCell ref="AL11:AP11"/>
    <mergeCell ref="AS11:AW11"/>
    <mergeCell ref="AX11:BB11"/>
    <mergeCell ref="BE11:BI11"/>
    <mergeCell ref="BJ11:BN11"/>
    <mergeCell ref="AS9:AW9"/>
    <mergeCell ref="AX9:BB9"/>
    <mergeCell ref="BE9:BI9"/>
    <mergeCell ref="BJ9:BN9"/>
    <mergeCell ref="Z10:AD10"/>
    <mergeCell ref="B2:BN2"/>
    <mergeCell ref="B38:L38"/>
    <mergeCell ref="B39:L39"/>
    <mergeCell ref="BJ7:BN7"/>
    <mergeCell ref="Z8:AD8"/>
    <mergeCell ref="AG8:AK8"/>
    <mergeCell ref="AL8:AP8"/>
    <mergeCell ref="AS8:AW8"/>
    <mergeCell ref="AX8:BB8"/>
    <mergeCell ref="BE8:BI8"/>
    <mergeCell ref="BJ8:BN8"/>
    <mergeCell ref="AX5:BB5"/>
    <mergeCell ref="BE5:BI5"/>
    <mergeCell ref="BJ5:BN5"/>
    <mergeCell ref="Z6:AD6"/>
    <mergeCell ref="AG6:AK6"/>
    <mergeCell ref="AL6:AP6"/>
    <mergeCell ref="AS6:AW6"/>
    <mergeCell ref="AX6:BB6"/>
    <mergeCell ref="BE6:BI6"/>
    <mergeCell ref="BJ6:BN6"/>
    <mergeCell ref="Z5:AD5"/>
    <mergeCell ref="AG5:AK5"/>
    <mergeCell ref="AL5:AP5"/>
    <mergeCell ref="BJ12:BN12"/>
    <mergeCell ref="Z13:AD13"/>
    <mergeCell ref="AG13:AK13"/>
    <mergeCell ref="AL13:AP13"/>
    <mergeCell ref="AS13:AW13"/>
    <mergeCell ref="AX13:BB13"/>
    <mergeCell ref="BE13:BI13"/>
    <mergeCell ref="BJ13:BN13"/>
    <mergeCell ref="Z12:AD12"/>
    <mergeCell ref="AG12:AK12"/>
    <mergeCell ref="AL12:AP12"/>
    <mergeCell ref="AS12:AW12"/>
    <mergeCell ref="AX12:BB12"/>
    <mergeCell ref="BE12:BI12"/>
    <mergeCell ref="BM26:BN26"/>
    <mergeCell ref="BK26:BL26"/>
    <mergeCell ref="BI26:BJ26"/>
    <mergeCell ref="B25:BN25"/>
    <mergeCell ref="F19:I19"/>
    <mergeCell ref="K19:M19"/>
    <mergeCell ref="T19:U19"/>
    <mergeCell ref="B18:BN18"/>
    <mergeCell ref="AG15:AK16"/>
    <mergeCell ref="AL15:AP16"/>
    <mergeCell ref="AS15:AW16"/>
    <mergeCell ref="AX15:BB16"/>
    <mergeCell ref="BE15:BI16"/>
    <mergeCell ref="BJ15:BN16"/>
    <mergeCell ref="U15:Y16"/>
    <mergeCell ref="Z15:AD16"/>
    <mergeCell ref="BG26:BH26"/>
    <mergeCell ref="AI26:AJ26"/>
    <mergeCell ref="AK26:AL26"/>
    <mergeCell ref="AM26:AN26"/>
    <mergeCell ref="AO26:AP26"/>
    <mergeCell ref="AQ26:AR26"/>
    <mergeCell ref="AG26:AH26"/>
    <mergeCell ref="AE26:AF26"/>
    <mergeCell ref="U5:Y5"/>
    <mergeCell ref="U6:Y6"/>
    <mergeCell ref="I5:R5"/>
    <mergeCell ref="B6:G6"/>
    <mergeCell ref="BE26:BF26"/>
    <mergeCell ref="AA26:AB26"/>
    <mergeCell ref="Y26:Z26"/>
    <mergeCell ref="AX7:BB7"/>
    <mergeCell ref="BE7:BI7"/>
    <mergeCell ref="U12:Y12"/>
    <mergeCell ref="U13:Y13"/>
    <mergeCell ref="AL7:AP7"/>
    <mergeCell ref="AS7:AW7"/>
    <mergeCell ref="U7:Y7"/>
    <mergeCell ref="U8:Y8"/>
    <mergeCell ref="U9:Y9"/>
    <mergeCell ref="U10:Y10"/>
    <mergeCell ref="W26:X26"/>
    <mergeCell ref="U26:V26"/>
    <mergeCell ref="AC26:AD26"/>
    <mergeCell ref="AG10:AK10"/>
    <mergeCell ref="AL10:AP10"/>
    <mergeCell ref="AS10:AW10"/>
    <mergeCell ref="AX10:BB10"/>
    <mergeCell ref="AY26:AZ26"/>
    <mergeCell ref="BA26:BB26"/>
    <mergeCell ref="AG28:AH28"/>
    <mergeCell ref="AI28:AJ28"/>
    <mergeCell ref="AK28:AL28"/>
    <mergeCell ref="AM28:AN28"/>
    <mergeCell ref="U27:V27"/>
    <mergeCell ref="W27:X27"/>
    <mergeCell ref="Y27:Z27"/>
    <mergeCell ref="AA27:AB27"/>
    <mergeCell ref="AC27:AD27"/>
    <mergeCell ref="U28:V28"/>
    <mergeCell ref="W28:X28"/>
    <mergeCell ref="Y28:Z28"/>
    <mergeCell ref="AA28:AB28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BC27:BD27"/>
    <mergeCell ref="BE27:BF27"/>
    <mergeCell ref="BG27:BH27"/>
    <mergeCell ref="BI27:BJ27"/>
    <mergeCell ref="BK27:BL27"/>
    <mergeCell ref="BM28:BN28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BA28:BB28"/>
    <mergeCell ref="BC28:BD28"/>
    <mergeCell ref="BE28:BF28"/>
    <mergeCell ref="BG28:BH28"/>
    <mergeCell ref="BI28:BJ28"/>
    <mergeCell ref="BK28:BL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BK29:BL29"/>
    <mergeCell ref="BM29:BN29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Y29:AZ29"/>
    <mergeCell ref="BA29:BB29"/>
    <mergeCell ref="BC29:BD29"/>
    <mergeCell ref="BE29:BF29"/>
    <mergeCell ref="BG29:BH29"/>
    <mergeCell ref="BI29:BJ29"/>
    <mergeCell ref="AM29:AN29"/>
    <mergeCell ref="AO29:AP29"/>
    <mergeCell ref="AQ29:AR29"/>
    <mergeCell ref="AS29:AT29"/>
    <mergeCell ref="AU29:AV29"/>
    <mergeCell ref="AW29:AX29"/>
    <mergeCell ref="BI30:BJ30"/>
    <mergeCell ref="BK30:BL30"/>
    <mergeCell ref="BM30:BN30"/>
    <mergeCell ref="U31:V31"/>
    <mergeCell ref="W31:X31"/>
    <mergeCell ref="Y31:Z31"/>
    <mergeCell ref="AA31:AB31"/>
    <mergeCell ref="AC31:AD31"/>
    <mergeCell ref="AE31:AF31"/>
    <mergeCell ref="AG31:AH31"/>
    <mergeCell ref="AW30:AX30"/>
    <mergeCell ref="AY30:AZ30"/>
    <mergeCell ref="BA30:BB30"/>
    <mergeCell ref="BC30:BD30"/>
    <mergeCell ref="BE30:BF30"/>
    <mergeCell ref="BG30:BH30"/>
    <mergeCell ref="AK30:AL30"/>
    <mergeCell ref="AM30:AN30"/>
    <mergeCell ref="AO30:AP30"/>
    <mergeCell ref="AQ30:AR30"/>
    <mergeCell ref="AS30:AT30"/>
    <mergeCell ref="AU30:AV30"/>
    <mergeCell ref="AY31:AZ31"/>
    <mergeCell ref="BA31:BB31"/>
    <mergeCell ref="BC31:BD31"/>
    <mergeCell ref="BE31:BF31"/>
    <mergeCell ref="AS31:AT31"/>
    <mergeCell ref="B41:L41"/>
    <mergeCell ref="B42:L42"/>
    <mergeCell ref="B43:L43"/>
    <mergeCell ref="B40:L40"/>
    <mergeCell ref="B31:R31"/>
    <mergeCell ref="U36:AU36"/>
    <mergeCell ref="U38:AU38"/>
    <mergeCell ref="U39:AU39"/>
    <mergeCell ref="U40:AU40"/>
    <mergeCell ref="U41:AU41"/>
    <mergeCell ref="U42:AU42"/>
    <mergeCell ref="B36:L36"/>
    <mergeCell ref="O36:P36"/>
    <mergeCell ref="Q36:R36"/>
    <mergeCell ref="O38:P38"/>
    <mergeCell ref="Q38:R38"/>
    <mergeCell ref="O39:P39"/>
    <mergeCell ref="Q39:R39"/>
    <mergeCell ref="B15:L16"/>
    <mergeCell ref="B33:BN33"/>
    <mergeCell ref="B34:BN34"/>
    <mergeCell ref="AW36:AX36"/>
    <mergeCell ref="AY36:AZ36"/>
    <mergeCell ref="BA36:BB36"/>
    <mergeCell ref="BG31:BH31"/>
    <mergeCell ref="BI31:BJ31"/>
    <mergeCell ref="BK31:BL31"/>
    <mergeCell ref="BM31:BN31"/>
    <mergeCell ref="B19:B24"/>
    <mergeCell ref="AH19:AH24"/>
    <mergeCell ref="AU31:AV31"/>
    <mergeCell ref="AW31:AX31"/>
    <mergeCell ref="BC36:BD36"/>
    <mergeCell ref="BE36:BF36"/>
    <mergeCell ref="BG36:BH36"/>
    <mergeCell ref="BK36:BL36"/>
    <mergeCell ref="BM36:BN36"/>
    <mergeCell ref="AI31:AJ31"/>
    <mergeCell ref="AK31:AL31"/>
    <mergeCell ref="AM31:AN31"/>
    <mergeCell ref="AO31:AP31"/>
    <mergeCell ref="AQ31:AR31"/>
    <mergeCell ref="BI42:BJ42"/>
    <mergeCell ref="BI40:BJ40"/>
    <mergeCell ref="BI41:BJ41"/>
    <mergeCell ref="BI36:BJ36"/>
    <mergeCell ref="BI38:BJ38"/>
    <mergeCell ref="BK39:BL39"/>
    <mergeCell ref="BM39:BN39"/>
    <mergeCell ref="BK40:BL40"/>
    <mergeCell ref="BM40:BN40"/>
    <mergeCell ref="BK38:BL38"/>
    <mergeCell ref="BM38:BN38"/>
    <mergeCell ref="BI39:BJ39"/>
    <mergeCell ref="BK41:BL41"/>
    <mergeCell ref="BM41:BN41"/>
    <mergeCell ref="BK42:BL42"/>
    <mergeCell ref="BM42:BN42"/>
    <mergeCell ref="AW38:AX38"/>
    <mergeCell ref="AY38:AZ38"/>
    <mergeCell ref="BA38:BB38"/>
    <mergeCell ref="BC38:BD38"/>
    <mergeCell ref="BE38:BF38"/>
    <mergeCell ref="BG38:BH38"/>
    <mergeCell ref="AW39:AX39"/>
    <mergeCell ref="BI52:BJ52"/>
    <mergeCell ref="BK52:BL52"/>
    <mergeCell ref="BG40:BH40"/>
    <mergeCell ref="BI51:BJ51"/>
    <mergeCell ref="AW41:AX41"/>
    <mergeCell ref="AY41:AZ41"/>
    <mergeCell ref="BA41:BB41"/>
    <mergeCell ref="BC41:BD41"/>
    <mergeCell ref="BE41:BF41"/>
    <mergeCell ref="BG41:BH41"/>
    <mergeCell ref="AY39:AZ39"/>
    <mergeCell ref="BA39:BB39"/>
    <mergeCell ref="BC39:BD39"/>
    <mergeCell ref="BE39:BF39"/>
    <mergeCell ref="BG39:BH39"/>
    <mergeCell ref="AW40:AX40"/>
    <mergeCell ref="AY40:AZ40"/>
    <mergeCell ref="BA40:BB40"/>
    <mergeCell ref="BC40:BD40"/>
    <mergeCell ref="BE40:BF40"/>
    <mergeCell ref="BG42:BH42"/>
    <mergeCell ref="AW42:AX42"/>
    <mergeCell ref="AY42:AZ42"/>
    <mergeCell ref="BA42:BB42"/>
    <mergeCell ref="BC42:BD42"/>
    <mergeCell ref="BE42:BF42"/>
    <mergeCell ref="BG43:BH44"/>
    <mergeCell ref="AW45:AX46"/>
    <mergeCell ref="AW47:AX48"/>
    <mergeCell ref="AY47:AZ48"/>
    <mergeCell ref="BA47:BB48"/>
    <mergeCell ref="BC47:BD48"/>
    <mergeCell ref="BE47:BF48"/>
    <mergeCell ref="AW49:AX50"/>
    <mergeCell ref="BA53:BB53"/>
    <mergeCell ref="BC53:BD53"/>
    <mergeCell ref="BE53:BF53"/>
    <mergeCell ref="AY45:AZ46"/>
    <mergeCell ref="BA45:BB46"/>
    <mergeCell ref="BC45:BD46"/>
    <mergeCell ref="BE45:BF46"/>
    <mergeCell ref="BG51:BH51"/>
    <mergeCell ref="AW52:AX52"/>
    <mergeCell ref="AY52:AZ52"/>
    <mergeCell ref="BA52:BB52"/>
    <mergeCell ref="BC52:BD52"/>
    <mergeCell ref="BE52:BF52"/>
    <mergeCell ref="BG52:BH52"/>
    <mergeCell ref="AW51:AX51"/>
    <mergeCell ref="AY51:AZ51"/>
    <mergeCell ref="B56:R56"/>
    <mergeCell ref="B57:R57"/>
    <mergeCell ref="U56:BN56"/>
    <mergeCell ref="O52:P52"/>
    <mergeCell ref="Q52:R52"/>
    <mergeCell ref="O53:P53"/>
    <mergeCell ref="Q53:R53"/>
    <mergeCell ref="BG53:BH53"/>
    <mergeCell ref="AW54:AX54"/>
    <mergeCell ref="AY54:AZ54"/>
    <mergeCell ref="BA54:BB54"/>
    <mergeCell ref="BC54:BD54"/>
    <mergeCell ref="BE54:BF54"/>
    <mergeCell ref="BG54:BH54"/>
    <mergeCell ref="AW53:AX53"/>
    <mergeCell ref="AY53:AZ53"/>
    <mergeCell ref="O54:P54"/>
    <mergeCell ref="Q54:R54"/>
    <mergeCell ref="B53:L53"/>
    <mergeCell ref="B54:L54"/>
    <mergeCell ref="U57:BN57"/>
  </mergeCells>
  <pageMargins left="0.23622047244094491" right="0.23622047244094491" top="0.15748031496062992" bottom="0.35433070866141736" header="0.31496062992125984" footer="0.31496062992125984"/>
  <pageSetup paperSize="9" scale="3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BG56"/>
  <sheetViews>
    <sheetView tabSelected="1" view="pageBreakPreview" topLeftCell="A27" zoomScale="25" zoomScaleNormal="85" zoomScaleSheetLayoutView="25" workbookViewId="0">
      <selection activeCell="B38" sqref="B38:L38"/>
    </sheetView>
  </sheetViews>
  <sheetFormatPr defaultColWidth="8.90625" defaultRowHeight="14.5" x14ac:dyDescent="0.35"/>
  <cols>
    <col min="1" max="1" width="5.54296875" style="2" customWidth="1"/>
    <col min="2" max="12" width="19.90625" style="1" customWidth="1"/>
    <col min="13" max="13" width="3.36328125" style="1" customWidth="1"/>
    <col min="14" max="14" width="10.54296875" style="1" customWidth="1"/>
    <col min="15" max="16" width="5" style="1" customWidth="1"/>
    <col min="17" max="17" width="1.54296875" style="1" customWidth="1"/>
    <col min="18" max="18" width="1.54296875" style="2" customWidth="1"/>
    <col min="19" max="29" width="7.08984375" style="1" customWidth="1"/>
    <col min="30" max="30" width="7.08984375" style="2" customWidth="1"/>
    <col min="31" max="41" width="7.08984375" style="1" customWidth="1"/>
    <col min="42" max="42" width="7.08984375" style="2" customWidth="1"/>
    <col min="43" max="45" width="7.08984375" style="1" customWidth="1"/>
    <col min="46" max="53" width="5.36328125" style="1" customWidth="1"/>
    <col min="54" max="54" width="5.36328125" style="2" customWidth="1"/>
    <col min="55" max="58" width="5.36328125" style="1" customWidth="1"/>
    <col min="59" max="59" width="8.90625" style="2"/>
    <col min="60" max="16384" width="8.90625" style="1"/>
  </cols>
  <sheetData>
    <row r="2" spans="1:59" s="22" customFormat="1" ht="28.5" x14ac:dyDescent="0.55000000000000004">
      <c r="A2" s="21"/>
      <c r="B2" s="194" t="s">
        <v>6</v>
      </c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21"/>
    </row>
    <row r="3" spans="1:59" s="22" customFormat="1" ht="28.5" x14ac:dyDescent="0.55000000000000004">
      <c r="A3" s="21"/>
      <c r="B3" s="197" t="s">
        <v>72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21"/>
    </row>
    <row r="4" spans="1:59" ht="10.25" customHeight="1" x14ac:dyDescent="0.3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59" ht="36" customHeight="1" x14ac:dyDescent="0.35">
      <c r="I5" s="246" t="s">
        <v>15</v>
      </c>
      <c r="J5" s="246"/>
      <c r="K5" s="246"/>
      <c r="L5" s="246"/>
      <c r="M5" s="246"/>
      <c r="N5" s="246"/>
      <c r="O5" s="246"/>
      <c r="P5" s="246"/>
      <c r="Q5" s="15"/>
      <c r="R5" s="30"/>
      <c r="S5" s="226" t="s">
        <v>16</v>
      </c>
      <c r="T5" s="226"/>
      <c r="U5" s="226"/>
      <c r="V5" s="226"/>
      <c r="W5" s="226"/>
      <c r="X5" s="226"/>
      <c r="Y5" s="226" t="s">
        <v>17</v>
      </c>
      <c r="Z5" s="226"/>
      <c r="AA5" s="226"/>
      <c r="AB5" s="226"/>
      <c r="AC5" s="226"/>
      <c r="AD5" s="226"/>
      <c r="AF5" s="226" t="s">
        <v>18</v>
      </c>
      <c r="AG5" s="226"/>
      <c r="AH5" s="226"/>
      <c r="AI5" s="226"/>
      <c r="AJ5" s="226"/>
      <c r="AK5" s="226"/>
      <c r="AL5" s="226" t="s">
        <v>19</v>
      </c>
      <c r="AM5" s="226"/>
      <c r="AN5" s="226"/>
      <c r="AO5" s="226"/>
      <c r="AP5" s="226"/>
      <c r="AQ5" s="226"/>
      <c r="AS5" s="226" t="s">
        <v>20</v>
      </c>
      <c r="AT5" s="226"/>
      <c r="AU5" s="226"/>
      <c r="AV5" s="226"/>
      <c r="AW5" s="226"/>
      <c r="AX5" s="226"/>
      <c r="AY5" s="226"/>
      <c r="AZ5" s="226" t="s">
        <v>21</v>
      </c>
      <c r="BA5" s="226"/>
      <c r="BB5" s="226"/>
      <c r="BC5" s="226"/>
      <c r="BD5" s="226"/>
      <c r="BE5" s="226"/>
      <c r="BF5" s="226"/>
      <c r="BG5" s="26"/>
    </row>
    <row r="6" spans="1:59" ht="39.75" customHeight="1" x14ac:dyDescent="0.65">
      <c r="B6" s="229" t="s">
        <v>73</v>
      </c>
      <c r="C6" s="229"/>
      <c r="D6" s="229"/>
      <c r="E6" s="229"/>
      <c r="F6" s="229"/>
      <c r="G6" s="229"/>
      <c r="I6" s="245" t="s">
        <v>7</v>
      </c>
      <c r="J6" s="245"/>
      <c r="K6" s="245"/>
      <c r="L6" s="245"/>
      <c r="M6" s="245"/>
      <c r="N6" s="245"/>
      <c r="O6" s="245"/>
      <c r="P6" s="245"/>
      <c r="Q6" s="16"/>
      <c r="R6" s="5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F6" s="226"/>
      <c r="AG6" s="226"/>
      <c r="AH6" s="226"/>
      <c r="AI6" s="226"/>
      <c r="AJ6" s="226"/>
      <c r="AK6" s="226"/>
      <c r="AL6" s="226"/>
      <c r="AM6" s="226"/>
      <c r="AN6" s="226"/>
      <c r="AO6" s="226"/>
      <c r="AP6" s="226"/>
      <c r="AQ6" s="226"/>
      <c r="AS6" s="226"/>
      <c r="AT6" s="226"/>
      <c r="AU6" s="226"/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5"/>
    </row>
    <row r="7" spans="1:59" ht="39.75" customHeight="1" x14ac:dyDescent="0.65">
      <c r="B7" s="34"/>
      <c r="C7" s="34"/>
      <c r="D7" s="34"/>
      <c r="E7" s="34"/>
      <c r="F7" s="35"/>
      <c r="G7" s="35"/>
      <c r="I7" s="245" t="s">
        <v>8</v>
      </c>
      <c r="J7" s="245"/>
      <c r="K7" s="245"/>
      <c r="L7" s="245"/>
      <c r="M7" s="245"/>
      <c r="N7" s="245"/>
      <c r="O7" s="245"/>
      <c r="P7" s="245"/>
      <c r="Q7" s="16"/>
      <c r="R7" s="5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F7" s="226"/>
      <c r="AG7" s="226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S7" s="226"/>
      <c r="AT7" s="226"/>
      <c r="AU7" s="226"/>
      <c r="AV7" s="226"/>
      <c r="AW7" s="226"/>
      <c r="AX7" s="226"/>
      <c r="AY7" s="226"/>
      <c r="AZ7" s="226"/>
      <c r="BA7" s="226"/>
      <c r="BB7" s="226"/>
      <c r="BC7" s="226"/>
      <c r="BD7" s="226"/>
      <c r="BE7" s="226"/>
      <c r="BF7" s="226"/>
      <c r="BG7" s="5"/>
    </row>
    <row r="8" spans="1:59" ht="39.75" customHeight="1" x14ac:dyDescent="0.35">
      <c r="I8" s="245" t="s">
        <v>9</v>
      </c>
      <c r="J8" s="245"/>
      <c r="K8" s="245"/>
      <c r="L8" s="245"/>
      <c r="M8" s="245"/>
      <c r="N8" s="245"/>
      <c r="O8" s="245"/>
      <c r="P8" s="245"/>
      <c r="Q8" s="16"/>
      <c r="R8" s="5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6"/>
      <c r="AQ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5"/>
    </row>
    <row r="9" spans="1:59" ht="39.75" customHeight="1" x14ac:dyDescent="0.65">
      <c r="B9" s="36" t="s">
        <v>3</v>
      </c>
      <c r="C9" s="37"/>
      <c r="D9" s="37"/>
      <c r="E9" s="37"/>
      <c r="F9" s="37"/>
      <c r="G9" s="37"/>
      <c r="I9" s="245" t="s">
        <v>10</v>
      </c>
      <c r="J9" s="245"/>
      <c r="K9" s="245"/>
      <c r="L9" s="245"/>
      <c r="M9" s="245"/>
      <c r="N9" s="245"/>
      <c r="O9" s="245"/>
      <c r="P9" s="245"/>
      <c r="Q9" s="16"/>
      <c r="R9" s="5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5"/>
    </row>
    <row r="10" spans="1:59" ht="39.75" customHeight="1" x14ac:dyDescent="0.65">
      <c r="B10" s="34"/>
      <c r="C10" s="34"/>
      <c r="D10" s="34"/>
      <c r="E10" s="34"/>
      <c r="F10" s="35"/>
      <c r="G10" s="35"/>
      <c r="I10" s="245" t="s">
        <v>11</v>
      </c>
      <c r="J10" s="245"/>
      <c r="K10" s="245"/>
      <c r="L10" s="245"/>
      <c r="M10" s="245"/>
      <c r="N10" s="245"/>
      <c r="O10" s="245"/>
      <c r="P10" s="245"/>
      <c r="Q10" s="16"/>
      <c r="R10" s="5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5"/>
    </row>
    <row r="11" spans="1:59" ht="39.75" customHeight="1" x14ac:dyDescent="0.65">
      <c r="B11" s="2"/>
      <c r="C11" s="34"/>
      <c r="D11" s="34"/>
      <c r="E11" s="34"/>
      <c r="F11" s="34"/>
      <c r="G11" s="34"/>
      <c r="I11" s="245" t="s">
        <v>12</v>
      </c>
      <c r="J11" s="245"/>
      <c r="K11" s="245"/>
      <c r="L11" s="245"/>
      <c r="M11" s="245"/>
      <c r="N11" s="245"/>
      <c r="O11" s="245"/>
      <c r="P11" s="245"/>
      <c r="Q11" s="16"/>
      <c r="R11" s="5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5"/>
    </row>
    <row r="12" spans="1:59" ht="39.75" customHeight="1" x14ac:dyDescent="0.65">
      <c r="B12" s="34"/>
      <c r="C12" s="34"/>
      <c r="D12" s="34"/>
      <c r="E12" s="34"/>
      <c r="F12" s="35"/>
      <c r="G12" s="35"/>
      <c r="I12" s="245" t="s">
        <v>13</v>
      </c>
      <c r="J12" s="245"/>
      <c r="K12" s="245"/>
      <c r="L12" s="245"/>
      <c r="M12" s="245"/>
      <c r="N12" s="245"/>
      <c r="O12" s="245"/>
      <c r="P12" s="245"/>
      <c r="Q12" s="16"/>
      <c r="R12" s="5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5"/>
    </row>
    <row r="13" spans="1:59" ht="39.75" customHeight="1" x14ac:dyDescent="0.65">
      <c r="B13" s="36" t="s">
        <v>4</v>
      </c>
      <c r="C13" s="37"/>
      <c r="D13" s="37"/>
      <c r="E13" s="37"/>
      <c r="F13" s="37"/>
      <c r="G13" s="37"/>
      <c r="I13" s="245" t="s">
        <v>14</v>
      </c>
      <c r="J13" s="245"/>
      <c r="K13" s="245"/>
      <c r="L13" s="245"/>
      <c r="M13" s="245"/>
      <c r="N13" s="245"/>
      <c r="O13" s="245"/>
      <c r="P13" s="245"/>
      <c r="Q13" s="16"/>
      <c r="R13" s="5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5"/>
    </row>
    <row r="14" spans="1:59" ht="8" customHeight="1" x14ac:dyDescent="0.35">
      <c r="S14" s="252"/>
      <c r="T14" s="252"/>
      <c r="U14" s="252"/>
      <c r="V14" s="252"/>
      <c r="W14" s="252"/>
      <c r="X14" s="252"/>
      <c r="Y14" s="252"/>
      <c r="Z14" s="252"/>
      <c r="AA14" s="252"/>
      <c r="AB14" s="252"/>
      <c r="AC14" s="252"/>
      <c r="AD14" s="252"/>
      <c r="AP14" s="1"/>
      <c r="BB14" s="1"/>
    </row>
    <row r="15" spans="1:59" ht="44.25" customHeight="1" x14ac:dyDescent="0.35">
      <c r="B15" s="210" t="s">
        <v>24</v>
      </c>
      <c r="C15" s="211"/>
      <c r="D15" s="211"/>
      <c r="E15" s="211"/>
      <c r="F15" s="211"/>
      <c r="G15" s="211"/>
      <c r="H15" s="211"/>
      <c r="I15" s="211"/>
      <c r="J15" s="211"/>
      <c r="K15" s="211"/>
      <c r="L15" s="212"/>
      <c r="M15" s="247" t="s">
        <v>40</v>
      </c>
      <c r="N15" s="247"/>
      <c r="O15" s="247"/>
      <c r="P15" s="247"/>
      <c r="Q15" s="17"/>
      <c r="R15" s="7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F15" s="233"/>
      <c r="AG15" s="234"/>
      <c r="AH15" s="234"/>
      <c r="AI15" s="234"/>
      <c r="AJ15" s="234"/>
      <c r="AK15" s="237"/>
      <c r="AL15" s="233"/>
      <c r="AM15" s="234"/>
      <c r="AN15" s="234"/>
      <c r="AO15" s="234"/>
      <c r="AP15" s="234"/>
      <c r="AQ15" s="237"/>
      <c r="AS15" s="253"/>
      <c r="AT15" s="253"/>
      <c r="AU15" s="253"/>
      <c r="AV15" s="253"/>
      <c r="AW15" s="253"/>
      <c r="AX15" s="253"/>
      <c r="AY15" s="253"/>
      <c r="AZ15" s="209"/>
      <c r="BA15" s="209"/>
      <c r="BB15" s="209"/>
      <c r="BC15" s="209"/>
      <c r="BD15" s="209"/>
      <c r="BE15" s="209"/>
      <c r="BF15" s="209"/>
    </row>
    <row r="16" spans="1:59" ht="7.25" customHeight="1" x14ac:dyDescent="0.35">
      <c r="M16" s="2"/>
      <c r="N16" s="2"/>
      <c r="O16" s="2"/>
      <c r="P16" s="2"/>
      <c r="Q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2:58" ht="28.5" x14ac:dyDescent="0.35">
      <c r="B17" s="230" t="s">
        <v>25</v>
      </c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0"/>
    </row>
    <row r="18" spans="2:58" ht="29.25" customHeight="1" x14ac:dyDescent="0.35">
      <c r="B18" s="221">
        <v>1</v>
      </c>
      <c r="C18" s="33"/>
      <c r="D18" s="10"/>
      <c r="E18" s="10"/>
      <c r="F18" s="231"/>
      <c r="G18" s="231"/>
      <c r="H18" s="231"/>
      <c r="I18" s="231"/>
      <c r="J18" s="31"/>
      <c r="K18" s="231"/>
      <c r="L18" s="231"/>
      <c r="M18" s="231"/>
      <c r="N18" s="31"/>
      <c r="O18" s="31"/>
      <c r="P18" s="31"/>
      <c r="Q18" s="31"/>
      <c r="R18" s="232"/>
      <c r="S18" s="232"/>
      <c r="T18" s="32"/>
      <c r="U18" s="32"/>
      <c r="V18" s="32"/>
      <c r="W18" s="10"/>
      <c r="X18" s="10"/>
      <c r="Y18" s="10"/>
      <c r="Z18" s="10"/>
      <c r="AA18" s="10"/>
      <c r="AB18" s="10"/>
      <c r="AC18" s="10"/>
      <c r="AD18" s="10"/>
      <c r="AE18" s="10"/>
      <c r="AF18" s="221">
        <v>2</v>
      </c>
      <c r="AG18" s="10"/>
      <c r="AH18" s="10"/>
      <c r="AI18" s="11"/>
      <c r="AJ18" s="10"/>
      <c r="AK18" s="10"/>
      <c r="AL18" s="10"/>
      <c r="AM18" s="10"/>
      <c r="AN18" s="2"/>
      <c r="AO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C18" s="2"/>
      <c r="BD18" s="2"/>
      <c r="BE18" s="2"/>
      <c r="BF18" s="2"/>
    </row>
    <row r="19" spans="2:58" ht="29.25" customHeight="1" x14ac:dyDescent="0.35">
      <c r="B19" s="222"/>
      <c r="C19" s="33"/>
      <c r="M19" s="2"/>
      <c r="N19" s="2"/>
      <c r="O19" s="2"/>
      <c r="P19" s="2"/>
      <c r="Q19" s="2"/>
      <c r="T19" s="2"/>
      <c r="U19" s="2"/>
      <c r="V19" s="2"/>
      <c r="W19" s="2"/>
      <c r="X19" s="2"/>
      <c r="Y19" s="2"/>
      <c r="Z19" s="2"/>
      <c r="AA19" s="2"/>
      <c r="AB19" s="2"/>
      <c r="AC19" s="2"/>
      <c r="AE19" s="2"/>
      <c r="AF19" s="222"/>
      <c r="AG19" s="2"/>
      <c r="AH19" s="2"/>
      <c r="AI19" s="12"/>
      <c r="AJ19" s="2"/>
      <c r="AK19" s="2"/>
      <c r="AL19" s="2"/>
      <c r="AM19" s="2"/>
    </row>
    <row r="20" spans="2:58" ht="29.25" customHeight="1" x14ac:dyDescent="0.35">
      <c r="B20" s="222"/>
      <c r="C20" s="33"/>
      <c r="M20" s="2"/>
      <c r="N20" s="2"/>
      <c r="O20" s="2"/>
      <c r="P20" s="2"/>
      <c r="Q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E20" s="2"/>
      <c r="AF20" s="222"/>
      <c r="AG20" s="2"/>
      <c r="AH20" s="2"/>
      <c r="AI20" s="12"/>
      <c r="AJ20" s="2"/>
      <c r="AK20" s="2"/>
      <c r="AL20" s="2"/>
      <c r="AM20" s="2"/>
    </row>
    <row r="21" spans="2:58" ht="29.25" customHeight="1" x14ac:dyDescent="0.35">
      <c r="B21" s="222"/>
      <c r="C21" s="33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E21" s="2"/>
      <c r="AF21" s="222"/>
      <c r="AG21" s="2"/>
      <c r="AH21" s="2"/>
      <c r="AI21" s="12"/>
      <c r="AJ21" s="2"/>
      <c r="AK21" s="2"/>
      <c r="AL21" s="2"/>
      <c r="AM21" s="2"/>
    </row>
    <row r="22" spans="2:58" ht="29.25" customHeight="1" x14ac:dyDescent="0.35">
      <c r="B22" s="222"/>
      <c r="C22" s="33"/>
      <c r="AF22" s="222"/>
      <c r="AI22" s="12"/>
    </row>
    <row r="23" spans="2:58" ht="6.65" customHeight="1" x14ac:dyDescent="0.35">
      <c r="B23" s="223"/>
      <c r="C23" s="33"/>
      <c r="AF23" s="223"/>
    </row>
    <row r="24" spans="2:58" ht="28.5" x14ac:dyDescent="0.35">
      <c r="B24" s="230" t="s">
        <v>30</v>
      </c>
      <c r="C24" s="230"/>
      <c r="D24" s="230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  <c r="BD24" s="230"/>
      <c r="BE24" s="230"/>
      <c r="BF24" s="230"/>
    </row>
    <row r="25" spans="2:58" s="4" customFormat="1" ht="12.65" customHeight="1" x14ac:dyDescent="0.35">
      <c r="R25" s="30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</row>
    <row r="26" spans="2:58" ht="40.25" customHeight="1" x14ac:dyDescent="0.35">
      <c r="B26" s="248" t="s">
        <v>26</v>
      </c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R26" s="1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09"/>
      <c r="AX26" s="209"/>
      <c r="AY26" s="209"/>
      <c r="AZ26" s="209"/>
      <c r="BA26" s="209"/>
      <c r="BB26" s="209"/>
      <c r="BC26" s="219"/>
      <c r="BD26" s="220"/>
      <c r="BE26" s="219"/>
      <c r="BF26" s="220"/>
    </row>
    <row r="27" spans="2:58" ht="40.25" customHeight="1" x14ac:dyDescent="0.35">
      <c r="B27" s="248" t="s">
        <v>31</v>
      </c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R27" s="1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09"/>
      <c r="AQ27" s="209"/>
      <c r="AR27" s="209"/>
      <c r="AS27" s="209"/>
      <c r="AT27" s="209"/>
      <c r="AU27" s="209"/>
      <c r="AV27" s="209"/>
      <c r="AW27" s="209"/>
      <c r="AX27" s="209"/>
      <c r="AY27" s="209"/>
      <c r="AZ27" s="209"/>
      <c r="BA27" s="209"/>
      <c r="BB27" s="209"/>
      <c r="BC27" s="219"/>
      <c r="BD27" s="220"/>
      <c r="BE27" s="219"/>
      <c r="BF27" s="220"/>
    </row>
    <row r="28" spans="2:58" ht="40.25" customHeight="1" x14ac:dyDescent="0.35">
      <c r="B28" s="248" t="s">
        <v>27</v>
      </c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R28" s="1"/>
      <c r="S28" s="209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09"/>
      <c r="AX28" s="209"/>
      <c r="AY28" s="209"/>
      <c r="AZ28" s="209"/>
      <c r="BA28" s="209"/>
      <c r="BB28" s="209"/>
      <c r="BC28" s="219"/>
      <c r="BD28" s="220"/>
      <c r="BE28" s="219"/>
      <c r="BF28" s="220"/>
    </row>
    <row r="29" spans="2:58" ht="40.25" customHeight="1" x14ac:dyDescent="0.35">
      <c r="B29" s="248" t="s">
        <v>28</v>
      </c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R29" s="1"/>
      <c r="S29" s="209"/>
      <c r="T29" s="209"/>
      <c r="U29" s="209"/>
      <c r="V29" s="209"/>
      <c r="W29" s="209"/>
      <c r="X29" s="209"/>
      <c r="Y29" s="209"/>
      <c r="Z29" s="209"/>
      <c r="AA29" s="209"/>
      <c r="AB29" s="209"/>
      <c r="AC29" s="209"/>
      <c r="AD29" s="209"/>
      <c r="AE29" s="209"/>
      <c r="AF29" s="209"/>
      <c r="AG29" s="209"/>
      <c r="AH29" s="209"/>
      <c r="AI29" s="209"/>
      <c r="AJ29" s="209"/>
      <c r="AK29" s="209"/>
      <c r="AL29" s="209"/>
      <c r="AM29" s="209"/>
      <c r="AN29" s="209"/>
      <c r="AO29" s="209"/>
      <c r="AP29" s="209"/>
      <c r="AQ29" s="209"/>
      <c r="AR29" s="209"/>
      <c r="AS29" s="209"/>
      <c r="AT29" s="209"/>
      <c r="AU29" s="209"/>
      <c r="AV29" s="209"/>
      <c r="AW29" s="209"/>
      <c r="AX29" s="209"/>
      <c r="AY29" s="209"/>
      <c r="AZ29" s="209"/>
      <c r="BA29" s="209"/>
      <c r="BB29" s="209"/>
      <c r="BC29" s="219"/>
      <c r="BD29" s="220"/>
      <c r="BE29" s="219"/>
      <c r="BF29" s="220"/>
    </row>
    <row r="30" spans="2:58" ht="40.25" customHeight="1" x14ac:dyDescent="0.35">
      <c r="B30" s="248" t="s">
        <v>29</v>
      </c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R30" s="1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09"/>
      <c r="AX30" s="209"/>
      <c r="AY30" s="209"/>
      <c r="AZ30" s="209"/>
      <c r="BA30" s="209"/>
      <c r="BB30" s="209"/>
      <c r="BC30" s="219"/>
      <c r="BD30" s="220"/>
      <c r="BE30" s="219"/>
      <c r="BF30" s="220"/>
    </row>
    <row r="31" spans="2:58" ht="8" customHeight="1" x14ac:dyDescent="0.35">
      <c r="R31" s="1"/>
    </row>
    <row r="32" spans="2:58" ht="21" customHeight="1" x14ac:dyDescent="0.35">
      <c r="B32" s="194" t="s">
        <v>32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</row>
    <row r="33" spans="1:59" ht="28.5" x14ac:dyDescent="0.35">
      <c r="B33" s="216" t="s">
        <v>53</v>
      </c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217"/>
      <c r="BC33" s="217"/>
      <c r="BD33" s="217"/>
      <c r="BE33" s="217"/>
      <c r="BF33" s="217"/>
    </row>
    <row r="34" spans="1:59" s="2" customFormat="1" ht="7.25" customHeight="1" x14ac:dyDescent="0.3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</row>
    <row r="35" spans="1:59" ht="12.65" customHeight="1" x14ac:dyDescent="0.35">
      <c r="B35" s="219" t="s">
        <v>44</v>
      </c>
      <c r="C35" s="224"/>
      <c r="D35" s="224"/>
      <c r="E35" s="224"/>
      <c r="F35" s="224"/>
      <c r="G35" s="224"/>
      <c r="H35" s="224"/>
      <c r="I35" s="224"/>
      <c r="J35" s="224"/>
      <c r="K35" s="224"/>
      <c r="L35" s="220"/>
      <c r="M35" s="28"/>
      <c r="N35" s="29" t="s">
        <v>0</v>
      </c>
      <c r="O35" s="219" t="s">
        <v>1</v>
      </c>
      <c r="P35" s="220"/>
      <c r="S35" s="209" t="s">
        <v>41</v>
      </c>
      <c r="T35" s="209"/>
      <c r="U35" s="209"/>
      <c r="V35" s="209"/>
      <c r="W35" s="209"/>
      <c r="X35" s="209"/>
      <c r="Y35" s="209"/>
      <c r="Z35" s="209"/>
      <c r="AA35" s="209"/>
      <c r="AB35" s="209"/>
      <c r="AC35" s="209"/>
      <c r="AD35" s="209"/>
      <c r="AE35" s="209"/>
      <c r="AF35" s="209"/>
      <c r="AG35" s="209"/>
      <c r="AH35" s="209"/>
      <c r="AI35" s="209"/>
      <c r="AJ35" s="209"/>
      <c r="AK35" s="209"/>
      <c r="AL35" s="209"/>
      <c r="AM35" s="209"/>
      <c r="AN35" s="209"/>
      <c r="AO35" s="209"/>
      <c r="AP35" s="209"/>
      <c r="AQ35" s="209"/>
      <c r="AR35" s="209"/>
      <c r="AS35" s="209"/>
      <c r="AT35" s="13"/>
      <c r="AU35" s="209" t="s">
        <v>45</v>
      </c>
      <c r="AV35" s="209"/>
      <c r="AW35" s="219" t="s">
        <v>46</v>
      </c>
      <c r="AX35" s="220"/>
      <c r="AY35" s="219" t="s">
        <v>47</v>
      </c>
      <c r="AZ35" s="220"/>
      <c r="BA35" s="209" t="s">
        <v>48</v>
      </c>
      <c r="BB35" s="209"/>
      <c r="BC35" s="219" t="s">
        <v>49</v>
      </c>
      <c r="BD35" s="220"/>
      <c r="BE35" s="219" t="s">
        <v>50</v>
      </c>
      <c r="BF35" s="220"/>
    </row>
    <row r="36" spans="1:59" ht="8.4" customHeight="1" x14ac:dyDescent="0.3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28"/>
      <c r="N36" s="30"/>
      <c r="O36" s="30"/>
      <c r="P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13"/>
      <c r="AT36" s="13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</row>
    <row r="37" spans="1:59" s="24" customFormat="1" ht="52.25" customHeight="1" x14ac:dyDescent="0.35">
      <c r="A37" s="23"/>
      <c r="B37" s="248" t="s">
        <v>86</v>
      </c>
      <c r="C37" s="249"/>
      <c r="D37" s="249"/>
      <c r="E37" s="249"/>
      <c r="F37" s="249"/>
      <c r="G37" s="249"/>
      <c r="H37" s="249"/>
      <c r="I37" s="249"/>
      <c r="J37" s="249"/>
      <c r="K37" s="249"/>
      <c r="L37" s="249"/>
      <c r="M37" s="28"/>
      <c r="N37" s="27"/>
      <c r="O37" s="200"/>
      <c r="P37" s="201"/>
      <c r="S37" s="248" t="s">
        <v>76</v>
      </c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8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5"/>
      <c r="AU37" s="202"/>
      <c r="AV37" s="202"/>
      <c r="AW37" s="202"/>
      <c r="AX37" s="202"/>
      <c r="AY37" s="202"/>
      <c r="AZ37" s="202"/>
      <c r="BA37" s="202"/>
      <c r="BB37" s="202"/>
      <c r="BC37" s="250"/>
      <c r="BD37" s="251"/>
      <c r="BE37" s="250"/>
      <c r="BF37" s="251"/>
      <c r="BG37" s="23"/>
    </row>
    <row r="38" spans="1:59" s="24" customFormat="1" ht="52.25" customHeight="1" x14ac:dyDescent="0.35">
      <c r="A38" s="23"/>
      <c r="B38" s="203" t="s">
        <v>329</v>
      </c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8"/>
      <c r="N38" s="27"/>
      <c r="O38" s="200"/>
      <c r="P38" s="201"/>
      <c r="S38" s="248" t="s">
        <v>77</v>
      </c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5"/>
      <c r="AU38" s="202"/>
      <c r="AV38" s="202"/>
      <c r="AW38" s="202"/>
      <c r="AX38" s="202"/>
      <c r="AY38" s="202"/>
      <c r="AZ38" s="202"/>
      <c r="BA38" s="202"/>
      <c r="BB38" s="202"/>
      <c r="BC38" s="250"/>
      <c r="BD38" s="251"/>
      <c r="BE38" s="250"/>
      <c r="BF38" s="251"/>
      <c r="BG38" s="23"/>
    </row>
    <row r="39" spans="1:59" s="24" customFormat="1" ht="52.25" customHeight="1" x14ac:dyDescent="0.35">
      <c r="A39" s="23"/>
      <c r="B39" s="249" t="s">
        <v>39</v>
      </c>
      <c r="C39" s="249"/>
      <c r="D39" s="249"/>
      <c r="E39" s="249"/>
      <c r="F39" s="249"/>
      <c r="G39" s="249"/>
      <c r="H39" s="249"/>
      <c r="I39" s="249"/>
      <c r="J39" s="249"/>
      <c r="K39" s="249"/>
      <c r="L39" s="249"/>
      <c r="M39" s="28"/>
      <c r="N39" s="27"/>
      <c r="O39" s="200"/>
      <c r="P39" s="201"/>
      <c r="S39" s="248" t="s">
        <v>78</v>
      </c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5"/>
      <c r="AU39" s="202"/>
      <c r="AV39" s="202"/>
      <c r="AW39" s="202"/>
      <c r="AX39" s="202"/>
      <c r="AY39" s="202"/>
      <c r="AZ39" s="202"/>
      <c r="BA39" s="202"/>
      <c r="BB39" s="202"/>
      <c r="BC39" s="250"/>
      <c r="BD39" s="251"/>
      <c r="BE39" s="250"/>
      <c r="BF39" s="251"/>
      <c r="BG39" s="23"/>
    </row>
    <row r="40" spans="1:59" s="24" customFormat="1" ht="52.25" customHeight="1" x14ac:dyDescent="0.35">
      <c r="A40" s="23"/>
      <c r="B40" s="249" t="s">
        <v>34</v>
      </c>
      <c r="C40" s="249"/>
      <c r="D40" s="249"/>
      <c r="E40" s="249"/>
      <c r="F40" s="249"/>
      <c r="G40" s="249"/>
      <c r="H40" s="249"/>
      <c r="I40" s="249"/>
      <c r="J40" s="249"/>
      <c r="K40" s="249"/>
      <c r="L40" s="249"/>
      <c r="M40" s="28"/>
      <c r="N40" s="27"/>
      <c r="O40" s="200"/>
      <c r="P40" s="201"/>
      <c r="S40" s="248" t="s">
        <v>42</v>
      </c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8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5"/>
      <c r="AU40" s="202"/>
      <c r="AV40" s="202"/>
      <c r="AW40" s="202"/>
      <c r="AX40" s="202"/>
      <c r="AY40" s="202"/>
      <c r="AZ40" s="202"/>
      <c r="BA40" s="202"/>
      <c r="BB40" s="202"/>
      <c r="BC40" s="250"/>
      <c r="BD40" s="251"/>
      <c r="BE40" s="250"/>
      <c r="BF40" s="251"/>
      <c r="BG40" s="23"/>
    </row>
    <row r="41" spans="1:59" s="24" customFormat="1" ht="52.25" customHeight="1" x14ac:dyDescent="0.35">
      <c r="A41" s="23"/>
      <c r="B41" s="248" t="s">
        <v>35</v>
      </c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8"/>
      <c r="N41" s="27"/>
      <c r="O41" s="200"/>
      <c r="P41" s="201"/>
      <c r="S41" s="248" t="s">
        <v>79</v>
      </c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8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5"/>
      <c r="AU41" s="202"/>
      <c r="AV41" s="202"/>
      <c r="AW41" s="202"/>
      <c r="AX41" s="202"/>
      <c r="AY41" s="202"/>
      <c r="AZ41" s="202"/>
      <c r="BA41" s="202"/>
      <c r="BB41" s="202"/>
      <c r="BC41" s="250"/>
      <c r="BD41" s="251"/>
      <c r="BE41" s="250"/>
      <c r="BF41" s="251"/>
      <c r="BG41" s="23"/>
    </row>
    <row r="42" spans="1:59" s="24" customFormat="1" ht="52.25" customHeight="1" x14ac:dyDescent="0.35">
      <c r="A42" s="23"/>
      <c r="B42" s="248" t="s">
        <v>60</v>
      </c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8"/>
      <c r="N42" s="27"/>
      <c r="O42" s="200"/>
      <c r="P42" s="201"/>
      <c r="S42" s="248" t="s">
        <v>80</v>
      </c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  <c r="AE42" s="248"/>
      <c r="AF42" s="248"/>
      <c r="AG42" s="248"/>
      <c r="AH42" s="248"/>
      <c r="AI42" s="248"/>
      <c r="AJ42" s="248"/>
      <c r="AK42" s="248"/>
      <c r="AL42" s="248"/>
      <c r="AM42" s="248"/>
      <c r="AN42" s="248"/>
      <c r="AO42" s="248"/>
      <c r="AP42" s="248"/>
      <c r="AQ42" s="248"/>
      <c r="AR42" s="248"/>
      <c r="AS42" s="248"/>
      <c r="AT42" s="25"/>
      <c r="AU42" s="205"/>
      <c r="AV42" s="206"/>
      <c r="AW42" s="205"/>
      <c r="AX42" s="206"/>
      <c r="AY42" s="205"/>
      <c r="AZ42" s="206"/>
      <c r="BA42" s="205"/>
      <c r="BB42" s="206"/>
      <c r="BC42" s="205"/>
      <c r="BD42" s="206"/>
      <c r="BE42" s="205"/>
      <c r="BF42" s="206"/>
      <c r="BG42" s="23"/>
    </row>
    <row r="43" spans="1:59" s="24" customFormat="1" ht="52.25" customHeight="1" x14ac:dyDescent="0.35">
      <c r="A43" s="23"/>
      <c r="B43" s="249" t="s">
        <v>33</v>
      </c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8"/>
      <c r="N43" s="27"/>
      <c r="O43" s="200"/>
      <c r="P43" s="201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5"/>
      <c r="AU43" s="207"/>
      <c r="AV43" s="208"/>
      <c r="AW43" s="207"/>
      <c r="AX43" s="208"/>
      <c r="AY43" s="207"/>
      <c r="AZ43" s="208"/>
      <c r="BA43" s="207"/>
      <c r="BB43" s="208"/>
      <c r="BC43" s="207"/>
      <c r="BD43" s="208"/>
      <c r="BE43" s="207"/>
      <c r="BF43" s="208"/>
      <c r="BG43" s="23"/>
    </row>
    <row r="44" spans="1:59" s="24" customFormat="1" ht="52.25" customHeight="1" x14ac:dyDescent="0.35">
      <c r="A44" s="23"/>
      <c r="B44" s="249" t="s">
        <v>36</v>
      </c>
      <c r="C44" s="249"/>
      <c r="D44" s="249"/>
      <c r="E44" s="249"/>
      <c r="F44" s="249"/>
      <c r="G44" s="249"/>
      <c r="H44" s="249"/>
      <c r="I44" s="249"/>
      <c r="J44" s="249"/>
      <c r="K44" s="249"/>
      <c r="L44" s="249"/>
      <c r="M44" s="28"/>
      <c r="N44" s="27"/>
      <c r="O44" s="200"/>
      <c r="P44" s="201"/>
      <c r="S44" s="248" t="s">
        <v>81</v>
      </c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5"/>
      <c r="AU44" s="205"/>
      <c r="AV44" s="206"/>
      <c r="AW44" s="205"/>
      <c r="AX44" s="206"/>
      <c r="AY44" s="205"/>
      <c r="AZ44" s="206"/>
      <c r="BA44" s="205"/>
      <c r="BB44" s="206"/>
      <c r="BC44" s="205"/>
      <c r="BD44" s="206"/>
      <c r="BE44" s="205"/>
      <c r="BF44" s="206"/>
      <c r="BG44" s="23"/>
    </row>
    <row r="45" spans="1:59" s="24" customFormat="1" ht="52.25" customHeight="1" x14ac:dyDescent="0.35">
      <c r="A45" s="23"/>
      <c r="B45" s="249" t="s">
        <v>37</v>
      </c>
      <c r="C45" s="249"/>
      <c r="D45" s="249"/>
      <c r="E45" s="249"/>
      <c r="F45" s="249"/>
      <c r="G45" s="249"/>
      <c r="H45" s="249"/>
      <c r="I45" s="249"/>
      <c r="J45" s="249"/>
      <c r="K45" s="249"/>
      <c r="L45" s="249"/>
      <c r="M45" s="28"/>
      <c r="N45" s="27"/>
      <c r="O45" s="200"/>
      <c r="P45" s="201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8"/>
      <c r="AF45" s="248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5"/>
      <c r="AU45" s="207"/>
      <c r="AV45" s="208"/>
      <c r="AW45" s="207"/>
      <c r="AX45" s="208"/>
      <c r="AY45" s="207"/>
      <c r="AZ45" s="208"/>
      <c r="BA45" s="207"/>
      <c r="BB45" s="208"/>
      <c r="BC45" s="207"/>
      <c r="BD45" s="208"/>
      <c r="BE45" s="207"/>
      <c r="BF45" s="208"/>
      <c r="BG45" s="23"/>
    </row>
    <row r="46" spans="1:59" s="24" customFormat="1" ht="52.25" customHeight="1" x14ac:dyDescent="0.35">
      <c r="A46" s="23"/>
      <c r="B46" s="248" t="s">
        <v>85</v>
      </c>
      <c r="C46" s="249"/>
      <c r="D46" s="249"/>
      <c r="E46" s="249"/>
      <c r="F46" s="249"/>
      <c r="G46" s="249"/>
      <c r="H46" s="249"/>
      <c r="I46" s="249"/>
      <c r="J46" s="249"/>
      <c r="K46" s="249"/>
      <c r="L46" s="249"/>
      <c r="M46" s="28"/>
      <c r="N46" s="27"/>
      <c r="O46" s="200"/>
      <c r="P46" s="201"/>
      <c r="S46" s="248" t="s">
        <v>82</v>
      </c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8"/>
      <c r="AF46" s="248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5"/>
      <c r="AU46" s="205"/>
      <c r="AV46" s="206"/>
      <c r="AW46" s="205"/>
      <c r="AX46" s="206"/>
      <c r="AY46" s="205"/>
      <c r="AZ46" s="206"/>
      <c r="BA46" s="205"/>
      <c r="BB46" s="206"/>
      <c r="BC46" s="205"/>
      <c r="BD46" s="206"/>
      <c r="BE46" s="205"/>
      <c r="BF46" s="206"/>
      <c r="BG46" s="23"/>
    </row>
    <row r="47" spans="1:59" s="24" customFormat="1" ht="52.25" customHeight="1" x14ac:dyDescent="0.35">
      <c r="A47" s="23"/>
      <c r="B47" s="248" t="s">
        <v>87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8"/>
      <c r="N47" s="27"/>
      <c r="O47" s="200"/>
      <c r="P47" s="201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5"/>
      <c r="AU47" s="207"/>
      <c r="AV47" s="208"/>
      <c r="AW47" s="207"/>
      <c r="AX47" s="208"/>
      <c r="AY47" s="207"/>
      <c r="AZ47" s="208"/>
      <c r="BA47" s="207"/>
      <c r="BB47" s="208"/>
      <c r="BC47" s="207"/>
      <c r="BD47" s="208"/>
      <c r="BE47" s="207"/>
      <c r="BF47" s="208"/>
      <c r="BG47" s="23"/>
    </row>
    <row r="48" spans="1:59" s="24" customFormat="1" ht="52.25" customHeight="1" x14ac:dyDescent="0.35">
      <c r="A48" s="23"/>
      <c r="B48" s="248" t="s">
        <v>59</v>
      </c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8"/>
      <c r="N48" s="27"/>
      <c r="O48" s="200"/>
      <c r="P48" s="201"/>
      <c r="S48" s="248" t="s">
        <v>83</v>
      </c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5"/>
      <c r="AU48" s="205"/>
      <c r="AV48" s="206"/>
      <c r="AW48" s="205"/>
      <c r="AX48" s="206"/>
      <c r="AY48" s="205"/>
      <c r="AZ48" s="206"/>
      <c r="BA48" s="205"/>
      <c r="BB48" s="206"/>
      <c r="BC48" s="205"/>
      <c r="BD48" s="206"/>
      <c r="BE48" s="205"/>
      <c r="BF48" s="206"/>
      <c r="BG48" s="23"/>
    </row>
    <row r="49" spans="1:59" s="24" customFormat="1" ht="52.25" customHeight="1" x14ac:dyDescent="0.35">
      <c r="A49" s="23"/>
      <c r="B49" s="248" t="s">
        <v>88</v>
      </c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8"/>
      <c r="N49" s="27"/>
      <c r="O49" s="200"/>
      <c r="P49" s="201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5"/>
      <c r="AU49" s="207"/>
      <c r="AV49" s="208"/>
      <c r="AW49" s="207"/>
      <c r="AX49" s="208"/>
      <c r="AY49" s="207"/>
      <c r="AZ49" s="208"/>
      <c r="BA49" s="207"/>
      <c r="BB49" s="208"/>
      <c r="BC49" s="207"/>
      <c r="BD49" s="208"/>
      <c r="BE49" s="207"/>
      <c r="BF49" s="208"/>
      <c r="BG49" s="23"/>
    </row>
    <row r="50" spans="1:59" s="24" customFormat="1" ht="52.25" customHeight="1" x14ac:dyDescent="0.35">
      <c r="A50" s="23"/>
      <c r="B50" s="248" t="s">
        <v>38</v>
      </c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8"/>
      <c r="N50" s="27"/>
      <c r="O50" s="200"/>
      <c r="P50" s="201"/>
      <c r="S50" s="248" t="s">
        <v>84</v>
      </c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8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5"/>
      <c r="AU50" s="202"/>
      <c r="AV50" s="202"/>
      <c r="AW50" s="202"/>
      <c r="AX50" s="202"/>
      <c r="AY50" s="202"/>
      <c r="AZ50" s="202"/>
      <c r="BA50" s="202"/>
      <c r="BB50" s="202"/>
      <c r="BC50" s="250"/>
      <c r="BD50" s="251"/>
      <c r="BE50" s="250"/>
      <c r="BF50" s="251"/>
      <c r="BG50" s="23"/>
    </row>
    <row r="51" spans="1:59" s="24" customFormat="1" ht="52.25" customHeight="1" x14ac:dyDescent="0.35">
      <c r="A51" s="23"/>
      <c r="B51" s="248" t="s">
        <v>57</v>
      </c>
      <c r="C51" s="249"/>
      <c r="D51" s="249"/>
      <c r="E51" s="249"/>
      <c r="F51" s="249"/>
      <c r="G51" s="249"/>
      <c r="H51" s="249"/>
      <c r="I51" s="249"/>
      <c r="J51" s="249"/>
      <c r="K51" s="249"/>
      <c r="L51" s="249"/>
      <c r="M51" s="28"/>
      <c r="N51" s="27"/>
      <c r="O51" s="200"/>
      <c r="P51" s="201"/>
      <c r="S51" s="248" t="s">
        <v>286</v>
      </c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8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5"/>
      <c r="AU51" s="202"/>
      <c r="AV51" s="202"/>
      <c r="AW51" s="202"/>
      <c r="AX51" s="202"/>
      <c r="AY51" s="202"/>
      <c r="AZ51" s="202"/>
      <c r="BA51" s="202"/>
      <c r="BB51" s="202"/>
      <c r="BC51" s="250"/>
      <c r="BD51" s="251"/>
      <c r="BE51" s="250"/>
      <c r="BF51" s="251"/>
      <c r="BG51" s="23"/>
    </row>
    <row r="52" spans="1:59" s="24" customFormat="1" ht="52.25" customHeight="1" x14ac:dyDescent="0.35">
      <c r="A52" s="23"/>
      <c r="B52" s="248" t="s">
        <v>58</v>
      </c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8"/>
      <c r="N52" s="27"/>
      <c r="O52" s="200"/>
      <c r="P52" s="201"/>
      <c r="S52" s="248" t="s">
        <v>285</v>
      </c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5"/>
      <c r="AU52" s="202"/>
      <c r="AV52" s="202"/>
      <c r="AW52" s="202"/>
      <c r="AX52" s="202"/>
      <c r="AY52" s="202"/>
      <c r="AZ52" s="202"/>
      <c r="BA52" s="202"/>
      <c r="BB52" s="202"/>
      <c r="BC52" s="250"/>
      <c r="BD52" s="251"/>
      <c r="BE52" s="250"/>
      <c r="BF52" s="251"/>
      <c r="BG52" s="23"/>
    </row>
    <row r="53" spans="1:59" s="24" customFormat="1" ht="62.5" customHeight="1" x14ac:dyDescent="0.35">
      <c r="A53" s="23"/>
      <c r="B53" s="248" t="s">
        <v>284</v>
      </c>
      <c r="C53" s="249"/>
      <c r="D53" s="249"/>
      <c r="E53" s="249"/>
      <c r="F53" s="249"/>
      <c r="G53" s="249"/>
      <c r="H53" s="249"/>
      <c r="I53" s="249"/>
      <c r="J53" s="249"/>
      <c r="K53" s="249"/>
      <c r="L53" s="249"/>
      <c r="M53" s="28"/>
      <c r="N53" s="27"/>
      <c r="O53" s="200"/>
      <c r="P53" s="201"/>
      <c r="S53" s="248" t="s">
        <v>43</v>
      </c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8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5"/>
      <c r="AU53" s="202"/>
      <c r="AV53" s="202"/>
      <c r="AW53" s="202"/>
      <c r="AX53" s="202"/>
      <c r="AY53" s="202"/>
      <c r="AZ53" s="202"/>
      <c r="BA53" s="202"/>
      <c r="BB53" s="202"/>
      <c r="BC53" s="250"/>
      <c r="BD53" s="251"/>
      <c r="BE53" s="250"/>
      <c r="BF53" s="251"/>
      <c r="BG53" s="23"/>
    </row>
    <row r="54" spans="1:59" ht="6" customHeight="1" x14ac:dyDescent="0.35"/>
    <row r="55" spans="1:59" ht="28.5" x14ac:dyDescent="0.35">
      <c r="B55" s="194" t="s">
        <v>55</v>
      </c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6"/>
      <c r="Q55" s="38"/>
      <c r="R55" s="38"/>
      <c r="S55" s="194" t="s">
        <v>74</v>
      </c>
      <c r="T55" s="195"/>
      <c r="U55" s="195"/>
      <c r="V55" s="195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6"/>
    </row>
    <row r="56" spans="1:59" ht="28.5" x14ac:dyDescent="0.35">
      <c r="B56" s="197" t="s">
        <v>56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9"/>
      <c r="Q56" s="38"/>
      <c r="R56" s="38"/>
      <c r="S56" s="197" t="s">
        <v>75</v>
      </c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198"/>
      <c r="AU56" s="198"/>
      <c r="AV56" s="198"/>
      <c r="AW56" s="198"/>
      <c r="AX56" s="198"/>
      <c r="AY56" s="198"/>
      <c r="AZ56" s="198"/>
      <c r="BA56" s="198"/>
      <c r="BB56" s="198"/>
      <c r="BC56" s="198"/>
      <c r="BD56" s="198"/>
      <c r="BE56" s="198"/>
      <c r="BF56" s="199"/>
    </row>
  </sheetData>
  <mergeCells count="348">
    <mergeCell ref="B55:P55"/>
    <mergeCell ref="B56:P56"/>
    <mergeCell ref="S55:BF55"/>
    <mergeCell ref="S56:BF56"/>
    <mergeCell ref="S12:X12"/>
    <mergeCell ref="Y12:AD12"/>
    <mergeCell ref="S13:X13"/>
    <mergeCell ref="Y13:AD13"/>
    <mergeCell ref="S14:X14"/>
    <mergeCell ref="Y14:AD14"/>
    <mergeCell ref="AS13:AY13"/>
    <mergeCell ref="AZ13:BF13"/>
    <mergeCell ref="AS15:AY15"/>
    <mergeCell ref="AZ15:BF15"/>
    <mergeCell ref="Y15:AD15"/>
    <mergeCell ref="AF12:AK12"/>
    <mergeCell ref="AL12:AQ12"/>
    <mergeCell ref="AF13:AK13"/>
    <mergeCell ref="AL13:AQ13"/>
    <mergeCell ref="AF15:AK15"/>
    <mergeCell ref="AL15:AQ15"/>
    <mergeCell ref="BE50:BF50"/>
    <mergeCell ref="BC50:BD50"/>
    <mergeCell ref="BE52:BF52"/>
    <mergeCell ref="S9:X9"/>
    <mergeCell ref="Y9:AD9"/>
    <mergeCell ref="S10:X10"/>
    <mergeCell ref="Y10:AD10"/>
    <mergeCell ref="S11:X11"/>
    <mergeCell ref="Y11:AD11"/>
    <mergeCell ref="S5:X5"/>
    <mergeCell ref="S6:X6"/>
    <mergeCell ref="Y6:AD6"/>
    <mergeCell ref="S7:X7"/>
    <mergeCell ref="Y7:AD7"/>
    <mergeCell ref="S8:X8"/>
    <mergeCell ref="Y8:AD8"/>
    <mergeCell ref="Y5:AD5"/>
    <mergeCell ref="AS10:AY10"/>
    <mergeCell ref="AZ10:BF10"/>
    <mergeCell ref="AS11:AY11"/>
    <mergeCell ref="AZ11:BF11"/>
    <mergeCell ref="AS12:AY12"/>
    <mergeCell ref="AZ12:BF12"/>
    <mergeCell ref="AS7:AY7"/>
    <mergeCell ref="AZ7:BF7"/>
    <mergeCell ref="AS8:AY8"/>
    <mergeCell ref="AZ8:BF8"/>
    <mergeCell ref="AS9:AY9"/>
    <mergeCell ref="AZ9:BF9"/>
    <mergeCell ref="AF10:AK10"/>
    <mergeCell ref="AL10:AQ10"/>
    <mergeCell ref="AF11:AK11"/>
    <mergeCell ref="AL11:AQ11"/>
    <mergeCell ref="AF5:AK5"/>
    <mergeCell ref="AL5:AQ5"/>
    <mergeCell ref="AF6:AK6"/>
    <mergeCell ref="AL6:AQ6"/>
    <mergeCell ref="AF7:AK7"/>
    <mergeCell ref="AL7:AQ7"/>
    <mergeCell ref="AF8:AK8"/>
    <mergeCell ref="BA30:BB30"/>
    <mergeCell ref="BE26:BF26"/>
    <mergeCell ref="AY25:AZ25"/>
    <mergeCell ref="BA25:BB25"/>
    <mergeCell ref="B24:BF24"/>
    <mergeCell ref="B17:BF17"/>
    <mergeCell ref="B18:B23"/>
    <mergeCell ref="F18:I18"/>
    <mergeCell ref="K18:M18"/>
    <mergeCell ref="BE30:BF30"/>
    <mergeCell ref="BC30:BD30"/>
    <mergeCell ref="BE28:BF28"/>
    <mergeCell ref="BC28:BD28"/>
    <mergeCell ref="BE29:BF29"/>
    <mergeCell ref="BC29:BD29"/>
    <mergeCell ref="BE25:BF25"/>
    <mergeCell ref="BC25:BD25"/>
    <mergeCell ref="BC26:BD26"/>
    <mergeCell ref="BE27:BF27"/>
    <mergeCell ref="BC27:BD27"/>
    <mergeCell ref="AO30:AP30"/>
    <mergeCell ref="AQ30:AR30"/>
    <mergeCell ref="AS30:AT30"/>
    <mergeCell ref="AU30:AV30"/>
    <mergeCell ref="BE46:BF47"/>
    <mergeCell ref="BC46:BD47"/>
    <mergeCell ref="BE48:BF49"/>
    <mergeCell ref="BC48:BD49"/>
    <mergeCell ref="BE41:BF41"/>
    <mergeCell ref="BC41:BD41"/>
    <mergeCell ref="BE44:BF45"/>
    <mergeCell ref="BC44:BD45"/>
    <mergeCell ref="BC42:BD43"/>
    <mergeCell ref="BE42:BF43"/>
    <mergeCell ref="AY52:AZ52"/>
    <mergeCell ref="BA52:BB52"/>
    <mergeCell ref="BE51:BF51"/>
    <mergeCell ref="B52:L52"/>
    <mergeCell ref="O52:P52"/>
    <mergeCell ref="S52:AS52"/>
    <mergeCell ref="AU52:AV52"/>
    <mergeCell ref="AW52:AX52"/>
    <mergeCell ref="B51:L51"/>
    <mergeCell ref="O51:P51"/>
    <mergeCell ref="S51:AS51"/>
    <mergeCell ref="BC52:BD52"/>
    <mergeCell ref="BC51:BD51"/>
    <mergeCell ref="BE53:BF53"/>
    <mergeCell ref="B53:L53"/>
    <mergeCell ref="O53:P53"/>
    <mergeCell ref="S53:AS53"/>
    <mergeCell ref="AU53:AV53"/>
    <mergeCell ref="AW53:AX53"/>
    <mergeCell ref="AY53:AZ53"/>
    <mergeCell ref="BA53:BB53"/>
    <mergeCell ref="BC53:BD53"/>
    <mergeCell ref="B49:L49"/>
    <mergeCell ref="O49:P49"/>
    <mergeCell ref="B50:L50"/>
    <mergeCell ref="O50:P50"/>
    <mergeCell ref="S50:AS50"/>
    <mergeCell ref="AU50:AV50"/>
    <mergeCell ref="AW50:AX50"/>
    <mergeCell ref="AY48:AZ49"/>
    <mergeCell ref="BA48:BB49"/>
    <mergeCell ref="B48:L48"/>
    <mergeCell ref="O48:P48"/>
    <mergeCell ref="S48:AS49"/>
    <mergeCell ref="AU48:AV49"/>
    <mergeCell ref="AW48:AX49"/>
    <mergeCell ref="AY46:AZ47"/>
    <mergeCell ref="BA46:BB47"/>
    <mergeCell ref="AU51:AV51"/>
    <mergeCell ref="AW51:AX51"/>
    <mergeCell ref="AY51:AZ51"/>
    <mergeCell ref="BA51:BB51"/>
    <mergeCell ref="B45:L45"/>
    <mergeCell ref="O45:P45"/>
    <mergeCell ref="B46:L46"/>
    <mergeCell ref="O46:P46"/>
    <mergeCell ref="S46:AS47"/>
    <mergeCell ref="AU46:AV47"/>
    <mergeCell ref="AW46:AX47"/>
    <mergeCell ref="AY44:AZ45"/>
    <mergeCell ref="BA44:BB45"/>
    <mergeCell ref="B44:L44"/>
    <mergeCell ref="O44:P44"/>
    <mergeCell ref="S44:AS45"/>
    <mergeCell ref="AU44:AV45"/>
    <mergeCell ref="AW44:AX45"/>
    <mergeCell ref="B47:L47"/>
    <mergeCell ref="O47:P47"/>
    <mergeCell ref="AY50:AZ50"/>
    <mergeCell ref="BA50:BB50"/>
    <mergeCell ref="B43:L43"/>
    <mergeCell ref="O43:P43"/>
    <mergeCell ref="B42:L42"/>
    <mergeCell ref="O42:P42"/>
    <mergeCell ref="S42:AS43"/>
    <mergeCell ref="AU42:AV43"/>
    <mergeCell ref="AW42:AX43"/>
    <mergeCell ref="AY42:AZ43"/>
    <mergeCell ref="BA42:BB43"/>
    <mergeCell ref="AW41:AX41"/>
    <mergeCell ref="AY41:AZ41"/>
    <mergeCell ref="BA41:BB41"/>
    <mergeCell ref="BC40:BD40"/>
    <mergeCell ref="BE40:BF40"/>
    <mergeCell ref="B41:L41"/>
    <mergeCell ref="O41:P41"/>
    <mergeCell ref="S41:AS41"/>
    <mergeCell ref="AU41:AV41"/>
    <mergeCell ref="B40:L40"/>
    <mergeCell ref="O40:P40"/>
    <mergeCell ref="S40:AS40"/>
    <mergeCell ref="AU40:AV40"/>
    <mergeCell ref="AW40:AX40"/>
    <mergeCell ref="AY40:AZ40"/>
    <mergeCell ref="BA40:BB40"/>
    <mergeCell ref="AW39:AX39"/>
    <mergeCell ref="AY39:AZ39"/>
    <mergeCell ref="BA39:BB39"/>
    <mergeCell ref="BC38:BD38"/>
    <mergeCell ref="BE38:BF38"/>
    <mergeCell ref="B39:L39"/>
    <mergeCell ref="O39:P39"/>
    <mergeCell ref="S39:AS39"/>
    <mergeCell ref="AU39:AV39"/>
    <mergeCell ref="B38:L38"/>
    <mergeCell ref="O38:P38"/>
    <mergeCell ref="S38:AS38"/>
    <mergeCell ref="AU38:AV38"/>
    <mergeCell ref="AW38:AX38"/>
    <mergeCell ref="AY38:AZ38"/>
    <mergeCell ref="BA38:BB38"/>
    <mergeCell ref="BE39:BF39"/>
    <mergeCell ref="BC39:BD39"/>
    <mergeCell ref="AW37:AX37"/>
    <mergeCell ref="AY37:AZ37"/>
    <mergeCell ref="BA37:BB37"/>
    <mergeCell ref="BC35:BD35"/>
    <mergeCell ref="BE35:BF35"/>
    <mergeCell ref="B37:L37"/>
    <mergeCell ref="O37:P37"/>
    <mergeCell ref="S37:AS37"/>
    <mergeCell ref="AU37:AV37"/>
    <mergeCell ref="BE37:BF37"/>
    <mergeCell ref="BC37:BD37"/>
    <mergeCell ref="B32:BF32"/>
    <mergeCell ref="B33:BF33"/>
    <mergeCell ref="B35:L35"/>
    <mergeCell ref="O35:P35"/>
    <mergeCell ref="S35:AS35"/>
    <mergeCell ref="AU35:AV35"/>
    <mergeCell ref="AW35:AX35"/>
    <mergeCell ref="AY35:AZ35"/>
    <mergeCell ref="BA35:BB35"/>
    <mergeCell ref="AW30:AX30"/>
    <mergeCell ref="AY30:AZ30"/>
    <mergeCell ref="AC30:AD30"/>
    <mergeCell ref="AE30:AF30"/>
    <mergeCell ref="AG30:AH30"/>
    <mergeCell ref="AI30:AJ30"/>
    <mergeCell ref="AK30:AL30"/>
    <mergeCell ref="AM30:AN30"/>
    <mergeCell ref="B30:P30"/>
    <mergeCell ref="S30:T30"/>
    <mergeCell ref="U30:V30"/>
    <mergeCell ref="W30:X30"/>
    <mergeCell ref="Y30:Z30"/>
    <mergeCell ref="AA30:AB30"/>
    <mergeCell ref="BA29:BB29"/>
    <mergeCell ref="AO29:AP29"/>
    <mergeCell ref="AQ29:AR29"/>
    <mergeCell ref="AS29:AT29"/>
    <mergeCell ref="AU29:AV29"/>
    <mergeCell ref="AW29:AX29"/>
    <mergeCell ref="AY29:AZ29"/>
    <mergeCell ref="AC29:AD29"/>
    <mergeCell ref="AE29:AF29"/>
    <mergeCell ref="AG29:AH29"/>
    <mergeCell ref="AI29:AJ29"/>
    <mergeCell ref="AK29:AL29"/>
    <mergeCell ref="AM29:AN29"/>
    <mergeCell ref="B29:P29"/>
    <mergeCell ref="S29:T29"/>
    <mergeCell ref="U29:V29"/>
    <mergeCell ref="W29:X29"/>
    <mergeCell ref="Y29:Z29"/>
    <mergeCell ref="AA29:AB29"/>
    <mergeCell ref="BA28:BB28"/>
    <mergeCell ref="AO28:AP28"/>
    <mergeCell ref="AQ28:AR28"/>
    <mergeCell ref="AS28:AT28"/>
    <mergeCell ref="AU28:AV28"/>
    <mergeCell ref="AW28:AX28"/>
    <mergeCell ref="AY28:AZ28"/>
    <mergeCell ref="AC28:AD28"/>
    <mergeCell ref="AE28:AF28"/>
    <mergeCell ref="AG28:AH28"/>
    <mergeCell ref="AI28:AJ28"/>
    <mergeCell ref="AK28:AL28"/>
    <mergeCell ref="AM28:AN28"/>
    <mergeCell ref="B28:P28"/>
    <mergeCell ref="S28:T28"/>
    <mergeCell ref="U28:V28"/>
    <mergeCell ref="W28:X28"/>
    <mergeCell ref="Y28:Z28"/>
    <mergeCell ref="AA28:AB28"/>
    <mergeCell ref="BA27:BB27"/>
    <mergeCell ref="AO27:AP27"/>
    <mergeCell ref="AQ27:AR27"/>
    <mergeCell ref="AS27:AT27"/>
    <mergeCell ref="AU27:AV27"/>
    <mergeCell ref="AW27:AX27"/>
    <mergeCell ref="AY27:AZ27"/>
    <mergeCell ref="AC27:AD27"/>
    <mergeCell ref="AE27:AF27"/>
    <mergeCell ref="AG27:AH27"/>
    <mergeCell ref="AI27:AJ27"/>
    <mergeCell ref="AK27:AL27"/>
    <mergeCell ref="AM27:AN27"/>
    <mergeCell ref="B27:P27"/>
    <mergeCell ref="S27:T27"/>
    <mergeCell ref="U27:V27"/>
    <mergeCell ref="W27:X27"/>
    <mergeCell ref="Y27:Z27"/>
    <mergeCell ref="AA27:AB27"/>
    <mergeCell ref="AS26:AT26"/>
    <mergeCell ref="AU26:AV26"/>
    <mergeCell ref="AW26:AX26"/>
    <mergeCell ref="AY26:AZ26"/>
    <mergeCell ref="BA26:BB26"/>
    <mergeCell ref="AG26:AH26"/>
    <mergeCell ref="AI26:AJ26"/>
    <mergeCell ref="AK26:AL26"/>
    <mergeCell ref="AM26:AN26"/>
    <mergeCell ref="AO26:AP26"/>
    <mergeCell ref="AQ26:AR26"/>
    <mergeCell ref="B26:P26"/>
    <mergeCell ref="S26:T26"/>
    <mergeCell ref="U26:V26"/>
    <mergeCell ref="W26:X26"/>
    <mergeCell ref="Y26:Z26"/>
    <mergeCell ref="AA26:AB26"/>
    <mergeCell ref="AC26:AD26"/>
    <mergeCell ref="AE26:AF26"/>
    <mergeCell ref="AW25:AX25"/>
    <mergeCell ref="AK25:AL25"/>
    <mergeCell ref="AM25:AN25"/>
    <mergeCell ref="AO25:AP25"/>
    <mergeCell ref="AQ25:AR25"/>
    <mergeCell ref="AS25:AT25"/>
    <mergeCell ref="AU25:AV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I9:P9"/>
    <mergeCell ref="I8:P8"/>
    <mergeCell ref="I7:P7"/>
    <mergeCell ref="B6:G6"/>
    <mergeCell ref="I6:P6"/>
    <mergeCell ref="B2:BF2"/>
    <mergeCell ref="B3:BF3"/>
    <mergeCell ref="I5:P5"/>
    <mergeCell ref="R18:S18"/>
    <mergeCell ref="AF18:AF23"/>
    <mergeCell ref="S15:X15"/>
    <mergeCell ref="B15:L15"/>
    <mergeCell ref="M15:P15"/>
    <mergeCell ref="I13:P13"/>
    <mergeCell ref="I12:P12"/>
    <mergeCell ref="I11:P11"/>
    <mergeCell ref="I10:P10"/>
    <mergeCell ref="AS5:AY5"/>
    <mergeCell ref="AZ5:BF5"/>
    <mergeCell ref="AS6:AY6"/>
    <mergeCell ref="AZ6:BF6"/>
    <mergeCell ref="AL8:AQ8"/>
    <mergeCell ref="AF9:AK9"/>
    <mergeCell ref="AL9:AQ9"/>
  </mergeCells>
  <pageMargins left="0.23622047244094491" right="0.23622047244094491" top="0.15748031496062992" bottom="0.35433070866141736" header="0.31496062992125984" footer="0.31496062992125984"/>
  <pageSetup paperSize="9" scale="2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zoomScaleNormal="100" zoomScaleSheetLayoutView="80" workbookViewId="0">
      <selection sqref="A1:O1"/>
    </sheetView>
  </sheetViews>
  <sheetFormatPr defaultRowHeight="13" x14ac:dyDescent="0.35"/>
  <cols>
    <col min="1" max="16384" width="8.7265625" style="40"/>
  </cols>
  <sheetData>
    <row r="1" spans="1:15" s="39" customFormat="1" ht="26.5" customHeight="1" thickBot="1" x14ac:dyDescent="0.4">
      <c r="A1" s="254" t="s">
        <v>89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s="39" customFormat="1" ht="10" customHeight="1" x14ac:dyDescent="0.35">
      <c r="A2" s="257"/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9"/>
    </row>
    <row r="3" spans="1:15" s="39" customFormat="1" ht="10" customHeight="1" x14ac:dyDescent="0.35">
      <c r="A3" s="260"/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</row>
    <row r="4" spans="1:15" s="39" customFormat="1" ht="10" customHeight="1" x14ac:dyDescent="0.35">
      <c r="A4" s="260"/>
      <c r="B4" s="261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2"/>
    </row>
    <row r="5" spans="1:15" s="39" customFormat="1" ht="10" customHeight="1" x14ac:dyDescent="0.35">
      <c r="A5" s="260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2"/>
    </row>
    <row r="6" spans="1:15" s="39" customFormat="1" ht="10" customHeight="1" x14ac:dyDescent="0.35">
      <c r="A6" s="260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2"/>
    </row>
    <row r="7" spans="1:15" s="39" customFormat="1" ht="10" customHeight="1" x14ac:dyDescent="0.35">
      <c r="A7" s="260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2"/>
    </row>
    <row r="8" spans="1:15" s="39" customFormat="1" ht="10" customHeight="1" x14ac:dyDescent="0.35">
      <c r="A8" s="260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2"/>
    </row>
    <row r="9" spans="1:15" x14ac:dyDescent="0.35">
      <c r="A9" s="260"/>
      <c r="B9" s="261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2"/>
    </row>
    <row r="10" spans="1:15" x14ac:dyDescent="0.35">
      <c r="A10" s="260"/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2"/>
    </row>
    <row r="11" spans="1:15" x14ac:dyDescent="0.35">
      <c r="A11" s="260"/>
      <c r="B11" s="261"/>
      <c r="C11" s="261"/>
      <c r="D11" s="261"/>
      <c r="E11" s="261"/>
      <c r="F11" s="261"/>
      <c r="G11" s="261"/>
      <c r="H11" s="261"/>
      <c r="I11" s="261"/>
      <c r="J11" s="261"/>
      <c r="K11" s="261"/>
      <c r="L11" s="261"/>
      <c r="M11" s="261"/>
      <c r="N11" s="261"/>
      <c r="O11" s="262"/>
    </row>
    <row r="12" spans="1:15" x14ac:dyDescent="0.35">
      <c r="A12" s="260"/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2"/>
    </row>
    <row r="13" spans="1:15" x14ac:dyDescent="0.35">
      <c r="A13" s="260"/>
      <c r="B13" s="261"/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2"/>
    </row>
    <row r="14" spans="1:15" x14ac:dyDescent="0.35">
      <c r="A14" s="260"/>
      <c r="B14" s="261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2"/>
    </row>
    <row r="15" spans="1:15" x14ac:dyDescent="0.35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/>
    </row>
    <row r="16" spans="1:15" x14ac:dyDescent="0.35">
      <c r="A16" s="260"/>
      <c r="B16" s="261"/>
      <c r="C16" s="261"/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O16" s="262"/>
    </row>
    <row r="17" spans="1:15" x14ac:dyDescent="0.35">
      <c r="A17" s="260"/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O17" s="262"/>
    </row>
    <row r="18" spans="1:15" x14ac:dyDescent="0.35">
      <c r="A18" s="260"/>
      <c r="B18" s="261"/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2"/>
    </row>
    <row r="19" spans="1:15" x14ac:dyDescent="0.35">
      <c r="A19" s="260"/>
      <c r="B19" s="261"/>
      <c r="C19" s="261"/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O19" s="262"/>
    </row>
    <row r="20" spans="1:15" x14ac:dyDescent="0.35">
      <c r="A20" s="260"/>
      <c r="B20" s="261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</row>
    <row r="21" spans="1:15" x14ac:dyDescent="0.35">
      <c r="A21" s="260"/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2"/>
    </row>
    <row r="22" spans="1:15" x14ac:dyDescent="0.35">
      <c r="A22" s="260"/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2"/>
    </row>
    <row r="23" spans="1:15" x14ac:dyDescent="0.35">
      <c r="A23" s="260"/>
      <c r="B23" s="261"/>
      <c r="C23" s="261"/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O23" s="262"/>
    </row>
    <row r="24" spans="1:15" x14ac:dyDescent="0.35">
      <c r="A24" s="260"/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2"/>
    </row>
    <row r="25" spans="1:15" x14ac:dyDescent="0.35">
      <c r="A25" s="260"/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2"/>
    </row>
    <row r="26" spans="1:15" x14ac:dyDescent="0.3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2"/>
    </row>
    <row r="27" spans="1:15" x14ac:dyDescent="0.35">
      <c r="A27" s="260"/>
      <c r="B27" s="261"/>
      <c r="C27" s="261"/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O27" s="262"/>
    </row>
    <row r="28" spans="1:15" x14ac:dyDescent="0.35">
      <c r="A28" s="260"/>
      <c r="B28" s="261"/>
      <c r="C28" s="261"/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2"/>
    </row>
    <row r="29" spans="1:15" x14ac:dyDescent="0.35">
      <c r="A29" s="260"/>
      <c r="B29" s="261"/>
      <c r="C29" s="261"/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O29" s="262"/>
    </row>
    <row r="30" spans="1:15" x14ac:dyDescent="0.35">
      <c r="A30" s="260"/>
      <c r="B30" s="261"/>
      <c r="C30" s="261"/>
      <c r="D30" s="261"/>
      <c r="E30" s="261"/>
      <c r="F30" s="261"/>
      <c r="G30" s="261"/>
      <c r="H30" s="261"/>
      <c r="I30" s="261"/>
      <c r="J30" s="261"/>
      <c r="K30" s="261"/>
      <c r="L30" s="261"/>
      <c r="M30" s="261"/>
      <c r="N30" s="261"/>
      <c r="O30" s="262"/>
    </row>
    <row r="31" spans="1:15" x14ac:dyDescent="0.35">
      <c r="A31" s="260"/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  <c r="O31" s="262"/>
    </row>
    <row r="32" spans="1:15" x14ac:dyDescent="0.35">
      <c r="A32" s="260"/>
      <c r="B32" s="261"/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2"/>
    </row>
    <row r="33" spans="1:15" x14ac:dyDescent="0.35">
      <c r="A33" s="260"/>
      <c r="B33" s="261"/>
      <c r="C33" s="261"/>
      <c r="D33" s="261"/>
      <c r="E33" s="261"/>
      <c r="F33" s="261"/>
      <c r="G33" s="261"/>
      <c r="H33" s="261"/>
      <c r="I33" s="261"/>
      <c r="J33" s="261"/>
      <c r="K33" s="261"/>
      <c r="L33" s="261"/>
      <c r="M33" s="261"/>
      <c r="N33" s="261"/>
      <c r="O33" s="262"/>
    </row>
    <row r="34" spans="1:15" x14ac:dyDescent="0.35">
      <c r="A34" s="260"/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2"/>
    </row>
    <row r="35" spans="1:15" x14ac:dyDescent="0.35">
      <c r="A35" s="260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261"/>
      <c r="M35" s="261"/>
      <c r="N35" s="261"/>
      <c r="O35" s="262"/>
    </row>
    <row r="36" spans="1:15" x14ac:dyDescent="0.35">
      <c r="A36" s="260"/>
      <c r="B36" s="261"/>
      <c r="C36" s="261"/>
      <c r="D36" s="261"/>
      <c r="E36" s="261"/>
      <c r="F36" s="261"/>
      <c r="G36" s="261"/>
      <c r="H36" s="261"/>
      <c r="I36" s="261"/>
      <c r="J36" s="261"/>
      <c r="K36" s="261"/>
      <c r="L36" s="261"/>
      <c r="M36" s="261"/>
      <c r="N36" s="261"/>
      <c r="O36" s="262"/>
    </row>
    <row r="37" spans="1:15" x14ac:dyDescent="0.35">
      <c r="A37" s="260"/>
      <c r="B37" s="261"/>
      <c r="C37" s="261"/>
      <c r="D37" s="261"/>
      <c r="E37" s="261"/>
      <c r="F37" s="261"/>
      <c r="G37" s="261"/>
      <c r="H37" s="261"/>
      <c r="I37" s="261"/>
      <c r="J37" s="261"/>
      <c r="K37" s="261"/>
      <c r="L37" s="261"/>
      <c r="M37" s="261"/>
      <c r="N37" s="261"/>
      <c r="O37" s="262"/>
    </row>
    <row r="38" spans="1:15" x14ac:dyDescent="0.35">
      <c r="A38" s="260"/>
      <c r="B38" s="261"/>
      <c r="C38" s="261"/>
      <c r="D38" s="261"/>
      <c r="E38" s="261"/>
      <c r="F38" s="261"/>
      <c r="G38" s="261"/>
      <c r="H38" s="261"/>
      <c r="I38" s="261"/>
      <c r="J38" s="261"/>
      <c r="K38" s="261"/>
      <c r="L38" s="261"/>
      <c r="M38" s="261"/>
      <c r="N38" s="261"/>
      <c r="O38" s="262"/>
    </row>
    <row r="39" spans="1:15" x14ac:dyDescent="0.35">
      <c r="A39" s="260"/>
      <c r="B39" s="261"/>
      <c r="C39" s="261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262"/>
    </row>
    <row r="40" spans="1:15" x14ac:dyDescent="0.35">
      <c r="A40" s="260"/>
      <c r="B40" s="261"/>
      <c r="C40" s="261"/>
      <c r="D40" s="261"/>
      <c r="E40" s="261"/>
      <c r="F40" s="261"/>
      <c r="G40" s="261"/>
      <c r="H40" s="261"/>
      <c r="I40" s="261"/>
      <c r="J40" s="261"/>
      <c r="K40" s="261"/>
      <c r="L40" s="261"/>
      <c r="M40" s="261"/>
      <c r="N40" s="261"/>
      <c r="O40" s="262"/>
    </row>
    <row r="41" spans="1:15" x14ac:dyDescent="0.35">
      <c r="A41" s="260"/>
      <c r="B41" s="261"/>
      <c r="C41" s="261"/>
      <c r="D41" s="261"/>
      <c r="E41" s="261"/>
      <c r="F41" s="261"/>
      <c r="G41" s="261"/>
      <c r="H41" s="261"/>
      <c r="I41" s="261"/>
      <c r="J41" s="261"/>
      <c r="K41" s="261"/>
      <c r="L41" s="261"/>
      <c r="M41" s="261"/>
      <c r="N41" s="261"/>
      <c r="O41" s="262"/>
    </row>
    <row r="42" spans="1:15" x14ac:dyDescent="0.35">
      <c r="A42" s="260"/>
      <c r="B42" s="261"/>
      <c r="C42" s="261"/>
      <c r="D42" s="261"/>
      <c r="E42" s="261"/>
      <c r="F42" s="261"/>
      <c r="G42" s="261"/>
      <c r="H42" s="261"/>
      <c r="I42" s="261"/>
      <c r="J42" s="261"/>
      <c r="K42" s="261"/>
      <c r="L42" s="261"/>
      <c r="M42" s="261"/>
      <c r="N42" s="261"/>
      <c r="O42" s="262"/>
    </row>
    <row r="43" spans="1:15" x14ac:dyDescent="0.35">
      <c r="A43" s="260"/>
      <c r="B43" s="261"/>
      <c r="C43" s="261"/>
      <c r="D43" s="261"/>
      <c r="E43" s="261"/>
      <c r="F43" s="261"/>
      <c r="G43" s="261"/>
      <c r="H43" s="261"/>
      <c r="I43" s="261"/>
      <c r="J43" s="261"/>
      <c r="K43" s="261"/>
      <c r="L43" s="261"/>
      <c r="M43" s="261"/>
      <c r="N43" s="261"/>
      <c r="O43" s="262"/>
    </row>
    <row r="44" spans="1:15" x14ac:dyDescent="0.35">
      <c r="A44" s="260"/>
      <c r="B44" s="261"/>
      <c r="C44" s="261"/>
      <c r="D44" s="261"/>
      <c r="E44" s="261"/>
      <c r="F44" s="261"/>
      <c r="G44" s="261"/>
      <c r="H44" s="261"/>
      <c r="I44" s="261"/>
      <c r="J44" s="261"/>
      <c r="K44" s="261"/>
      <c r="L44" s="261"/>
      <c r="M44" s="261"/>
      <c r="N44" s="261"/>
      <c r="O44" s="262"/>
    </row>
    <row r="45" spans="1:15" x14ac:dyDescent="0.35">
      <c r="A45" s="260"/>
      <c r="B45" s="261"/>
      <c r="C45" s="261"/>
      <c r="D45" s="261"/>
      <c r="E45" s="261"/>
      <c r="F45" s="261"/>
      <c r="G45" s="261"/>
      <c r="H45" s="261"/>
      <c r="I45" s="261"/>
      <c r="J45" s="261"/>
      <c r="K45" s="261"/>
      <c r="L45" s="261"/>
      <c r="M45" s="261"/>
      <c r="N45" s="261"/>
      <c r="O45" s="262"/>
    </row>
    <row r="46" spans="1:15" x14ac:dyDescent="0.35">
      <c r="A46" s="260"/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2"/>
    </row>
    <row r="47" spans="1:15" x14ac:dyDescent="0.35">
      <c r="A47" s="260"/>
      <c r="B47" s="261"/>
      <c r="C47" s="261"/>
      <c r="D47" s="261"/>
      <c r="E47" s="261"/>
      <c r="F47" s="261"/>
      <c r="G47" s="261"/>
      <c r="H47" s="261"/>
      <c r="I47" s="261"/>
      <c r="J47" s="261"/>
      <c r="K47" s="261"/>
      <c r="L47" s="261"/>
      <c r="M47" s="261"/>
      <c r="N47" s="261"/>
      <c r="O47" s="262"/>
    </row>
    <row r="48" spans="1:15" x14ac:dyDescent="0.35">
      <c r="A48" s="260"/>
      <c r="B48" s="261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1"/>
      <c r="N48" s="261"/>
      <c r="O48" s="262"/>
    </row>
    <row r="49" spans="1:15" x14ac:dyDescent="0.35">
      <c r="A49" s="260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2"/>
    </row>
    <row r="50" spans="1:15" x14ac:dyDescent="0.35">
      <c r="A50" s="260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/>
      <c r="N50" s="261"/>
      <c r="O50" s="262"/>
    </row>
    <row r="51" spans="1:15" x14ac:dyDescent="0.35">
      <c r="A51" s="260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2"/>
    </row>
    <row r="52" spans="1:15" x14ac:dyDescent="0.35">
      <c r="A52" s="260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2"/>
    </row>
    <row r="53" spans="1:15" x14ac:dyDescent="0.35">
      <c r="A53" s="260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2"/>
    </row>
    <row r="54" spans="1:15" x14ac:dyDescent="0.35">
      <c r="A54" s="260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2"/>
    </row>
    <row r="55" spans="1:15" x14ac:dyDescent="0.35">
      <c r="A55" s="260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2"/>
    </row>
    <row r="56" spans="1:15" x14ac:dyDescent="0.35">
      <c r="A56" s="260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2"/>
    </row>
    <row r="57" spans="1:15" x14ac:dyDescent="0.35">
      <c r="A57" s="260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2"/>
    </row>
    <row r="58" spans="1:15" x14ac:dyDescent="0.35">
      <c r="A58" s="260"/>
      <c r="B58" s="261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2"/>
    </row>
    <row r="59" spans="1:15" x14ac:dyDescent="0.35">
      <c r="A59" s="260"/>
      <c r="B59" s="261"/>
      <c r="C59" s="261"/>
      <c r="D59" s="261"/>
      <c r="E59" s="261"/>
      <c r="F59" s="261"/>
      <c r="G59" s="261"/>
      <c r="H59" s="261"/>
      <c r="I59" s="261"/>
      <c r="J59" s="261"/>
      <c r="K59" s="261"/>
      <c r="L59" s="261"/>
      <c r="M59" s="261"/>
      <c r="N59" s="261"/>
      <c r="O59" s="262"/>
    </row>
    <row r="60" spans="1:15" x14ac:dyDescent="0.35">
      <c r="A60" s="260"/>
      <c r="B60" s="261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2"/>
    </row>
    <row r="61" spans="1:15" x14ac:dyDescent="0.35">
      <c r="A61" s="260"/>
      <c r="B61" s="261"/>
      <c r="C61" s="261"/>
      <c r="D61" s="261"/>
      <c r="E61" s="261"/>
      <c r="F61" s="261"/>
      <c r="G61" s="261"/>
      <c r="H61" s="261"/>
      <c r="I61" s="261"/>
      <c r="J61" s="261"/>
      <c r="K61" s="261"/>
      <c r="L61" s="261"/>
      <c r="M61" s="261"/>
      <c r="N61" s="261"/>
      <c r="O61" s="262"/>
    </row>
    <row r="62" spans="1:15" x14ac:dyDescent="0.35">
      <c r="A62" s="260"/>
      <c r="B62" s="261"/>
      <c r="C62" s="261"/>
      <c r="D62" s="261"/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O62" s="262"/>
    </row>
    <row r="63" spans="1:15" x14ac:dyDescent="0.35">
      <c r="A63" s="260"/>
      <c r="B63" s="261"/>
      <c r="C63" s="261"/>
      <c r="D63" s="261"/>
      <c r="E63" s="261"/>
      <c r="F63" s="261"/>
      <c r="G63" s="261"/>
      <c r="H63" s="261"/>
      <c r="I63" s="261"/>
      <c r="J63" s="261"/>
      <c r="K63" s="261"/>
      <c r="L63" s="261"/>
      <c r="M63" s="261"/>
      <c r="N63" s="261"/>
      <c r="O63" s="262"/>
    </row>
    <row r="64" spans="1:15" x14ac:dyDescent="0.35">
      <c r="A64" s="260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2"/>
    </row>
    <row r="65" spans="1:15" x14ac:dyDescent="0.35">
      <c r="A65" s="260"/>
      <c r="B65" s="261"/>
      <c r="C65" s="261"/>
      <c r="D65" s="261"/>
      <c r="E65" s="261"/>
      <c r="F65" s="261"/>
      <c r="G65" s="261"/>
      <c r="H65" s="261"/>
      <c r="I65" s="261"/>
      <c r="J65" s="261"/>
      <c r="K65" s="261"/>
      <c r="L65" s="261"/>
      <c r="M65" s="261"/>
      <c r="N65" s="261"/>
      <c r="O65" s="262"/>
    </row>
    <row r="66" spans="1:15" x14ac:dyDescent="0.35">
      <c r="A66" s="260"/>
      <c r="B66" s="261"/>
      <c r="C66" s="261"/>
      <c r="D66" s="261"/>
      <c r="E66" s="261"/>
      <c r="F66" s="261"/>
      <c r="G66" s="261"/>
      <c r="H66" s="261"/>
      <c r="I66" s="261"/>
      <c r="J66" s="261"/>
      <c r="K66" s="261"/>
      <c r="L66" s="261"/>
      <c r="M66" s="261"/>
      <c r="N66" s="261"/>
      <c r="O66" s="262"/>
    </row>
    <row r="67" spans="1:15" x14ac:dyDescent="0.35">
      <c r="A67" s="260"/>
      <c r="B67" s="261"/>
      <c r="C67" s="261"/>
      <c r="D67" s="261"/>
      <c r="E67" s="261"/>
      <c r="F67" s="261"/>
      <c r="G67" s="261"/>
      <c r="H67" s="261"/>
      <c r="I67" s="261"/>
      <c r="J67" s="261"/>
      <c r="K67" s="261"/>
      <c r="L67" s="261"/>
      <c r="M67" s="261"/>
      <c r="N67" s="261"/>
      <c r="O67" s="262"/>
    </row>
    <row r="68" spans="1:15" x14ac:dyDescent="0.35">
      <c r="A68" s="260"/>
      <c r="B68" s="261"/>
      <c r="C68" s="261"/>
      <c r="D68" s="261"/>
      <c r="E68" s="261"/>
      <c r="F68" s="261"/>
      <c r="G68" s="261"/>
      <c r="H68" s="261"/>
      <c r="I68" s="261"/>
      <c r="J68" s="261"/>
      <c r="K68" s="261"/>
      <c r="L68" s="261"/>
      <c r="M68" s="261"/>
      <c r="N68" s="261"/>
      <c r="O68" s="262"/>
    </row>
    <row r="69" spans="1:15" x14ac:dyDescent="0.35">
      <c r="A69" s="260"/>
      <c r="B69" s="261"/>
      <c r="C69" s="261"/>
      <c r="D69" s="261"/>
      <c r="E69" s="261"/>
      <c r="F69" s="261"/>
      <c r="G69" s="261"/>
      <c r="H69" s="261"/>
      <c r="I69" s="261"/>
      <c r="J69" s="261"/>
      <c r="K69" s="261"/>
      <c r="L69" s="261"/>
      <c r="M69" s="261"/>
      <c r="N69" s="261"/>
      <c r="O69" s="262"/>
    </row>
    <row r="70" spans="1:15" x14ac:dyDescent="0.35">
      <c r="A70" s="260"/>
      <c r="B70" s="261"/>
      <c r="C70" s="261"/>
      <c r="D70" s="261"/>
      <c r="E70" s="261"/>
      <c r="F70" s="261"/>
      <c r="G70" s="261"/>
      <c r="H70" s="261"/>
      <c r="I70" s="261"/>
      <c r="J70" s="261"/>
      <c r="K70" s="261"/>
      <c r="L70" s="261"/>
      <c r="M70" s="261"/>
      <c r="N70" s="261"/>
      <c r="O70" s="262"/>
    </row>
    <row r="71" spans="1:15" x14ac:dyDescent="0.35">
      <c r="A71" s="260"/>
      <c r="B71" s="261"/>
      <c r="C71" s="261"/>
      <c r="D71" s="261"/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2"/>
    </row>
    <row r="72" spans="1:15" x14ac:dyDescent="0.35">
      <c r="A72" s="260"/>
      <c r="B72" s="261"/>
      <c r="C72" s="261"/>
      <c r="D72" s="261"/>
      <c r="E72" s="261"/>
      <c r="F72" s="261"/>
      <c r="G72" s="261"/>
      <c r="H72" s="261"/>
      <c r="I72" s="261"/>
      <c r="J72" s="261"/>
      <c r="K72" s="261"/>
      <c r="L72" s="261"/>
      <c r="M72" s="261"/>
      <c r="N72" s="261"/>
      <c r="O72" s="262"/>
    </row>
    <row r="73" spans="1:15" x14ac:dyDescent="0.3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2"/>
    </row>
    <row r="74" spans="1:15" x14ac:dyDescent="0.35">
      <c r="A74" s="260"/>
      <c r="B74" s="261"/>
      <c r="C74" s="261"/>
      <c r="D74" s="261"/>
      <c r="E74" s="261"/>
      <c r="F74" s="261"/>
      <c r="G74" s="261"/>
      <c r="H74" s="261"/>
      <c r="I74" s="261"/>
      <c r="J74" s="261"/>
      <c r="K74" s="261"/>
      <c r="L74" s="261"/>
      <c r="M74" s="261"/>
      <c r="N74" s="261"/>
      <c r="O74" s="262"/>
    </row>
    <row r="75" spans="1:15" x14ac:dyDescent="0.35">
      <c r="A75" s="260"/>
      <c r="B75" s="261"/>
      <c r="C75" s="261"/>
      <c r="D75" s="261"/>
      <c r="E75" s="261"/>
      <c r="F75" s="261"/>
      <c r="G75" s="261"/>
      <c r="H75" s="261"/>
      <c r="I75" s="261"/>
      <c r="J75" s="261"/>
      <c r="K75" s="261"/>
      <c r="L75" s="261"/>
      <c r="M75" s="261"/>
      <c r="N75" s="261"/>
      <c r="O75" s="262"/>
    </row>
    <row r="76" spans="1:15" x14ac:dyDescent="0.35">
      <c r="A76" s="260"/>
      <c r="B76" s="261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2"/>
    </row>
    <row r="77" spans="1:15" x14ac:dyDescent="0.35">
      <c r="A77" s="260"/>
      <c r="B77" s="261"/>
      <c r="C77" s="261"/>
      <c r="D77" s="261"/>
      <c r="E77" s="261"/>
      <c r="F77" s="261"/>
      <c r="G77" s="261"/>
      <c r="H77" s="261"/>
      <c r="I77" s="261"/>
      <c r="J77" s="261"/>
      <c r="K77" s="261"/>
      <c r="L77" s="261"/>
      <c r="M77" s="261"/>
      <c r="N77" s="261"/>
      <c r="O77" s="262"/>
    </row>
    <row r="78" spans="1:15" x14ac:dyDescent="0.35">
      <c r="A78" s="260"/>
      <c r="B78" s="261"/>
      <c r="C78" s="261"/>
      <c r="D78" s="261"/>
      <c r="E78" s="261"/>
      <c r="F78" s="261"/>
      <c r="G78" s="261"/>
      <c r="H78" s="261"/>
      <c r="I78" s="261"/>
      <c r="J78" s="261"/>
      <c r="K78" s="261"/>
      <c r="L78" s="261"/>
      <c r="M78" s="261"/>
      <c r="N78" s="261"/>
      <c r="O78" s="262"/>
    </row>
  </sheetData>
  <mergeCells count="232">
    <mergeCell ref="A78:G78"/>
    <mergeCell ref="H78:I78"/>
    <mergeCell ref="J78:O78"/>
    <mergeCell ref="A76:G76"/>
    <mergeCell ref="H76:I76"/>
    <mergeCell ref="J76:O76"/>
    <mergeCell ref="A77:G77"/>
    <mergeCell ref="H77:I77"/>
    <mergeCell ref="J77:O77"/>
    <mergeCell ref="A74:G74"/>
    <mergeCell ref="H74:I74"/>
    <mergeCell ref="J74:O74"/>
    <mergeCell ref="A75:G75"/>
    <mergeCell ref="H75:I75"/>
    <mergeCell ref="J75:O75"/>
    <mergeCell ref="A72:G72"/>
    <mergeCell ref="H72:I72"/>
    <mergeCell ref="J72:O72"/>
    <mergeCell ref="A73:G73"/>
    <mergeCell ref="H73:I73"/>
    <mergeCell ref="J73:O73"/>
    <mergeCell ref="A70:G70"/>
    <mergeCell ref="H70:I70"/>
    <mergeCell ref="J70:O70"/>
    <mergeCell ref="A71:G71"/>
    <mergeCell ref="H71:I71"/>
    <mergeCell ref="J71:O71"/>
    <mergeCell ref="A68:G68"/>
    <mergeCell ref="H68:I68"/>
    <mergeCell ref="J68:O68"/>
    <mergeCell ref="A69:G69"/>
    <mergeCell ref="H69:I69"/>
    <mergeCell ref="J69:O69"/>
    <mergeCell ref="A66:G66"/>
    <mergeCell ref="H66:I66"/>
    <mergeCell ref="J66:O66"/>
    <mergeCell ref="A67:G67"/>
    <mergeCell ref="H67:I67"/>
    <mergeCell ref="J67:O67"/>
    <mergeCell ref="A64:G64"/>
    <mergeCell ref="H64:I64"/>
    <mergeCell ref="J64:O64"/>
    <mergeCell ref="A65:G65"/>
    <mergeCell ref="H65:I65"/>
    <mergeCell ref="J65:O65"/>
    <mergeCell ref="A62:G62"/>
    <mergeCell ref="H62:I62"/>
    <mergeCell ref="J62:O62"/>
    <mergeCell ref="A63:G63"/>
    <mergeCell ref="H63:I63"/>
    <mergeCell ref="J63:O63"/>
    <mergeCell ref="A60:G60"/>
    <mergeCell ref="H60:I60"/>
    <mergeCell ref="J60:O60"/>
    <mergeCell ref="A61:G61"/>
    <mergeCell ref="H61:I61"/>
    <mergeCell ref="J61:O61"/>
    <mergeCell ref="A58:G58"/>
    <mergeCell ref="H58:I58"/>
    <mergeCell ref="J58:O58"/>
    <mergeCell ref="A59:G59"/>
    <mergeCell ref="H59:I59"/>
    <mergeCell ref="J59:O59"/>
    <mergeCell ref="A56:G56"/>
    <mergeCell ref="H56:I56"/>
    <mergeCell ref="J56:O56"/>
    <mergeCell ref="A57:G57"/>
    <mergeCell ref="H57:I57"/>
    <mergeCell ref="J57:O57"/>
    <mergeCell ref="A54:G54"/>
    <mergeCell ref="H54:I54"/>
    <mergeCell ref="J54:O54"/>
    <mergeCell ref="A55:G55"/>
    <mergeCell ref="H55:I55"/>
    <mergeCell ref="J55:O55"/>
    <mergeCell ref="A52:G52"/>
    <mergeCell ref="H52:I52"/>
    <mergeCell ref="J52:O52"/>
    <mergeCell ref="A53:G53"/>
    <mergeCell ref="H53:I53"/>
    <mergeCell ref="J53:O53"/>
    <mergeCell ref="A50:G50"/>
    <mergeCell ref="H50:I50"/>
    <mergeCell ref="J50:O50"/>
    <mergeCell ref="A51:G51"/>
    <mergeCell ref="H51:I51"/>
    <mergeCell ref="J51:O51"/>
    <mergeCell ref="A48:G48"/>
    <mergeCell ref="H48:I48"/>
    <mergeCell ref="J48:O48"/>
    <mergeCell ref="A49:G49"/>
    <mergeCell ref="H49:I49"/>
    <mergeCell ref="J49:O49"/>
    <mergeCell ref="A46:G46"/>
    <mergeCell ref="H46:I46"/>
    <mergeCell ref="J46:O46"/>
    <mergeCell ref="A47:G47"/>
    <mergeCell ref="H47:I47"/>
    <mergeCell ref="J47:O47"/>
    <mergeCell ref="A44:G44"/>
    <mergeCell ref="H44:I44"/>
    <mergeCell ref="J44:O44"/>
    <mergeCell ref="A45:G45"/>
    <mergeCell ref="H45:I45"/>
    <mergeCell ref="J45:O45"/>
    <mergeCell ref="A42:G42"/>
    <mergeCell ref="H42:I42"/>
    <mergeCell ref="J42:O42"/>
    <mergeCell ref="A43:G43"/>
    <mergeCell ref="H43:I43"/>
    <mergeCell ref="J43:O43"/>
    <mergeCell ref="A40:G40"/>
    <mergeCell ref="H40:I40"/>
    <mergeCell ref="J40:O40"/>
    <mergeCell ref="A41:G41"/>
    <mergeCell ref="H41:I41"/>
    <mergeCell ref="J41:O41"/>
    <mergeCell ref="A38:G38"/>
    <mergeCell ref="H38:I38"/>
    <mergeCell ref="J38:O38"/>
    <mergeCell ref="A39:G39"/>
    <mergeCell ref="H39:I39"/>
    <mergeCell ref="J39:O39"/>
    <mergeCell ref="A36:G36"/>
    <mergeCell ref="H36:I36"/>
    <mergeCell ref="J36:O36"/>
    <mergeCell ref="A37:G37"/>
    <mergeCell ref="H37:I37"/>
    <mergeCell ref="J37:O37"/>
    <mergeCell ref="A34:G34"/>
    <mergeCell ref="H34:I34"/>
    <mergeCell ref="J34:O34"/>
    <mergeCell ref="A35:G35"/>
    <mergeCell ref="H35:I35"/>
    <mergeCell ref="J35:O35"/>
    <mergeCell ref="A32:G32"/>
    <mergeCell ref="H32:I32"/>
    <mergeCell ref="J32:O32"/>
    <mergeCell ref="A33:G33"/>
    <mergeCell ref="H33:I33"/>
    <mergeCell ref="J33:O33"/>
    <mergeCell ref="A30:G30"/>
    <mergeCell ref="H30:I30"/>
    <mergeCell ref="J30:O30"/>
    <mergeCell ref="A31:G31"/>
    <mergeCell ref="H31:I31"/>
    <mergeCell ref="J31:O31"/>
    <mergeCell ref="A28:G28"/>
    <mergeCell ref="H28:I28"/>
    <mergeCell ref="J28:O28"/>
    <mergeCell ref="A29:G29"/>
    <mergeCell ref="H29:I29"/>
    <mergeCell ref="J29:O29"/>
    <mergeCell ref="A26:G26"/>
    <mergeCell ref="H26:I26"/>
    <mergeCell ref="J26:O26"/>
    <mergeCell ref="A27:G27"/>
    <mergeCell ref="H27:I27"/>
    <mergeCell ref="J27:O27"/>
    <mergeCell ref="A24:G24"/>
    <mergeCell ref="H24:I24"/>
    <mergeCell ref="J24:O24"/>
    <mergeCell ref="A25:G25"/>
    <mergeCell ref="H25:I25"/>
    <mergeCell ref="J25:O25"/>
    <mergeCell ref="A22:G22"/>
    <mergeCell ref="H22:I22"/>
    <mergeCell ref="J22:O22"/>
    <mergeCell ref="A23:G23"/>
    <mergeCell ref="H23:I23"/>
    <mergeCell ref="J23:O23"/>
    <mergeCell ref="A20:G20"/>
    <mergeCell ref="H20:I20"/>
    <mergeCell ref="J20:O20"/>
    <mergeCell ref="A21:G21"/>
    <mergeCell ref="H21:I21"/>
    <mergeCell ref="J21:O21"/>
    <mergeCell ref="A18:G18"/>
    <mergeCell ref="H18:I18"/>
    <mergeCell ref="J18:O18"/>
    <mergeCell ref="A19:G19"/>
    <mergeCell ref="H19:I19"/>
    <mergeCell ref="J19:O19"/>
    <mergeCell ref="A16:G16"/>
    <mergeCell ref="H16:I16"/>
    <mergeCell ref="J16:O16"/>
    <mergeCell ref="A17:G17"/>
    <mergeCell ref="H17:I17"/>
    <mergeCell ref="J17:O17"/>
    <mergeCell ref="A14:G14"/>
    <mergeCell ref="H14:I14"/>
    <mergeCell ref="J14:O14"/>
    <mergeCell ref="A15:G15"/>
    <mergeCell ref="H15:I15"/>
    <mergeCell ref="J15:O15"/>
    <mergeCell ref="A12:G12"/>
    <mergeCell ref="H12:I12"/>
    <mergeCell ref="J12:O12"/>
    <mergeCell ref="A13:G13"/>
    <mergeCell ref="H13:I13"/>
    <mergeCell ref="J13:O13"/>
    <mergeCell ref="A10:G10"/>
    <mergeCell ref="H10:I10"/>
    <mergeCell ref="J10:O10"/>
    <mergeCell ref="A11:G11"/>
    <mergeCell ref="H11:I11"/>
    <mergeCell ref="J11:O11"/>
    <mergeCell ref="A8:G8"/>
    <mergeCell ref="H8:I8"/>
    <mergeCell ref="J8:O8"/>
    <mergeCell ref="A9:G9"/>
    <mergeCell ref="H9:I9"/>
    <mergeCell ref="J9:O9"/>
    <mergeCell ref="A7:G7"/>
    <mergeCell ref="H7:I7"/>
    <mergeCell ref="J7:O7"/>
    <mergeCell ref="A4:G4"/>
    <mergeCell ref="H4:I4"/>
    <mergeCell ref="J4:O4"/>
    <mergeCell ref="A5:G5"/>
    <mergeCell ref="H5:I5"/>
    <mergeCell ref="J5:O5"/>
    <mergeCell ref="A1:O1"/>
    <mergeCell ref="A2:G2"/>
    <mergeCell ref="H2:I2"/>
    <mergeCell ref="J2:O2"/>
    <mergeCell ref="A3:G3"/>
    <mergeCell ref="H3:I3"/>
    <mergeCell ref="J3:O3"/>
    <mergeCell ref="A6:G6"/>
    <mergeCell ref="H6:I6"/>
    <mergeCell ref="J6:O6"/>
  </mergeCells>
  <pageMargins left="0.7" right="0.7" top="0.75" bottom="0.75" header="0.3" footer="0.3"/>
  <pageSetup paperSize="9" scale="6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opLeftCell="B1" zoomScale="120" zoomScaleNormal="120" zoomScaleSheetLayoutView="110" zoomScalePageLayoutView="115" workbookViewId="0">
      <selection activeCell="D5" sqref="D5"/>
    </sheetView>
  </sheetViews>
  <sheetFormatPr defaultColWidth="8.1796875" defaultRowHeight="13" x14ac:dyDescent="0.35"/>
  <cols>
    <col min="1" max="1" width="2.81640625" style="40" hidden="1" customWidth="1"/>
    <col min="2" max="2" width="10.26953125" style="40" customWidth="1"/>
    <col min="3" max="4" width="9" style="40" customWidth="1"/>
    <col min="5" max="5" width="9.08984375" style="40" customWidth="1"/>
    <col min="6" max="10" width="8.1796875" style="40" customWidth="1"/>
    <col min="11" max="12" width="11.7265625" style="40" customWidth="1"/>
    <col min="13" max="13" width="13.453125" style="40" customWidth="1"/>
    <col min="14" max="14" width="11.7265625" style="40" customWidth="1"/>
    <col min="15" max="16384" width="8.1796875" style="40"/>
  </cols>
  <sheetData>
    <row r="1" spans="2:14" ht="15.5" thickBot="1" x14ac:dyDescent="0.4">
      <c r="B1" s="263" t="s">
        <v>90</v>
      </c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5"/>
    </row>
    <row r="2" spans="2:14" ht="30.5" thickBot="1" x14ac:dyDescent="0.4">
      <c r="B2" s="41" t="s">
        <v>91</v>
      </c>
      <c r="C2" s="42" t="s">
        <v>92</v>
      </c>
      <c r="D2" s="42" t="s">
        <v>93</v>
      </c>
      <c r="E2" s="42" t="s">
        <v>94</v>
      </c>
      <c r="F2" s="42" t="s">
        <v>95</v>
      </c>
      <c r="G2" s="42" t="s">
        <v>96</v>
      </c>
      <c r="H2" s="42" t="s">
        <v>97</v>
      </c>
      <c r="I2" s="42" t="s">
        <v>98</v>
      </c>
      <c r="J2" s="42" t="s">
        <v>10</v>
      </c>
      <c r="K2" s="42" t="s">
        <v>99</v>
      </c>
      <c r="L2" s="42" t="s">
        <v>100</v>
      </c>
      <c r="M2" s="42" t="s">
        <v>101</v>
      </c>
      <c r="N2" s="43" t="s">
        <v>102</v>
      </c>
    </row>
    <row r="3" spans="2:14" x14ac:dyDescent="0.35">
      <c r="B3" s="44"/>
      <c r="C3" s="45"/>
      <c r="D3" s="45"/>
      <c r="E3" s="45"/>
      <c r="F3" s="45"/>
      <c r="G3" s="45"/>
      <c r="H3" s="266"/>
      <c r="I3" s="45"/>
      <c r="J3" s="45"/>
      <c r="K3" s="45"/>
      <c r="L3" s="45"/>
      <c r="M3" s="45"/>
      <c r="N3" s="46"/>
    </row>
    <row r="4" spans="2:14" x14ac:dyDescent="0.3">
      <c r="B4" s="47"/>
      <c r="C4" s="48"/>
      <c r="D4" s="48"/>
      <c r="E4" s="48"/>
      <c r="F4" s="48"/>
      <c r="G4" s="48"/>
      <c r="H4" s="267"/>
      <c r="I4" s="48"/>
      <c r="J4" s="48"/>
      <c r="K4" s="48"/>
      <c r="L4" s="48"/>
      <c r="M4" s="48"/>
      <c r="N4" s="49"/>
    </row>
    <row r="5" spans="2:14" x14ac:dyDescent="0.3">
      <c r="B5" s="47"/>
      <c r="C5" s="48"/>
      <c r="D5" s="48"/>
      <c r="E5" s="48"/>
      <c r="F5" s="48"/>
      <c r="G5" s="48"/>
      <c r="H5" s="267"/>
      <c r="I5" s="48"/>
      <c r="J5" s="48"/>
      <c r="K5" s="48"/>
      <c r="L5" s="48"/>
      <c r="M5" s="48"/>
      <c r="N5" s="49"/>
    </row>
    <row r="6" spans="2:14" x14ac:dyDescent="0.3">
      <c r="B6" s="47"/>
      <c r="C6" s="48"/>
      <c r="D6" s="48"/>
      <c r="E6" s="48"/>
      <c r="F6" s="48"/>
      <c r="G6" s="48"/>
      <c r="H6" s="267"/>
      <c r="I6" s="48"/>
      <c r="J6" s="48"/>
      <c r="K6" s="48"/>
      <c r="L6" s="48"/>
      <c r="M6" s="48"/>
      <c r="N6" s="49"/>
    </row>
    <row r="7" spans="2:14" x14ac:dyDescent="0.3">
      <c r="B7" s="47"/>
      <c r="C7" s="48"/>
      <c r="D7" s="48"/>
      <c r="E7" s="48"/>
      <c r="F7" s="48"/>
      <c r="G7" s="48"/>
      <c r="H7" s="267"/>
      <c r="I7" s="48"/>
      <c r="J7" s="48"/>
      <c r="K7" s="48"/>
      <c r="L7" s="48"/>
      <c r="M7" s="48"/>
      <c r="N7" s="49"/>
    </row>
    <row r="8" spans="2:14" x14ac:dyDescent="0.3">
      <c r="B8" s="47"/>
      <c r="C8" s="48"/>
      <c r="D8" s="48"/>
      <c r="E8" s="48"/>
      <c r="F8" s="48"/>
      <c r="G8" s="48"/>
      <c r="H8" s="267"/>
      <c r="I8" s="48"/>
      <c r="J8" s="48"/>
      <c r="K8" s="48"/>
      <c r="L8" s="48"/>
      <c r="M8" s="48"/>
      <c r="N8" s="49"/>
    </row>
    <row r="9" spans="2:14" x14ac:dyDescent="0.3">
      <c r="B9" s="47"/>
      <c r="C9" s="48"/>
      <c r="D9" s="48"/>
      <c r="E9" s="48"/>
      <c r="F9" s="48"/>
      <c r="G9" s="48"/>
      <c r="H9" s="267"/>
      <c r="I9" s="48"/>
      <c r="J9" s="48"/>
      <c r="K9" s="48"/>
      <c r="L9" s="48"/>
      <c r="M9" s="48"/>
      <c r="N9" s="49"/>
    </row>
    <row r="10" spans="2:14" x14ac:dyDescent="0.3">
      <c r="B10" s="47"/>
      <c r="C10" s="48"/>
      <c r="D10" s="48"/>
      <c r="E10" s="48"/>
      <c r="F10" s="48"/>
      <c r="G10" s="48"/>
      <c r="H10" s="267"/>
      <c r="I10" s="48"/>
      <c r="J10" s="48"/>
      <c r="K10" s="48"/>
      <c r="L10" s="48"/>
      <c r="M10" s="48"/>
      <c r="N10" s="49"/>
    </row>
    <row r="11" spans="2:14" ht="13.5" thickBot="1" x14ac:dyDescent="0.35">
      <c r="B11" s="50"/>
      <c r="C11" s="51"/>
      <c r="D11" s="51"/>
      <c r="E11" s="51"/>
      <c r="F11" s="51"/>
      <c r="G11" s="51"/>
      <c r="H11" s="268"/>
      <c r="I11" s="51"/>
      <c r="J11" s="51"/>
      <c r="K11" s="51"/>
      <c r="L11" s="51"/>
      <c r="M11" s="51"/>
      <c r="N11" s="52"/>
    </row>
    <row r="12" spans="2:14" ht="13" customHeight="1" thickBot="1" x14ac:dyDescent="0.4">
      <c r="B12" s="102" t="s">
        <v>103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4"/>
    </row>
    <row r="13" spans="2:14" x14ac:dyDescent="0.3">
      <c r="B13" s="53"/>
      <c r="C13" s="54"/>
      <c r="D13" s="54"/>
      <c r="E13" s="54"/>
      <c r="F13" s="54"/>
      <c r="G13" s="54"/>
      <c r="H13" s="269"/>
      <c r="I13" s="54"/>
      <c r="J13" s="54"/>
      <c r="K13" s="54"/>
      <c r="L13" s="54"/>
      <c r="M13" s="54"/>
      <c r="N13" s="55"/>
    </row>
    <row r="14" spans="2:14" x14ac:dyDescent="0.3">
      <c r="B14" s="47"/>
      <c r="C14" s="48"/>
      <c r="D14" s="48"/>
      <c r="E14" s="48"/>
      <c r="F14" s="48"/>
      <c r="G14" s="48"/>
      <c r="H14" s="270"/>
      <c r="I14" s="48"/>
      <c r="J14" s="48"/>
      <c r="K14" s="48"/>
      <c r="L14" s="48"/>
      <c r="M14" s="48"/>
      <c r="N14" s="49"/>
    </row>
    <row r="15" spans="2:14" x14ac:dyDescent="0.3">
      <c r="B15" s="47"/>
      <c r="C15" s="48"/>
      <c r="D15" s="48"/>
      <c r="E15" s="48"/>
      <c r="F15" s="48"/>
      <c r="G15" s="48"/>
      <c r="H15" s="270"/>
      <c r="I15" s="48"/>
      <c r="J15" s="48"/>
      <c r="K15" s="48"/>
      <c r="L15" s="48"/>
      <c r="M15" s="48"/>
      <c r="N15" s="49"/>
    </row>
    <row r="16" spans="2:14" x14ac:dyDescent="0.3">
      <c r="B16" s="47"/>
      <c r="C16" s="48"/>
      <c r="D16" s="48"/>
      <c r="E16" s="48"/>
      <c r="F16" s="48"/>
      <c r="G16" s="48"/>
      <c r="H16" s="270"/>
      <c r="I16" s="48"/>
      <c r="J16" s="48"/>
      <c r="K16" s="48"/>
      <c r="L16" s="48"/>
      <c r="M16" s="48"/>
      <c r="N16" s="49"/>
    </row>
    <row r="17" spans="2:14" x14ac:dyDescent="0.3">
      <c r="B17" s="47"/>
      <c r="C17" s="48"/>
      <c r="D17" s="48"/>
      <c r="E17" s="48"/>
      <c r="F17" s="48"/>
      <c r="G17" s="48"/>
      <c r="H17" s="270"/>
      <c r="I17" s="48"/>
      <c r="J17" s="48"/>
      <c r="K17" s="48"/>
      <c r="L17" s="48"/>
      <c r="M17" s="48"/>
      <c r="N17" s="49"/>
    </row>
    <row r="18" spans="2:14" x14ac:dyDescent="0.3">
      <c r="B18" s="47"/>
      <c r="C18" s="48"/>
      <c r="D18" s="48"/>
      <c r="E18" s="48"/>
      <c r="F18" s="48"/>
      <c r="G18" s="48"/>
      <c r="H18" s="270"/>
      <c r="I18" s="48"/>
      <c r="J18" s="48"/>
      <c r="K18" s="48"/>
      <c r="L18" s="48"/>
      <c r="M18" s="48"/>
      <c r="N18" s="49"/>
    </row>
    <row r="19" spans="2:14" x14ac:dyDescent="0.3">
      <c r="B19" s="47"/>
      <c r="C19" s="48"/>
      <c r="D19" s="48"/>
      <c r="E19" s="48"/>
      <c r="F19" s="48"/>
      <c r="G19" s="48"/>
      <c r="H19" s="270"/>
      <c r="I19" s="48"/>
      <c r="J19" s="48"/>
      <c r="K19" s="48"/>
      <c r="L19" s="48"/>
      <c r="M19" s="48"/>
      <c r="N19" s="49"/>
    </row>
    <row r="20" spans="2:14" x14ac:dyDescent="0.3">
      <c r="B20" s="47"/>
      <c r="C20" s="48"/>
      <c r="D20" s="48"/>
      <c r="E20" s="48"/>
      <c r="F20" s="48"/>
      <c r="G20" s="48"/>
      <c r="H20" s="270"/>
      <c r="I20" s="48"/>
      <c r="J20" s="48"/>
      <c r="K20" s="48"/>
      <c r="L20" s="48"/>
      <c r="M20" s="48"/>
      <c r="N20" s="49"/>
    </row>
    <row r="21" spans="2:14" x14ac:dyDescent="0.3">
      <c r="B21" s="47"/>
      <c r="C21" s="48"/>
      <c r="D21" s="48"/>
      <c r="E21" s="48"/>
      <c r="F21" s="48"/>
      <c r="G21" s="48"/>
      <c r="H21" s="270"/>
      <c r="I21" s="48"/>
      <c r="J21" s="48"/>
      <c r="K21" s="48"/>
      <c r="L21" s="48"/>
      <c r="M21" s="48"/>
      <c r="N21" s="49"/>
    </row>
    <row r="22" spans="2:14" ht="13.5" thickBot="1" x14ac:dyDescent="0.35">
      <c r="B22" s="50"/>
      <c r="C22" s="51"/>
      <c r="D22" s="51"/>
      <c r="E22" s="51"/>
      <c r="F22" s="51"/>
      <c r="G22" s="51"/>
      <c r="H22" s="271"/>
      <c r="I22" s="51"/>
      <c r="J22" s="51"/>
      <c r="K22" s="51"/>
      <c r="L22" s="51"/>
      <c r="M22" s="51"/>
      <c r="N22" s="52"/>
    </row>
    <row r="23" spans="2:14" ht="13" customHeight="1" thickBot="1" x14ac:dyDescent="0.4">
      <c r="B23" s="102" t="s">
        <v>104</v>
      </c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</row>
    <row r="24" spans="2:14" x14ac:dyDescent="0.3">
      <c r="B24" s="53"/>
      <c r="C24" s="54"/>
      <c r="D24" s="54"/>
      <c r="E24" s="54"/>
      <c r="F24" s="54"/>
      <c r="G24" s="54"/>
      <c r="H24" s="269"/>
      <c r="I24" s="54"/>
      <c r="J24" s="54"/>
      <c r="K24" s="54"/>
      <c r="L24" s="54"/>
      <c r="M24" s="54"/>
      <c r="N24" s="55"/>
    </row>
    <row r="25" spans="2:14" x14ac:dyDescent="0.3">
      <c r="B25" s="47"/>
      <c r="C25" s="48"/>
      <c r="D25" s="48"/>
      <c r="E25" s="48"/>
      <c r="F25" s="48"/>
      <c r="G25" s="48"/>
      <c r="H25" s="270"/>
      <c r="I25" s="48"/>
      <c r="J25" s="48"/>
      <c r="K25" s="48"/>
      <c r="L25" s="48"/>
      <c r="M25" s="48"/>
      <c r="N25" s="49"/>
    </row>
    <row r="26" spans="2:14" x14ac:dyDescent="0.3">
      <c r="B26" s="47"/>
      <c r="C26" s="48"/>
      <c r="D26" s="48"/>
      <c r="E26" s="48"/>
      <c r="F26" s="48"/>
      <c r="G26" s="48"/>
      <c r="H26" s="270"/>
      <c r="I26" s="48"/>
      <c r="J26" s="48"/>
      <c r="K26" s="48"/>
      <c r="L26" s="48"/>
      <c r="M26" s="48"/>
      <c r="N26" s="49"/>
    </row>
    <row r="27" spans="2:14" x14ac:dyDescent="0.3">
      <c r="B27" s="47"/>
      <c r="C27" s="48"/>
      <c r="D27" s="48"/>
      <c r="E27" s="48"/>
      <c r="F27" s="48"/>
      <c r="G27" s="48"/>
      <c r="H27" s="270"/>
      <c r="I27" s="48"/>
      <c r="J27" s="48"/>
      <c r="K27" s="48"/>
      <c r="L27" s="48"/>
      <c r="M27" s="48"/>
      <c r="N27" s="49"/>
    </row>
    <row r="28" spans="2:14" x14ac:dyDescent="0.3">
      <c r="B28" s="47"/>
      <c r="C28" s="48"/>
      <c r="D28" s="48"/>
      <c r="E28" s="48"/>
      <c r="F28" s="48"/>
      <c r="G28" s="48"/>
      <c r="H28" s="270"/>
      <c r="I28" s="48"/>
      <c r="J28" s="48"/>
      <c r="K28" s="48"/>
      <c r="L28" s="48"/>
      <c r="M28" s="48"/>
      <c r="N28" s="49"/>
    </row>
    <row r="29" spans="2:14" x14ac:dyDescent="0.3">
      <c r="B29" s="47"/>
      <c r="C29" s="48"/>
      <c r="D29" s="48"/>
      <c r="E29" s="48"/>
      <c r="F29" s="48"/>
      <c r="G29" s="48"/>
      <c r="H29" s="270"/>
      <c r="I29" s="48"/>
      <c r="J29" s="48"/>
      <c r="K29" s="48"/>
      <c r="L29" s="48"/>
      <c r="M29" s="48"/>
      <c r="N29" s="49"/>
    </row>
    <row r="30" spans="2:14" x14ac:dyDescent="0.3">
      <c r="B30" s="47"/>
      <c r="C30" s="48"/>
      <c r="D30" s="48"/>
      <c r="E30" s="48"/>
      <c r="F30" s="48"/>
      <c r="G30" s="48"/>
      <c r="H30" s="270"/>
      <c r="I30" s="48"/>
      <c r="J30" s="48"/>
      <c r="K30" s="48"/>
      <c r="L30" s="48"/>
      <c r="M30" s="48"/>
      <c r="N30" s="49"/>
    </row>
    <row r="31" spans="2:14" ht="13.5" thickBot="1" x14ac:dyDescent="0.35">
      <c r="B31" s="50"/>
      <c r="C31" s="51"/>
      <c r="D31" s="51"/>
      <c r="E31" s="51"/>
      <c r="F31" s="51"/>
      <c r="G31" s="51"/>
      <c r="H31" s="271"/>
      <c r="I31" s="51"/>
      <c r="J31" s="51"/>
      <c r="K31" s="51"/>
      <c r="L31" s="51"/>
      <c r="M31" s="51"/>
      <c r="N31" s="52"/>
    </row>
    <row r="32" spans="2:14" ht="13" customHeight="1" thickBot="1" x14ac:dyDescent="0.4">
      <c r="B32" s="102" t="s">
        <v>105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8"/>
    </row>
    <row r="33" spans="2:14" ht="13" customHeight="1" thickBot="1" x14ac:dyDescent="0.4">
      <c r="B33" s="109" t="s">
        <v>106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1"/>
    </row>
  </sheetData>
  <mergeCells count="4">
    <mergeCell ref="B1:N1"/>
    <mergeCell ref="H3:H11"/>
    <mergeCell ref="H13:H22"/>
    <mergeCell ref="H24:H31"/>
  </mergeCells>
  <pageMargins left="0.7" right="0.7" top="0.75" bottom="0.75" header="0.3" footer="0.3"/>
  <pageSetup paperSize="9" orientation="landscape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24"/>
  <sheetViews>
    <sheetView zoomScale="70" zoomScaleNormal="70" workbookViewId="0">
      <selection activeCell="B24" sqref="B24:W24"/>
    </sheetView>
  </sheetViews>
  <sheetFormatPr defaultColWidth="8.81640625" defaultRowHeight="14.5" x14ac:dyDescent="0.35"/>
  <cols>
    <col min="1" max="1" width="2.36328125" style="56" customWidth="1"/>
    <col min="2" max="2" width="13.08984375" style="56" customWidth="1"/>
    <col min="3" max="4" width="7.6328125" style="56" customWidth="1"/>
    <col min="5" max="5" width="8.453125" style="56" customWidth="1"/>
    <col min="6" max="8" width="7.6328125" style="56" customWidth="1"/>
    <col min="9" max="10" width="9" style="56" customWidth="1"/>
    <col min="11" max="14" width="7.6328125" style="56" customWidth="1"/>
    <col min="15" max="16" width="7.453125" style="56" customWidth="1"/>
    <col min="17" max="23" width="7.6328125" style="56" customWidth="1"/>
    <col min="24" max="16384" width="8.81640625" style="56"/>
  </cols>
  <sheetData>
    <row r="1" spans="2:23" ht="26.5" customHeight="1" thickBot="1" x14ac:dyDescent="0.4">
      <c r="B1" s="277" t="s">
        <v>107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9"/>
    </row>
    <row r="2" spans="2:23" ht="25" customHeight="1" x14ac:dyDescent="0.35">
      <c r="B2" s="280" t="s">
        <v>108</v>
      </c>
      <c r="C2" s="282" t="s">
        <v>109</v>
      </c>
      <c r="D2" s="283"/>
      <c r="E2" s="284"/>
      <c r="F2" s="285" t="s">
        <v>110</v>
      </c>
      <c r="G2" s="283"/>
      <c r="H2" s="286"/>
      <c r="I2" s="282" t="s">
        <v>111</v>
      </c>
      <c r="J2" s="283"/>
      <c r="K2" s="284"/>
      <c r="L2" s="285" t="s">
        <v>112</v>
      </c>
      <c r="M2" s="283"/>
      <c r="N2" s="286"/>
      <c r="O2" s="282" t="s">
        <v>113</v>
      </c>
      <c r="P2" s="283"/>
      <c r="Q2" s="284"/>
      <c r="R2" s="285" t="s">
        <v>114</v>
      </c>
      <c r="S2" s="283"/>
      <c r="T2" s="286"/>
      <c r="U2" s="282" t="s">
        <v>115</v>
      </c>
      <c r="V2" s="283"/>
      <c r="W2" s="284"/>
    </row>
    <row r="3" spans="2:23" ht="25" customHeight="1" thickBot="1" x14ac:dyDescent="0.4">
      <c r="B3" s="281"/>
      <c r="C3" s="275"/>
      <c r="D3" s="273"/>
      <c r="E3" s="276"/>
      <c r="F3" s="272"/>
      <c r="G3" s="273"/>
      <c r="H3" s="274"/>
      <c r="I3" s="275"/>
      <c r="J3" s="273"/>
      <c r="K3" s="276"/>
      <c r="L3" s="272"/>
      <c r="M3" s="273"/>
      <c r="N3" s="274"/>
      <c r="O3" s="275"/>
      <c r="P3" s="273"/>
      <c r="Q3" s="276"/>
      <c r="R3" s="272"/>
      <c r="S3" s="273"/>
      <c r="T3" s="274"/>
      <c r="U3" s="275"/>
      <c r="V3" s="273"/>
      <c r="W3" s="276"/>
    </row>
    <row r="4" spans="2:23" ht="25" customHeight="1" x14ac:dyDescent="0.35">
      <c r="B4" s="280" t="s">
        <v>116</v>
      </c>
      <c r="C4" s="57" t="s">
        <v>117</v>
      </c>
      <c r="D4" s="58"/>
      <c r="E4" s="59"/>
      <c r="F4" s="57" t="s">
        <v>117</v>
      </c>
      <c r="G4" s="58"/>
      <c r="H4" s="60"/>
      <c r="I4" s="57" t="s">
        <v>117</v>
      </c>
      <c r="J4" s="58"/>
      <c r="K4" s="59"/>
      <c r="L4" s="57" t="s">
        <v>117</v>
      </c>
      <c r="M4" s="58"/>
      <c r="N4" s="60"/>
      <c r="O4" s="57" t="s">
        <v>117</v>
      </c>
      <c r="P4" s="58"/>
      <c r="Q4" s="59"/>
      <c r="R4" s="57" t="s">
        <v>117</v>
      </c>
      <c r="S4" s="58"/>
      <c r="T4" s="60"/>
      <c r="U4" s="57" t="s">
        <v>117</v>
      </c>
      <c r="V4" s="58"/>
      <c r="W4" s="59"/>
    </row>
    <row r="5" spans="2:23" ht="25" customHeight="1" x14ac:dyDescent="0.35">
      <c r="B5" s="281"/>
      <c r="C5" s="61" t="s">
        <v>118</v>
      </c>
      <c r="D5" s="62"/>
      <c r="E5" s="63"/>
      <c r="F5" s="61" t="s">
        <v>118</v>
      </c>
      <c r="G5" s="62"/>
      <c r="H5" s="64"/>
      <c r="I5" s="61" t="s">
        <v>118</v>
      </c>
      <c r="J5" s="62"/>
      <c r="K5" s="63"/>
      <c r="L5" s="61" t="s">
        <v>118</v>
      </c>
      <c r="M5" s="62"/>
      <c r="N5" s="64"/>
      <c r="O5" s="61" t="s">
        <v>118</v>
      </c>
      <c r="P5" s="62"/>
      <c r="Q5" s="63"/>
      <c r="R5" s="61" t="s">
        <v>118</v>
      </c>
      <c r="S5" s="62"/>
      <c r="T5" s="64"/>
      <c r="U5" s="61" t="s">
        <v>118</v>
      </c>
      <c r="V5" s="62"/>
      <c r="W5" s="63"/>
    </row>
    <row r="6" spans="2:23" ht="25" customHeight="1" thickBot="1" x14ac:dyDescent="0.4">
      <c r="B6" s="287"/>
      <c r="C6" s="65" t="s">
        <v>119</v>
      </c>
      <c r="D6" s="66"/>
      <c r="E6" s="67"/>
      <c r="F6" s="65" t="s">
        <v>119</v>
      </c>
      <c r="G6" s="66"/>
      <c r="H6" s="68"/>
      <c r="I6" s="65" t="s">
        <v>119</v>
      </c>
      <c r="J6" s="66"/>
      <c r="K6" s="67"/>
      <c r="L6" s="65" t="s">
        <v>119</v>
      </c>
      <c r="M6" s="66"/>
      <c r="N6" s="68"/>
      <c r="O6" s="65" t="s">
        <v>119</v>
      </c>
      <c r="P6" s="66"/>
      <c r="Q6" s="67"/>
      <c r="R6" s="65" t="s">
        <v>119</v>
      </c>
      <c r="S6" s="66"/>
      <c r="T6" s="68"/>
      <c r="U6" s="65" t="s">
        <v>119</v>
      </c>
      <c r="V6" s="66"/>
      <c r="W6" s="67"/>
    </row>
    <row r="7" spans="2:23" s="73" customFormat="1" ht="25" customHeight="1" thickBot="1" x14ac:dyDescent="0.4">
      <c r="B7" s="69" t="s">
        <v>120</v>
      </c>
      <c r="C7" s="70" t="s">
        <v>121</v>
      </c>
      <c r="D7" s="71" t="s">
        <v>122</v>
      </c>
      <c r="E7" s="72" t="s">
        <v>123</v>
      </c>
      <c r="F7" s="70" t="s">
        <v>121</v>
      </c>
      <c r="G7" s="71" t="s">
        <v>122</v>
      </c>
      <c r="H7" s="72" t="s">
        <v>123</v>
      </c>
      <c r="I7" s="70" t="s">
        <v>121</v>
      </c>
      <c r="J7" s="71" t="s">
        <v>122</v>
      </c>
      <c r="K7" s="72" t="s">
        <v>123</v>
      </c>
      <c r="L7" s="70" t="s">
        <v>121</v>
      </c>
      <c r="M7" s="71" t="s">
        <v>122</v>
      </c>
      <c r="N7" s="72" t="s">
        <v>123</v>
      </c>
      <c r="O7" s="70" t="s">
        <v>121</v>
      </c>
      <c r="P7" s="71" t="s">
        <v>122</v>
      </c>
      <c r="Q7" s="72" t="s">
        <v>123</v>
      </c>
      <c r="R7" s="70" t="s">
        <v>121</v>
      </c>
      <c r="S7" s="71" t="s">
        <v>122</v>
      </c>
      <c r="T7" s="72" t="s">
        <v>123</v>
      </c>
      <c r="U7" s="70" t="s">
        <v>121</v>
      </c>
      <c r="V7" s="71" t="s">
        <v>122</v>
      </c>
      <c r="W7" s="72" t="s">
        <v>123</v>
      </c>
    </row>
    <row r="8" spans="2:23" ht="25" customHeight="1" x14ac:dyDescent="0.35">
      <c r="B8" s="74">
        <v>8</v>
      </c>
      <c r="C8" s="57"/>
      <c r="D8" s="58"/>
      <c r="E8" s="75"/>
      <c r="F8" s="76"/>
      <c r="G8" s="58"/>
      <c r="H8" s="77"/>
      <c r="I8" s="57"/>
      <c r="J8" s="58"/>
      <c r="K8" s="75"/>
      <c r="L8" s="76"/>
      <c r="M8" s="58"/>
      <c r="N8" s="77"/>
      <c r="O8" s="57"/>
      <c r="P8" s="58"/>
      <c r="Q8" s="75"/>
      <c r="R8" s="76"/>
      <c r="S8" s="58"/>
      <c r="T8" s="77"/>
      <c r="U8" s="57"/>
      <c r="V8" s="58"/>
      <c r="W8" s="75"/>
    </row>
    <row r="9" spans="2:23" ht="25" customHeight="1" x14ac:dyDescent="0.35">
      <c r="B9" s="74">
        <v>9</v>
      </c>
      <c r="C9" s="57"/>
      <c r="D9" s="58"/>
      <c r="E9" s="75"/>
      <c r="F9" s="76"/>
      <c r="G9" s="58"/>
      <c r="H9" s="77"/>
      <c r="I9" s="57"/>
      <c r="J9" s="58"/>
      <c r="K9" s="75"/>
      <c r="L9" s="76"/>
      <c r="M9" s="58"/>
      <c r="N9" s="77"/>
      <c r="O9" s="57"/>
      <c r="P9" s="58"/>
      <c r="Q9" s="75"/>
      <c r="R9" s="76"/>
      <c r="S9" s="58"/>
      <c r="T9" s="77"/>
      <c r="U9" s="57"/>
      <c r="V9" s="58"/>
      <c r="W9" s="75"/>
    </row>
    <row r="10" spans="2:23" ht="25" customHeight="1" x14ac:dyDescent="0.35">
      <c r="B10" s="74">
        <v>10</v>
      </c>
      <c r="C10" s="57"/>
      <c r="D10" s="58"/>
      <c r="E10" s="75"/>
      <c r="F10" s="76"/>
      <c r="G10" s="58"/>
      <c r="H10" s="77"/>
      <c r="I10" s="57"/>
      <c r="J10" s="58"/>
      <c r="K10" s="75"/>
      <c r="L10" s="76"/>
      <c r="M10" s="58"/>
      <c r="N10" s="77"/>
      <c r="O10" s="57"/>
      <c r="P10" s="58"/>
      <c r="Q10" s="75"/>
      <c r="R10" s="76"/>
      <c r="S10" s="58"/>
      <c r="T10" s="77"/>
      <c r="U10" s="57"/>
      <c r="V10" s="58"/>
      <c r="W10" s="75"/>
    </row>
    <row r="11" spans="2:23" ht="25" customHeight="1" x14ac:dyDescent="0.35">
      <c r="B11" s="78">
        <v>11</v>
      </c>
      <c r="C11" s="61"/>
      <c r="D11" s="79"/>
      <c r="E11" s="80"/>
      <c r="F11" s="81"/>
      <c r="G11" s="79"/>
      <c r="H11" s="82"/>
      <c r="I11" s="61"/>
      <c r="J11" s="79"/>
      <c r="K11" s="80"/>
      <c r="L11" s="81"/>
      <c r="M11" s="79"/>
      <c r="N11" s="82"/>
      <c r="O11" s="61"/>
      <c r="P11" s="79"/>
      <c r="Q11" s="80"/>
      <c r="R11" s="81"/>
      <c r="S11" s="79"/>
      <c r="T11" s="82"/>
      <c r="U11" s="61"/>
      <c r="V11" s="79"/>
      <c r="W11" s="80"/>
    </row>
    <row r="12" spans="2:23" ht="25" customHeight="1" x14ac:dyDescent="0.35">
      <c r="B12" s="78">
        <v>12</v>
      </c>
      <c r="C12" s="61"/>
      <c r="D12" s="79"/>
      <c r="E12" s="80"/>
      <c r="F12" s="81"/>
      <c r="G12" s="79"/>
      <c r="H12" s="82"/>
      <c r="I12" s="61"/>
      <c r="J12" s="79"/>
      <c r="K12" s="80"/>
      <c r="L12" s="81"/>
      <c r="M12" s="79"/>
      <c r="N12" s="82"/>
      <c r="O12" s="61"/>
      <c r="P12" s="79"/>
      <c r="Q12" s="80"/>
      <c r="R12" s="81"/>
      <c r="S12" s="79"/>
      <c r="T12" s="82"/>
      <c r="U12" s="61"/>
      <c r="V12" s="79"/>
      <c r="W12" s="80"/>
    </row>
    <row r="13" spans="2:23" ht="25" customHeight="1" x14ac:dyDescent="0.35">
      <c r="B13" s="78">
        <v>13</v>
      </c>
      <c r="C13" s="61"/>
      <c r="D13" s="79"/>
      <c r="E13" s="80"/>
      <c r="F13" s="81"/>
      <c r="G13" s="79"/>
      <c r="H13" s="82"/>
      <c r="I13" s="61"/>
      <c r="J13" s="79"/>
      <c r="K13" s="80"/>
      <c r="L13" s="81"/>
      <c r="M13" s="79"/>
      <c r="N13" s="82"/>
      <c r="O13" s="61"/>
      <c r="P13" s="79"/>
      <c r="Q13" s="80"/>
      <c r="R13" s="81"/>
      <c r="S13" s="79"/>
      <c r="T13" s="82"/>
      <c r="U13" s="61"/>
      <c r="V13" s="79"/>
      <c r="W13" s="80"/>
    </row>
    <row r="14" spans="2:23" ht="25" customHeight="1" x14ac:dyDescent="0.35">
      <c r="B14" s="78">
        <v>14</v>
      </c>
      <c r="C14" s="61"/>
      <c r="D14" s="79"/>
      <c r="E14" s="80"/>
      <c r="F14" s="81"/>
      <c r="G14" s="79"/>
      <c r="H14" s="82"/>
      <c r="I14" s="61"/>
      <c r="J14" s="79"/>
      <c r="K14" s="80"/>
      <c r="L14" s="81"/>
      <c r="M14" s="79"/>
      <c r="N14" s="82"/>
      <c r="O14" s="61"/>
      <c r="P14" s="79"/>
      <c r="Q14" s="80"/>
      <c r="R14" s="81"/>
      <c r="S14" s="79"/>
      <c r="T14" s="82"/>
      <c r="U14" s="61"/>
      <c r="V14" s="79"/>
      <c r="W14" s="80"/>
    </row>
    <row r="15" spans="2:23" ht="25" customHeight="1" x14ac:dyDescent="0.35">
      <c r="B15" s="78">
        <v>15</v>
      </c>
      <c r="C15" s="61"/>
      <c r="D15" s="79"/>
      <c r="E15" s="80"/>
      <c r="F15" s="81"/>
      <c r="G15" s="79"/>
      <c r="H15" s="82"/>
      <c r="I15" s="61"/>
      <c r="J15" s="79"/>
      <c r="K15" s="80"/>
      <c r="L15" s="81"/>
      <c r="M15" s="79"/>
      <c r="N15" s="82"/>
      <c r="O15" s="61"/>
      <c r="P15" s="79"/>
      <c r="Q15" s="80"/>
      <c r="R15" s="81"/>
      <c r="S15" s="79"/>
      <c r="T15" s="82"/>
      <c r="U15" s="61"/>
      <c r="V15" s="79"/>
      <c r="W15" s="80"/>
    </row>
    <row r="16" spans="2:23" ht="25" customHeight="1" x14ac:dyDescent="0.35">
      <c r="B16" s="78">
        <v>16</v>
      </c>
      <c r="C16" s="61"/>
      <c r="D16" s="79"/>
      <c r="E16" s="80"/>
      <c r="F16" s="81"/>
      <c r="G16" s="79"/>
      <c r="H16" s="82"/>
      <c r="I16" s="61"/>
      <c r="J16" s="79"/>
      <c r="K16" s="80"/>
      <c r="L16" s="81"/>
      <c r="M16" s="79"/>
      <c r="N16" s="82"/>
      <c r="O16" s="61"/>
      <c r="P16" s="79"/>
      <c r="Q16" s="80"/>
      <c r="R16" s="81"/>
      <c r="S16" s="79"/>
      <c r="T16" s="82"/>
      <c r="U16" s="61"/>
      <c r="V16" s="79"/>
      <c r="W16" s="80"/>
    </row>
    <row r="17" spans="2:23" ht="25" customHeight="1" x14ac:dyDescent="0.35">
      <c r="B17" s="78">
        <v>17</v>
      </c>
      <c r="C17" s="61"/>
      <c r="D17" s="79"/>
      <c r="E17" s="80"/>
      <c r="F17" s="81"/>
      <c r="G17" s="79"/>
      <c r="H17" s="82"/>
      <c r="I17" s="61"/>
      <c r="J17" s="79"/>
      <c r="K17" s="80"/>
      <c r="L17" s="81"/>
      <c r="M17" s="79"/>
      <c r="N17" s="82"/>
      <c r="O17" s="61"/>
      <c r="P17" s="79"/>
      <c r="Q17" s="80"/>
      <c r="R17" s="81"/>
      <c r="S17" s="79"/>
      <c r="T17" s="82"/>
      <c r="U17" s="61"/>
      <c r="V17" s="79"/>
      <c r="W17" s="80"/>
    </row>
    <row r="18" spans="2:23" ht="25" customHeight="1" x14ac:dyDescent="0.35">
      <c r="B18" s="78">
        <v>18</v>
      </c>
      <c r="C18" s="61"/>
      <c r="D18" s="79"/>
      <c r="E18" s="80"/>
      <c r="F18" s="81"/>
      <c r="G18" s="79"/>
      <c r="H18" s="82"/>
      <c r="I18" s="61"/>
      <c r="J18" s="79"/>
      <c r="K18" s="80"/>
      <c r="L18" s="81"/>
      <c r="M18" s="79"/>
      <c r="N18" s="82"/>
      <c r="O18" s="61"/>
      <c r="P18" s="79"/>
      <c r="Q18" s="80"/>
      <c r="R18" s="81"/>
      <c r="S18" s="79"/>
      <c r="T18" s="82"/>
      <c r="U18" s="61"/>
      <c r="V18" s="79"/>
      <c r="W18" s="80"/>
    </row>
    <row r="19" spans="2:23" ht="25" customHeight="1" x14ac:dyDescent="0.35">
      <c r="B19" s="78">
        <v>19</v>
      </c>
      <c r="C19" s="61"/>
      <c r="D19" s="79"/>
      <c r="E19" s="80"/>
      <c r="F19" s="81"/>
      <c r="G19" s="79"/>
      <c r="H19" s="82"/>
      <c r="I19" s="61"/>
      <c r="J19" s="79"/>
      <c r="K19" s="80"/>
      <c r="L19" s="81"/>
      <c r="M19" s="79"/>
      <c r="N19" s="82"/>
      <c r="O19" s="61"/>
      <c r="P19" s="79"/>
      <c r="Q19" s="80"/>
      <c r="R19" s="81"/>
      <c r="S19" s="79"/>
      <c r="T19" s="82"/>
      <c r="U19" s="61"/>
      <c r="V19" s="79"/>
      <c r="W19" s="80"/>
    </row>
    <row r="20" spans="2:23" ht="25" customHeight="1" x14ac:dyDescent="0.35">
      <c r="B20" s="78">
        <v>20</v>
      </c>
      <c r="C20" s="61"/>
      <c r="D20" s="79"/>
      <c r="E20" s="80"/>
      <c r="F20" s="81"/>
      <c r="G20" s="79"/>
      <c r="H20" s="82"/>
      <c r="I20" s="61"/>
      <c r="J20" s="79"/>
      <c r="K20" s="80"/>
      <c r="L20" s="81"/>
      <c r="M20" s="79"/>
      <c r="N20" s="82"/>
      <c r="O20" s="61"/>
      <c r="P20" s="79"/>
      <c r="Q20" s="80"/>
      <c r="R20" s="81"/>
      <c r="S20" s="79"/>
      <c r="T20" s="82"/>
      <c r="U20" s="61"/>
      <c r="V20" s="79"/>
      <c r="W20" s="80"/>
    </row>
    <row r="21" spans="2:23" ht="25" customHeight="1" x14ac:dyDescent="0.35">
      <c r="B21" s="78">
        <v>21</v>
      </c>
      <c r="C21" s="61"/>
      <c r="D21" s="79"/>
      <c r="E21" s="80"/>
      <c r="F21" s="81"/>
      <c r="G21" s="79"/>
      <c r="H21" s="82"/>
      <c r="I21" s="61"/>
      <c r="J21" s="79"/>
      <c r="K21" s="80"/>
      <c r="L21" s="81"/>
      <c r="M21" s="79"/>
      <c r="N21" s="82"/>
      <c r="O21" s="61"/>
      <c r="P21" s="79"/>
      <c r="Q21" s="80"/>
      <c r="R21" s="81"/>
      <c r="S21" s="79"/>
      <c r="T21" s="82"/>
      <c r="U21" s="61"/>
      <c r="V21" s="79"/>
      <c r="W21" s="80"/>
    </row>
    <row r="22" spans="2:23" ht="25" customHeight="1" x14ac:dyDescent="0.35">
      <c r="B22" s="83">
        <v>22</v>
      </c>
      <c r="C22" s="84"/>
      <c r="D22" s="62"/>
      <c r="E22" s="85"/>
      <c r="F22" s="86"/>
      <c r="G22" s="62"/>
      <c r="H22" s="87"/>
      <c r="I22" s="84"/>
      <c r="J22" s="62"/>
      <c r="K22" s="85"/>
      <c r="L22" s="86"/>
      <c r="M22" s="62"/>
      <c r="N22" s="87"/>
      <c r="O22" s="84"/>
      <c r="P22" s="62"/>
      <c r="Q22" s="85"/>
      <c r="R22" s="86"/>
      <c r="S22" s="62"/>
      <c r="T22" s="87"/>
      <c r="U22" s="84"/>
      <c r="V22" s="62"/>
      <c r="W22" s="85"/>
    </row>
    <row r="23" spans="2:23" ht="25" customHeight="1" thickBot="1" x14ac:dyDescent="0.4">
      <c r="B23" s="83">
        <v>23</v>
      </c>
      <c r="C23" s="84"/>
      <c r="D23" s="62"/>
      <c r="E23" s="85"/>
      <c r="F23" s="86"/>
      <c r="G23" s="62"/>
      <c r="H23" s="87"/>
      <c r="I23" s="84"/>
      <c r="J23" s="62"/>
      <c r="K23" s="85"/>
      <c r="L23" s="86"/>
      <c r="M23" s="62"/>
      <c r="N23" s="87"/>
      <c r="O23" s="84"/>
      <c r="P23" s="62"/>
      <c r="Q23" s="85"/>
      <c r="R23" s="86"/>
      <c r="S23" s="62"/>
      <c r="T23" s="87"/>
      <c r="U23" s="84"/>
      <c r="V23" s="62"/>
      <c r="W23" s="85"/>
    </row>
    <row r="24" spans="2:23" ht="25" customHeight="1" thickBot="1" x14ac:dyDescent="0.4">
      <c r="B24" s="112" t="s">
        <v>124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4"/>
      <c r="O24" s="112"/>
      <c r="P24" s="113"/>
      <c r="Q24" s="113"/>
      <c r="R24" s="113"/>
      <c r="S24" s="113"/>
      <c r="T24" s="113"/>
      <c r="U24" s="113"/>
      <c r="V24" s="113"/>
      <c r="W24" s="114"/>
    </row>
  </sheetData>
  <mergeCells count="17">
    <mergeCell ref="B4:B6"/>
    <mergeCell ref="F3:H3"/>
    <mergeCell ref="I3:K3"/>
    <mergeCell ref="L3:N3"/>
    <mergeCell ref="O3:Q3"/>
    <mergeCell ref="R3:T3"/>
    <mergeCell ref="U3:W3"/>
    <mergeCell ref="B1:W1"/>
    <mergeCell ref="B2:B3"/>
    <mergeCell ref="C2:E2"/>
    <mergeCell ref="F2:H2"/>
    <mergeCell ref="I2:K2"/>
    <mergeCell ref="L2:N2"/>
    <mergeCell ref="O2:Q2"/>
    <mergeCell ref="R2:T2"/>
    <mergeCell ref="U2:W2"/>
    <mergeCell ref="C3:E3"/>
  </mergeCells>
  <pageMargins left="0.7" right="0.7" top="0.75" bottom="0.75" header="0.3" footer="0.3"/>
  <pageSetup paperSize="9"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5"/>
  <sheetViews>
    <sheetView zoomScale="60" zoomScaleNormal="60" zoomScaleSheetLayoutView="55" workbookViewId="0">
      <selection activeCell="G20" sqref="G20:P22"/>
    </sheetView>
  </sheetViews>
  <sheetFormatPr defaultRowHeight="14.5" x14ac:dyDescent="0.35"/>
  <cols>
    <col min="1" max="1" width="8.7265625" style="115"/>
    <col min="2" max="2" width="3.453125" style="115" customWidth="1"/>
    <col min="3" max="3" width="19.81640625" style="183" customWidth="1"/>
    <col min="4" max="4" width="19.90625" style="115" customWidth="1"/>
    <col min="5" max="5" width="3.08984375" style="115" customWidth="1"/>
    <col min="6" max="6" width="10.08984375" style="116" customWidth="1"/>
    <col min="7" max="8" width="15.6328125" style="117" customWidth="1"/>
    <col min="9" max="9" width="16.36328125" style="117" customWidth="1"/>
    <col min="10" max="16" width="15.6328125" style="117" customWidth="1"/>
    <col min="17" max="17" width="3.7265625" style="115" customWidth="1"/>
    <col min="18" max="16384" width="8.7265625" style="115"/>
  </cols>
  <sheetData>
    <row r="1" spans="2:17" ht="15" thickBot="1" x14ac:dyDescent="0.4"/>
    <row r="2" spans="2:17" x14ac:dyDescent="0.35">
      <c r="B2" s="118"/>
      <c r="C2" s="184"/>
      <c r="D2" s="119"/>
      <c r="E2" s="119"/>
      <c r="F2" s="120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2"/>
    </row>
    <row r="3" spans="2:17" ht="17" customHeight="1" x14ac:dyDescent="0.35">
      <c r="B3" s="123"/>
      <c r="C3" s="315" t="s">
        <v>151</v>
      </c>
      <c r="D3" s="315"/>
      <c r="E3" s="124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7"/>
    </row>
    <row r="4" spans="2:17" ht="18.5" customHeight="1" thickBot="1" x14ac:dyDescent="0.4">
      <c r="B4" s="123"/>
      <c r="C4" s="315"/>
      <c r="D4" s="315"/>
      <c r="E4" s="124"/>
      <c r="F4" s="125"/>
      <c r="G4" s="126" t="s">
        <v>152</v>
      </c>
      <c r="H4" s="126" t="s">
        <v>153</v>
      </c>
      <c r="I4" s="126" t="s">
        <v>154</v>
      </c>
      <c r="J4" s="126" t="s">
        <v>155</v>
      </c>
      <c r="K4" s="126" t="s">
        <v>156</v>
      </c>
      <c r="L4" s="126" t="s">
        <v>157</v>
      </c>
      <c r="M4" s="126" t="s">
        <v>158</v>
      </c>
      <c r="N4" s="126" t="s">
        <v>159</v>
      </c>
      <c r="O4" s="126" t="s">
        <v>160</v>
      </c>
      <c r="P4" s="126" t="s">
        <v>161</v>
      </c>
      <c r="Q4" s="127"/>
    </row>
    <row r="5" spans="2:17" ht="22" customHeight="1" thickBot="1" x14ac:dyDescent="0.4">
      <c r="B5" s="123"/>
      <c r="C5" s="291" t="s">
        <v>162</v>
      </c>
      <c r="D5" s="292"/>
      <c r="E5" s="124"/>
      <c r="F5" s="128" t="s">
        <v>163</v>
      </c>
      <c r="G5" s="129"/>
      <c r="H5" s="130" t="s">
        <v>287</v>
      </c>
      <c r="I5" s="130"/>
      <c r="J5" s="130"/>
      <c r="K5" s="130"/>
      <c r="L5" s="130"/>
      <c r="M5" s="130"/>
      <c r="N5" s="130"/>
      <c r="O5" s="130"/>
      <c r="P5" s="131"/>
      <c r="Q5" s="127"/>
    </row>
    <row r="6" spans="2:17" ht="22" customHeight="1" x14ac:dyDescent="0.35">
      <c r="B6" s="123"/>
      <c r="C6" s="185" t="s">
        <v>164</v>
      </c>
      <c r="D6" s="132">
        <f ca="1">TODAY()</f>
        <v>44229</v>
      </c>
      <c r="E6" s="124"/>
      <c r="F6" s="288" t="s">
        <v>165</v>
      </c>
      <c r="G6" s="133"/>
      <c r="H6" s="134"/>
      <c r="I6" s="134"/>
      <c r="J6" s="134"/>
      <c r="K6" s="134"/>
      <c r="L6" s="134"/>
      <c r="M6" s="134"/>
      <c r="N6" s="134"/>
      <c r="O6" s="134"/>
      <c r="P6" s="135"/>
      <c r="Q6" s="127"/>
    </row>
    <row r="7" spans="2:17" ht="22" customHeight="1" thickBot="1" x14ac:dyDescent="0.4">
      <c r="B7" s="123"/>
      <c r="C7" s="186" t="s">
        <v>166</v>
      </c>
      <c r="D7" s="136" t="s">
        <v>167</v>
      </c>
      <c r="E7" s="124"/>
      <c r="F7" s="289"/>
      <c r="G7" s="137"/>
      <c r="H7" s="138"/>
      <c r="I7" s="138"/>
      <c r="J7" s="138"/>
      <c r="K7" s="138"/>
      <c r="L7" s="138"/>
      <c r="M7" s="138"/>
      <c r="N7" s="138"/>
      <c r="O7" s="138"/>
      <c r="P7" s="139"/>
      <c r="Q7" s="127"/>
    </row>
    <row r="8" spans="2:17" ht="22" customHeight="1" thickBot="1" x14ac:dyDescent="0.4">
      <c r="B8" s="123"/>
      <c r="C8" s="291" t="s">
        <v>168</v>
      </c>
      <c r="D8" s="292"/>
      <c r="E8" s="124"/>
      <c r="F8" s="290"/>
      <c r="G8" s="140"/>
      <c r="H8" s="141"/>
      <c r="I8" s="141"/>
      <c r="J8" s="141"/>
      <c r="K8" s="141"/>
      <c r="L8" s="141"/>
      <c r="M8" s="141"/>
      <c r="N8" s="141"/>
      <c r="O8" s="141"/>
      <c r="P8" s="142"/>
      <c r="Q8" s="127"/>
    </row>
    <row r="9" spans="2:17" ht="22" customHeight="1" thickBot="1" x14ac:dyDescent="0.4">
      <c r="B9" s="123"/>
      <c r="C9" s="185" t="s">
        <v>169</v>
      </c>
      <c r="D9" s="143">
        <v>250000</v>
      </c>
      <c r="E9" s="124"/>
      <c r="F9" s="128" t="s">
        <v>170</v>
      </c>
      <c r="G9" s="137"/>
      <c r="H9" s="138"/>
      <c r="I9" s="138"/>
      <c r="J9" s="138"/>
      <c r="K9" s="138"/>
      <c r="L9" s="138"/>
      <c r="M9" s="138"/>
      <c r="N9" s="138"/>
      <c r="O9" s="138"/>
      <c r="P9" s="139"/>
      <c r="Q9" s="127"/>
    </row>
    <row r="10" spans="2:17" x14ac:dyDescent="0.35">
      <c r="B10" s="123"/>
      <c r="C10" s="187" t="s">
        <v>171</v>
      </c>
      <c r="D10" s="144">
        <v>350</v>
      </c>
      <c r="E10" s="124"/>
      <c r="F10" s="288" t="s">
        <v>172</v>
      </c>
      <c r="G10" s="294"/>
      <c r="H10" s="294"/>
      <c r="I10" s="294"/>
      <c r="J10" s="294"/>
      <c r="K10" s="294"/>
      <c r="L10" s="294"/>
      <c r="M10" s="294"/>
      <c r="N10" s="294"/>
      <c r="O10" s="294"/>
      <c r="P10" s="295"/>
      <c r="Q10" s="127"/>
    </row>
    <row r="11" spans="2:17" x14ac:dyDescent="0.35">
      <c r="B11" s="123"/>
      <c r="C11" s="187" t="s">
        <v>173</v>
      </c>
      <c r="D11" s="145">
        <f>D9/D10</f>
        <v>714.28571428571433</v>
      </c>
      <c r="E11" s="124"/>
      <c r="F11" s="289"/>
      <c r="G11" s="297"/>
      <c r="H11" s="297"/>
      <c r="I11" s="297"/>
      <c r="J11" s="297"/>
      <c r="K11" s="297"/>
      <c r="L11" s="297"/>
      <c r="M11" s="297"/>
      <c r="N11" s="297"/>
      <c r="O11" s="297"/>
      <c r="P11" s="298"/>
      <c r="Q11" s="127"/>
    </row>
    <row r="12" spans="2:17" ht="15" thickBot="1" x14ac:dyDescent="0.4">
      <c r="B12" s="123"/>
      <c r="C12" s="187" t="s">
        <v>174</v>
      </c>
      <c r="D12" s="145">
        <f>D9/D10</f>
        <v>714.28571428571433</v>
      </c>
      <c r="E12" s="124"/>
      <c r="F12" s="290"/>
      <c r="G12" s="300"/>
      <c r="H12" s="300"/>
      <c r="I12" s="300"/>
      <c r="J12" s="300"/>
      <c r="K12" s="300"/>
      <c r="L12" s="300"/>
      <c r="M12" s="300"/>
      <c r="N12" s="300"/>
      <c r="O12" s="300"/>
      <c r="P12" s="301"/>
      <c r="Q12" s="127"/>
    </row>
    <row r="13" spans="2:17" x14ac:dyDescent="0.35">
      <c r="B13" s="123"/>
      <c r="C13" s="187" t="s">
        <v>175</v>
      </c>
      <c r="D13" s="146"/>
      <c r="E13" s="124"/>
      <c r="F13" s="125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</row>
    <row r="14" spans="2:17" ht="15" thickBot="1" x14ac:dyDescent="0.4">
      <c r="B14" s="123"/>
      <c r="C14" s="187" t="s">
        <v>176</v>
      </c>
      <c r="D14" s="146"/>
      <c r="E14" s="124"/>
      <c r="F14" s="125"/>
      <c r="G14" s="126" t="s">
        <v>177</v>
      </c>
      <c r="H14" s="126" t="s">
        <v>178</v>
      </c>
      <c r="I14" s="126" t="s">
        <v>180</v>
      </c>
      <c r="J14" s="126" t="s">
        <v>180</v>
      </c>
      <c r="K14" s="126" t="s">
        <v>181</v>
      </c>
      <c r="L14" s="126" t="s">
        <v>182</v>
      </c>
      <c r="M14" s="126" t="s">
        <v>183</v>
      </c>
      <c r="N14" s="126" t="s">
        <v>283</v>
      </c>
      <c r="O14" s="126"/>
      <c r="P14" s="126"/>
      <c r="Q14" s="127"/>
    </row>
    <row r="15" spans="2:17" ht="21.5" customHeight="1" thickBot="1" x14ac:dyDescent="0.4">
      <c r="B15" s="123"/>
      <c r="C15" s="187" t="s">
        <v>184</v>
      </c>
      <c r="D15" s="146"/>
      <c r="E15" s="124"/>
      <c r="F15" s="128" t="s">
        <v>163</v>
      </c>
      <c r="G15" s="130"/>
      <c r="H15" s="130" t="s">
        <v>291</v>
      </c>
      <c r="I15" s="130"/>
      <c r="J15" s="130" t="s">
        <v>213</v>
      </c>
      <c r="K15" s="130"/>
      <c r="L15" s="130"/>
      <c r="M15" s="130"/>
      <c r="N15" s="130"/>
      <c r="O15" s="130"/>
      <c r="P15" s="130"/>
      <c r="Q15" s="127"/>
    </row>
    <row r="16" spans="2:17" ht="21.5" customHeight="1" x14ac:dyDescent="0.35">
      <c r="B16" s="123"/>
      <c r="C16" s="187" t="s">
        <v>185</v>
      </c>
      <c r="D16" s="146"/>
      <c r="E16" s="124"/>
      <c r="F16" s="288" t="s">
        <v>165</v>
      </c>
      <c r="G16" s="134"/>
      <c r="H16" s="135"/>
      <c r="I16" s="134" t="s">
        <v>249</v>
      </c>
      <c r="J16" s="134"/>
      <c r="K16" s="134"/>
      <c r="L16" s="134"/>
      <c r="M16" s="134"/>
      <c r="N16" s="147"/>
      <c r="O16" s="147"/>
      <c r="P16" s="135"/>
      <c r="Q16" s="127"/>
    </row>
    <row r="17" spans="2:17" ht="21.5" customHeight="1" thickBot="1" x14ac:dyDescent="0.4">
      <c r="B17" s="123"/>
      <c r="C17" s="186" t="s">
        <v>186</v>
      </c>
      <c r="D17" s="146"/>
      <c r="E17" s="124"/>
      <c r="F17" s="289"/>
      <c r="G17" s="138"/>
      <c r="H17" s="139"/>
      <c r="I17" s="138" t="s">
        <v>253</v>
      </c>
      <c r="J17" s="138"/>
      <c r="K17" s="138"/>
      <c r="L17" s="138"/>
      <c r="M17" s="138"/>
      <c r="N17" s="148"/>
      <c r="O17" s="148"/>
      <c r="P17" s="149"/>
      <c r="Q17" s="127"/>
    </row>
    <row r="18" spans="2:17" ht="21.5" customHeight="1" thickBot="1" x14ac:dyDescent="0.4">
      <c r="B18" s="123"/>
      <c r="C18" s="291" t="s">
        <v>187</v>
      </c>
      <c r="D18" s="292"/>
      <c r="E18" s="124"/>
      <c r="F18" s="290"/>
      <c r="G18" s="141"/>
      <c r="H18" s="142"/>
      <c r="I18" s="141"/>
      <c r="J18" s="141"/>
      <c r="K18" s="141"/>
      <c r="L18" s="141"/>
      <c r="M18" s="141"/>
      <c r="N18" s="150"/>
      <c r="O18" s="150"/>
      <c r="P18" s="151"/>
      <c r="Q18" s="127"/>
    </row>
    <row r="19" spans="2:17" ht="21.5" customHeight="1" thickBot="1" x14ac:dyDescent="0.4">
      <c r="B19" s="123"/>
      <c r="C19" s="185" t="s">
        <v>188</v>
      </c>
      <c r="D19" s="152"/>
      <c r="E19" s="124"/>
      <c r="F19" s="128" t="s">
        <v>170</v>
      </c>
      <c r="G19" s="141"/>
      <c r="H19" s="141"/>
      <c r="I19" s="141" t="s">
        <v>220</v>
      </c>
      <c r="J19" s="141"/>
      <c r="K19" s="141"/>
      <c r="L19" s="141"/>
      <c r="M19" s="141"/>
      <c r="N19" s="141"/>
      <c r="O19" s="141"/>
      <c r="P19" s="153"/>
      <c r="Q19" s="127"/>
    </row>
    <row r="20" spans="2:17" ht="14.5" customHeight="1" x14ac:dyDescent="0.35">
      <c r="B20" s="123"/>
      <c r="C20" s="187" t="s">
        <v>189</v>
      </c>
      <c r="D20" s="146"/>
      <c r="E20" s="124"/>
      <c r="F20" s="288" t="s">
        <v>172</v>
      </c>
      <c r="G20" s="293"/>
      <c r="H20" s="294"/>
      <c r="I20" s="294"/>
      <c r="J20" s="294"/>
      <c r="K20" s="294"/>
      <c r="L20" s="294"/>
      <c r="M20" s="294"/>
      <c r="N20" s="294"/>
      <c r="O20" s="294"/>
      <c r="P20" s="295"/>
      <c r="Q20" s="127"/>
    </row>
    <row r="21" spans="2:17" x14ac:dyDescent="0.35">
      <c r="B21" s="123"/>
      <c r="C21" s="187" t="s">
        <v>190</v>
      </c>
      <c r="D21" s="146"/>
      <c r="E21" s="124"/>
      <c r="F21" s="289"/>
      <c r="G21" s="296"/>
      <c r="H21" s="297"/>
      <c r="I21" s="297"/>
      <c r="J21" s="297"/>
      <c r="K21" s="297"/>
      <c r="L21" s="297"/>
      <c r="M21" s="297"/>
      <c r="N21" s="297"/>
      <c r="O21" s="297"/>
      <c r="P21" s="298"/>
      <c r="Q21" s="127"/>
    </row>
    <row r="22" spans="2:17" ht="15" thickBot="1" x14ac:dyDescent="0.4">
      <c r="B22" s="123"/>
      <c r="C22" s="187" t="s">
        <v>191</v>
      </c>
      <c r="D22" s="146"/>
      <c r="E22" s="124"/>
      <c r="F22" s="290"/>
      <c r="G22" s="299"/>
      <c r="H22" s="300"/>
      <c r="I22" s="300"/>
      <c r="J22" s="300"/>
      <c r="K22" s="300"/>
      <c r="L22" s="300"/>
      <c r="M22" s="300"/>
      <c r="N22" s="300"/>
      <c r="O22" s="300"/>
      <c r="P22" s="301"/>
      <c r="Q22" s="127"/>
    </row>
    <row r="23" spans="2:17" ht="15" thickBot="1" x14ac:dyDescent="0.4">
      <c r="B23" s="123"/>
      <c r="C23" s="188" t="s">
        <v>192</v>
      </c>
      <c r="D23" s="154"/>
      <c r="E23" s="124"/>
      <c r="F23" s="125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</row>
    <row r="24" spans="2:17" ht="21.5" customHeight="1" thickBot="1" x14ac:dyDescent="0.4">
      <c r="B24" s="123"/>
      <c r="C24" s="189"/>
      <c r="D24" s="124"/>
      <c r="E24" s="124"/>
      <c r="F24" s="125"/>
      <c r="G24" s="126" t="s">
        <v>193</v>
      </c>
      <c r="H24" s="126" t="s">
        <v>194</v>
      </c>
      <c r="I24" s="126" t="s">
        <v>195</v>
      </c>
      <c r="J24" s="126" t="s">
        <v>196</v>
      </c>
      <c r="K24" s="126" t="s">
        <v>197</v>
      </c>
      <c r="L24" s="126" t="s">
        <v>179</v>
      </c>
      <c r="M24" s="126" t="s">
        <v>178</v>
      </c>
      <c r="N24" s="126" t="s">
        <v>198</v>
      </c>
      <c r="O24" s="126"/>
      <c r="P24" s="126"/>
      <c r="Q24" s="127"/>
    </row>
    <row r="25" spans="2:17" ht="21.5" customHeight="1" thickBot="1" x14ac:dyDescent="0.4">
      <c r="B25" s="123"/>
      <c r="C25" s="302" t="s">
        <v>199</v>
      </c>
      <c r="D25" s="302"/>
      <c r="E25" s="124"/>
      <c r="F25" s="128" t="s">
        <v>163</v>
      </c>
      <c r="G25" s="155"/>
      <c r="H25" s="156" t="s">
        <v>294</v>
      </c>
      <c r="I25" s="155"/>
      <c r="J25" s="156"/>
      <c r="K25" s="155"/>
      <c r="L25" s="156"/>
      <c r="M25" s="155"/>
      <c r="N25" s="156"/>
      <c r="O25" s="155"/>
      <c r="P25" s="155"/>
      <c r="Q25" s="127"/>
    </row>
    <row r="26" spans="2:17" ht="21.5" customHeight="1" x14ac:dyDescent="0.35">
      <c r="B26" s="123"/>
      <c r="C26" s="302"/>
      <c r="D26" s="302"/>
      <c r="E26" s="124"/>
      <c r="F26" s="303" t="s">
        <v>165</v>
      </c>
      <c r="G26" s="135"/>
      <c r="H26" s="157"/>
      <c r="I26" s="135"/>
      <c r="J26" s="157"/>
      <c r="K26" s="135"/>
      <c r="L26" s="157"/>
      <c r="M26" s="135"/>
      <c r="N26" s="157"/>
      <c r="O26" s="135"/>
      <c r="P26" s="135"/>
      <c r="Q26" s="127"/>
    </row>
    <row r="27" spans="2:17" ht="21.5" customHeight="1" x14ac:dyDescent="0.35">
      <c r="B27" s="123"/>
      <c r="C27" s="302"/>
      <c r="D27" s="302"/>
      <c r="E27" s="124"/>
      <c r="F27" s="304"/>
      <c r="G27" s="149"/>
      <c r="H27" s="158"/>
      <c r="I27" s="149"/>
      <c r="J27" s="158"/>
      <c r="K27" s="149"/>
      <c r="L27" s="158"/>
      <c r="M27" s="149"/>
      <c r="N27" s="158"/>
      <c r="O27" s="149"/>
      <c r="P27" s="149"/>
      <c r="Q27" s="127"/>
    </row>
    <row r="28" spans="2:17" ht="21.5" customHeight="1" thickBot="1" x14ac:dyDescent="0.4">
      <c r="B28" s="123"/>
      <c r="C28" s="302"/>
      <c r="D28" s="302"/>
      <c r="E28" s="124"/>
      <c r="F28" s="305"/>
      <c r="G28" s="151"/>
      <c r="H28" s="159"/>
      <c r="I28" s="151"/>
      <c r="J28" s="159"/>
      <c r="K28" s="151"/>
      <c r="L28" s="159"/>
      <c r="M28" s="151"/>
      <c r="N28" s="159"/>
      <c r="O28" s="151"/>
      <c r="P28" s="151"/>
      <c r="Q28" s="127"/>
    </row>
    <row r="29" spans="2:17" ht="21.5" customHeight="1" thickBot="1" x14ac:dyDescent="0.4">
      <c r="B29" s="123"/>
      <c r="C29" s="302"/>
      <c r="D29" s="302"/>
      <c r="E29" s="124"/>
      <c r="F29" s="128" t="s">
        <v>170</v>
      </c>
      <c r="G29" s="142"/>
      <c r="H29" s="160"/>
      <c r="I29" s="142"/>
      <c r="J29" s="160"/>
      <c r="K29" s="142"/>
      <c r="L29" s="160"/>
      <c r="M29" s="142"/>
      <c r="N29" s="160"/>
      <c r="O29" s="142"/>
      <c r="P29" s="142"/>
      <c r="Q29" s="127"/>
    </row>
    <row r="30" spans="2:17" ht="14.5" customHeight="1" x14ac:dyDescent="0.35">
      <c r="B30" s="123"/>
      <c r="C30" s="302"/>
      <c r="D30" s="302"/>
      <c r="E30" s="124"/>
      <c r="F30" s="288" t="s">
        <v>172</v>
      </c>
      <c r="G30" s="306"/>
      <c r="H30" s="307"/>
      <c r="I30" s="307"/>
      <c r="J30" s="307"/>
      <c r="K30" s="307"/>
      <c r="L30" s="307"/>
      <c r="M30" s="307"/>
      <c r="N30" s="307"/>
      <c r="O30" s="307"/>
      <c r="P30" s="308"/>
      <c r="Q30" s="127"/>
    </row>
    <row r="31" spans="2:17" ht="14.5" customHeight="1" x14ac:dyDescent="0.35">
      <c r="B31" s="123"/>
      <c r="C31" s="302"/>
      <c r="D31" s="302"/>
      <c r="E31" s="124"/>
      <c r="F31" s="289"/>
      <c r="G31" s="309"/>
      <c r="H31" s="310"/>
      <c r="I31" s="310"/>
      <c r="J31" s="310"/>
      <c r="K31" s="310"/>
      <c r="L31" s="310"/>
      <c r="M31" s="310"/>
      <c r="N31" s="310"/>
      <c r="O31" s="310"/>
      <c r="P31" s="311"/>
      <c r="Q31" s="127"/>
    </row>
    <row r="32" spans="2:17" ht="15" customHeight="1" thickBot="1" x14ac:dyDescent="0.4">
      <c r="B32" s="123"/>
      <c r="C32" s="302"/>
      <c r="D32" s="302"/>
      <c r="E32" s="124"/>
      <c r="F32" s="290"/>
      <c r="G32" s="312"/>
      <c r="H32" s="313"/>
      <c r="I32" s="313"/>
      <c r="J32" s="313"/>
      <c r="K32" s="313"/>
      <c r="L32" s="313"/>
      <c r="M32" s="313"/>
      <c r="N32" s="313"/>
      <c r="O32" s="313"/>
      <c r="P32" s="314"/>
      <c r="Q32" s="127"/>
    </row>
    <row r="33" spans="2:17" ht="14.5" customHeight="1" x14ac:dyDescent="0.35">
      <c r="B33" s="123"/>
      <c r="C33" s="161"/>
      <c r="D33" s="161"/>
      <c r="E33" s="124"/>
      <c r="F33" s="125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7"/>
    </row>
    <row r="34" spans="2:17" ht="14.5" customHeight="1" x14ac:dyDescent="0.35">
      <c r="B34" s="123"/>
      <c r="C34" s="161"/>
      <c r="D34" s="161"/>
      <c r="E34" s="124"/>
      <c r="F34" s="125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7"/>
    </row>
    <row r="35" spans="2:17" ht="15" thickBot="1" x14ac:dyDescent="0.4">
      <c r="B35" s="162"/>
      <c r="C35" s="190"/>
      <c r="D35" s="163"/>
      <c r="E35" s="163"/>
      <c r="F35" s="164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5"/>
    </row>
    <row r="43" spans="2:17" x14ac:dyDescent="0.35">
      <c r="G43" s="166"/>
    </row>
    <row r="44" spans="2:17" x14ac:dyDescent="0.35">
      <c r="G44" s="166"/>
    </row>
    <row r="45" spans="2:17" x14ac:dyDescent="0.35">
      <c r="G45" s="166"/>
    </row>
  </sheetData>
  <mergeCells count="14">
    <mergeCell ref="G10:P12"/>
    <mergeCell ref="C3:D4"/>
    <mergeCell ref="C5:D5"/>
    <mergeCell ref="F6:F8"/>
    <mergeCell ref="C8:D8"/>
    <mergeCell ref="F10:F12"/>
    <mergeCell ref="F16:F18"/>
    <mergeCell ref="C18:D18"/>
    <mergeCell ref="F20:F22"/>
    <mergeCell ref="G20:P22"/>
    <mergeCell ref="C25:D32"/>
    <mergeCell ref="F26:F28"/>
    <mergeCell ref="F30:F32"/>
    <mergeCell ref="G30:P32"/>
  </mergeCells>
  <phoneticPr fontId="42" type="noConversion"/>
  <pageMargins left="0.25" right="0.25" top="0.75" bottom="0.75" header="0.3" footer="0.3"/>
  <pageSetup paperSize="9" scale="65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>
          <x14:formula1>
            <xm:f>'План смены (настройка)'!$E$51:$E$62</xm:f>
          </x14:formula1>
          <xm:sqref>H29:P29 G29</xm:sqref>
        </x14:dataValidation>
        <x14:dataValidation type="list" allowBlank="1" showInputMessage="1" showErrorMessage="1">
          <x14:formula1>
            <xm:f>'План смены (настройка)'!$D$51:$D$62</xm:f>
          </x14:formula1>
          <xm:sqref>H26:P28 G27:G28 G26</xm:sqref>
        </x14:dataValidation>
        <x14:dataValidation type="list" allowBlank="1" showInputMessage="1" showErrorMessage="1">
          <x14:formula1>
            <xm:f>'План смены (настройка)'!$E$28:$E$38</xm:f>
          </x14:formula1>
          <xm:sqref>H19:P19 G19</xm:sqref>
        </x14:dataValidation>
        <x14:dataValidation type="list" allowBlank="1" showInputMessage="1" showErrorMessage="1">
          <x14:formula1>
            <xm:f>'План смены (настройка)'!$B$51:$B$58</xm:f>
          </x14:formula1>
          <xm:sqref>G24:P24</xm:sqref>
        </x14:dataValidation>
        <x14:dataValidation type="list" allowBlank="1" showInputMessage="1" showErrorMessage="1">
          <x14:formula1>
            <xm:f>'План смены (настройка)'!$B$28:$B$35</xm:f>
          </x14:formula1>
          <xm:sqref>G14:P14</xm:sqref>
        </x14:dataValidation>
        <x14:dataValidation type="list" allowBlank="1" showInputMessage="1" showErrorMessage="1">
          <x14:formula1>
            <xm:f>'План смены (настройка)'!$B$4:$B$15</xm:f>
          </x14:formula1>
          <xm:sqref>G4:P4</xm:sqref>
        </x14:dataValidation>
        <x14:dataValidation type="list" allowBlank="1" showInputMessage="1" showErrorMessage="1">
          <x14:formula1>
            <xm:f>'План смены (настройка)'!$B$77:$B$80</xm:f>
          </x14:formula1>
          <xm:sqref>D7</xm:sqref>
        </x14:dataValidation>
        <x14:dataValidation type="list" allowBlank="1" showInputMessage="1" showErrorMessage="1">
          <x14:formula1>
            <xm:f>'План смены (настройка)'!$F$51:$F$54</xm:f>
          </x14:formula1>
          <xm:sqref>G30:P32</xm:sqref>
        </x14:dataValidation>
        <x14:dataValidation type="list" allowBlank="1" showInputMessage="1" showErrorMessage="1">
          <x14:formula1>
            <xm:f>'План смены (настройка)'!$C$51:$C$71</xm:f>
          </x14:formula1>
          <xm:sqref>H25:P25 G25</xm:sqref>
        </x14:dataValidation>
        <x14:dataValidation type="list" allowBlank="1" showInputMessage="1" showErrorMessage="1">
          <x14:formula1>
            <xm:f>'План смены (настройка)'!$F$28:$F$33</xm:f>
          </x14:formula1>
          <xm:sqref>G20:P22</xm:sqref>
        </x14:dataValidation>
        <x14:dataValidation type="list" allowBlank="1" showInputMessage="1" showErrorMessage="1">
          <x14:formula1>
            <xm:f>'План смены (настройка)'!$D$28:$D$36</xm:f>
          </x14:formula1>
          <xm:sqref>H16:O18 G17:G18 G16</xm:sqref>
        </x14:dataValidation>
        <x14:dataValidation type="list" allowBlank="1" showInputMessage="1" showErrorMessage="1">
          <x14:formula1>
            <xm:f>'План смены (настройка)'!$F$4:$F$9</xm:f>
          </x14:formula1>
          <xm:sqref>G10:P12</xm:sqref>
        </x14:dataValidation>
        <x14:dataValidation type="list" allowBlank="1" showInputMessage="1" showErrorMessage="1">
          <x14:formula1>
            <xm:f>'План смены (настройка)'!$E$4:$E$20</xm:f>
          </x14:formula1>
          <xm:sqref>H6:P8 G7:G8 G6</xm:sqref>
        </x14:dataValidation>
        <x14:dataValidation type="list" allowBlank="1" showInputMessage="1" showErrorMessage="1">
          <x14:formula1>
            <xm:f>'План смены (настройка)'!$C$4:$C$24</xm:f>
          </x14:formula1>
          <xm:sqref>G5:P5</xm:sqref>
        </x14:dataValidation>
        <x14:dataValidation type="list" allowBlank="1" showInputMessage="1" showErrorMessage="1">
          <x14:formula1>
            <xm:f>'План смены (настройка)'!$D$4:$D$20</xm:f>
          </x14:formula1>
          <xm:sqref>H9:P9 G9</xm:sqref>
        </x14:dataValidation>
        <x14:dataValidation type="list" allowBlank="1" showInputMessage="1" showErrorMessage="1">
          <x14:formula1>
            <xm:f>'План смены (настройка)'!$C$28:$C$47</xm:f>
          </x14:formula1>
          <xm:sqref>G15:P15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80"/>
  <sheetViews>
    <sheetView topLeftCell="A17" zoomScale="90" zoomScaleNormal="90" workbookViewId="0">
      <selection activeCell="C54" sqref="C54"/>
    </sheetView>
  </sheetViews>
  <sheetFormatPr defaultRowHeight="14.5" x14ac:dyDescent="0.35"/>
  <cols>
    <col min="1" max="1" width="8.7265625" style="167"/>
    <col min="2" max="2" width="18.6328125" style="167" customWidth="1"/>
    <col min="3" max="3" width="15.81640625" style="167" customWidth="1"/>
    <col min="4" max="4" width="31.6328125" style="167" customWidth="1"/>
    <col min="5" max="5" width="17.453125" style="167" customWidth="1"/>
    <col min="6" max="6" width="57.6328125" style="167" customWidth="1"/>
    <col min="7" max="16384" width="8.7265625" style="167"/>
  </cols>
  <sheetData>
    <row r="3" spans="2:6" x14ac:dyDescent="0.35">
      <c r="B3" s="171" t="s">
        <v>200</v>
      </c>
      <c r="C3" s="172" t="s">
        <v>163</v>
      </c>
      <c r="D3" s="172" t="s">
        <v>201</v>
      </c>
      <c r="E3" s="172" t="s">
        <v>202</v>
      </c>
      <c r="F3" s="172" t="s">
        <v>203</v>
      </c>
    </row>
    <row r="4" spans="2:6" ht="72.5" x14ac:dyDescent="0.35">
      <c r="B4" s="168" t="s">
        <v>152</v>
      </c>
      <c r="C4" s="168" t="s">
        <v>287</v>
      </c>
      <c r="D4" s="168" t="s">
        <v>204</v>
      </c>
      <c r="E4" s="168" t="s">
        <v>205</v>
      </c>
      <c r="F4" s="169" t="s">
        <v>206</v>
      </c>
    </row>
    <row r="5" spans="2:6" ht="72.5" x14ac:dyDescent="0.35">
      <c r="B5" s="168" t="s">
        <v>153</v>
      </c>
      <c r="C5" s="168" t="s">
        <v>288</v>
      </c>
      <c r="D5" s="168" t="s">
        <v>207</v>
      </c>
      <c r="E5" s="168" t="s">
        <v>208</v>
      </c>
      <c r="F5" s="169" t="s">
        <v>209</v>
      </c>
    </row>
    <row r="6" spans="2:6" x14ac:dyDescent="0.35">
      <c r="B6" s="168" t="s">
        <v>210</v>
      </c>
      <c r="C6" s="168" t="s">
        <v>289</v>
      </c>
      <c r="D6" s="168" t="s">
        <v>211</v>
      </c>
      <c r="E6" s="168" t="s">
        <v>212</v>
      </c>
      <c r="F6" s="168"/>
    </row>
    <row r="7" spans="2:6" x14ac:dyDescent="0.35">
      <c r="B7" s="168" t="s">
        <v>154</v>
      </c>
      <c r="C7" s="168" t="s">
        <v>213</v>
      </c>
      <c r="D7" s="168" t="s">
        <v>214</v>
      </c>
      <c r="E7" s="168" t="s">
        <v>215</v>
      </c>
      <c r="F7" s="168"/>
    </row>
    <row r="8" spans="2:6" x14ac:dyDescent="0.35">
      <c r="B8" s="168" t="s">
        <v>155</v>
      </c>
      <c r="C8" s="168" t="s">
        <v>216</v>
      </c>
      <c r="D8" s="168" t="s">
        <v>217</v>
      </c>
      <c r="E8" s="168" t="s">
        <v>218</v>
      </c>
      <c r="F8" s="168"/>
    </row>
    <row r="9" spans="2:6" x14ac:dyDescent="0.35">
      <c r="B9" s="168" t="s">
        <v>156</v>
      </c>
      <c r="C9" s="168" t="s">
        <v>219</v>
      </c>
      <c r="D9" s="168" t="s">
        <v>220</v>
      </c>
      <c r="E9" s="168" t="s">
        <v>221</v>
      </c>
      <c r="F9" s="168"/>
    </row>
    <row r="10" spans="2:6" x14ac:dyDescent="0.35">
      <c r="B10" s="168" t="s">
        <v>222</v>
      </c>
      <c r="C10" s="168" t="s">
        <v>223</v>
      </c>
      <c r="D10" s="168" t="s">
        <v>224</v>
      </c>
      <c r="E10" s="168" t="s">
        <v>225</v>
      </c>
      <c r="F10" s="168"/>
    </row>
    <row r="11" spans="2:6" x14ac:dyDescent="0.35">
      <c r="B11" s="168" t="s">
        <v>157</v>
      </c>
      <c r="C11" s="168" t="s">
        <v>226</v>
      </c>
      <c r="D11" s="168" t="s">
        <v>227</v>
      </c>
      <c r="E11" s="168" t="s">
        <v>228</v>
      </c>
      <c r="F11" s="168"/>
    </row>
    <row r="12" spans="2:6" x14ac:dyDescent="0.35">
      <c r="B12" s="168" t="s">
        <v>158</v>
      </c>
      <c r="C12" s="168" t="s">
        <v>229</v>
      </c>
      <c r="D12" s="168"/>
      <c r="E12" s="168" t="s">
        <v>230</v>
      </c>
      <c r="F12" s="168"/>
    </row>
    <row r="13" spans="2:6" x14ac:dyDescent="0.35">
      <c r="B13" s="168" t="s">
        <v>159</v>
      </c>
      <c r="C13" s="168" t="s">
        <v>231</v>
      </c>
      <c r="D13" s="168"/>
      <c r="E13" s="168" t="s">
        <v>232</v>
      </c>
      <c r="F13" s="168"/>
    </row>
    <row r="14" spans="2:6" x14ac:dyDescent="0.35">
      <c r="B14" s="168" t="s">
        <v>160</v>
      </c>
      <c r="C14" s="168" t="s">
        <v>233</v>
      </c>
      <c r="D14" s="168"/>
      <c r="E14" s="168" t="s">
        <v>234</v>
      </c>
      <c r="F14" s="168"/>
    </row>
    <row r="15" spans="2:6" x14ac:dyDescent="0.35">
      <c r="B15" s="168" t="s">
        <v>161</v>
      </c>
      <c r="C15" s="168" t="s">
        <v>235</v>
      </c>
      <c r="D15" s="168"/>
      <c r="E15" s="168" t="s">
        <v>236</v>
      </c>
      <c r="F15" s="168"/>
    </row>
    <row r="16" spans="2:6" x14ac:dyDescent="0.35">
      <c r="B16" s="168"/>
      <c r="C16" s="168" t="s">
        <v>237</v>
      </c>
      <c r="D16" s="168"/>
      <c r="E16" s="168" t="s">
        <v>238</v>
      </c>
      <c r="F16" s="168"/>
    </row>
    <row r="17" spans="2:6" x14ac:dyDescent="0.35">
      <c r="B17" s="168"/>
      <c r="C17" s="168" t="s">
        <v>239</v>
      </c>
      <c r="D17" s="168"/>
      <c r="E17" s="168" t="s">
        <v>240</v>
      </c>
      <c r="F17" s="168"/>
    </row>
    <row r="18" spans="2:6" x14ac:dyDescent="0.35">
      <c r="B18" s="168"/>
      <c r="C18" s="168" t="s">
        <v>241</v>
      </c>
      <c r="D18" s="168"/>
      <c r="E18" s="168"/>
      <c r="F18" s="168"/>
    </row>
    <row r="19" spans="2:6" x14ac:dyDescent="0.35">
      <c r="B19" s="168"/>
      <c r="C19" s="168" t="s">
        <v>242</v>
      </c>
      <c r="D19" s="168"/>
      <c r="E19" s="168"/>
      <c r="F19" s="168"/>
    </row>
    <row r="20" spans="2:6" x14ac:dyDescent="0.35">
      <c r="B20" s="168"/>
      <c r="C20" s="168" t="s">
        <v>243</v>
      </c>
      <c r="D20" s="168"/>
      <c r="E20" s="168"/>
      <c r="F20" s="168"/>
    </row>
    <row r="21" spans="2:6" x14ac:dyDescent="0.35">
      <c r="B21" s="168"/>
      <c r="C21" s="168" t="s">
        <v>244</v>
      </c>
      <c r="D21" s="168"/>
      <c r="E21" s="168"/>
      <c r="F21" s="168"/>
    </row>
    <row r="22" spans="2:6" x14ac:dyDescent="0.35">
      <c r="B22" s="168"/>
      <c r="C22" s="168" t="s">
        <v>245</v>
      </c>
      <c r="D22" s="168"/>
      <c r="E22" s="168"/>
      <c r="F22" s="168"/>
    </row>
    <row r="23" spans="2:6" x14ac:dyDescent="0.35">
      <c r="B23" s="168"/>
      <c r="C23" s="168" t="s">
        <v>246</v>
      </c>
      <c r="D23" s="168"/>
      <c r="E23" s="168"/>
      <c r="F23" s="168"/>
    </row>
    <row r="24" spans="2:6" x14ac:dyDescent="0.35">
      <c r="B24" s="168"/>
      <c r="C24" s="168" t="s">
        <v>247</v>
      </c>
      <c r="D24" s="168"/>
      <c r="E24" s="168"/>
      <c r="F24" s="168"/>
    </row>
    <row r="27" spans="2:6" x14ac:dyDescent="0.35">
      <c r="B27" s="172" t="s">
        <v>248</v>
      </c>
      <c r="C27" s="172" t="s">
        <v>163</v>
      </c>
      <c r="D27" s="172" t="s">
        <v>202</v>
      </c>
      <c r="E27" s="172" t="s">
        <v>201</v>
      </c>
      <c r="F27" s="172" t="s">
        <v>172</v>
      </c>
    </row>
    <row r="28" spans="2:6" ht="43.5" x14ac:dyDescent="0.35">
      <c r="B28" s="168" t="s">
        <v>177</v>
      </c>
      <c r="C28" s="168" t="s">
        <v>290</v>
      </c>
      <c r="D28" s="168" t="s">
        <v>249</v>
      </c>
      <c r="E28" s="168" t="s">
        <v>204</v>
      </c>
      <c r="F28" s="169" t="s">
        <v>250</v>
      </c>
    </row>
    <row r="29" spans="2:6" ht="43.5" x14ac:dyDescent="0.35">
      <c r="B29" s="168" t="s">
        <v>180</v>
      </c>
      <c r="C29" s="168" t="s">
        <v>291</v>
      </c>
      <c r="D29" s="168" t="s">
        <v>251</v>
      </c>
      <c r="E29" s="168" t="s">
        <v>207</v>
      </c>
      <c r="F29" s="169" t="s">
        <v>252</v>
      </c>
    </row>
    <row r="30" spans="2:6" ht="58" x14ac:dyDescent="0.35">
      <c r="B30" s="168" t="s">
        <v>181</v>
      </c>
      <c r="C30" s="168" t="s">
        <v>292</v>
      </c>
      <c r="D30" s="168" t="s">
        <v>253</v>
      </c>
      <c r="E30" s="168" t="s">
        <v>211</v>
      </c>
      <c r="F30" s="169" t="s">
        <v>254</v>
      </c>
    </row>
    <row r="31" spans="2:6" x14ac:dyDescent="0.35">
      <c r="B31" s="168" t="s">
        <v>182</v>
      </c>
      <c r="C31" s="168" t="s">
        <v>213</v>
      </c>
      <c r="D31" s="168" t="s">
        <v>255</v>
      </c>
      <c r="E31" s="168" t="s">
        <v>220</v>
      </c>
      <c r="F31" s="168"/>
    </row>
    <row r="32" spans="2:6" x14ac:dyDescent="0.35">
      <c r="B32" s="168" t="s">
        <v>183</v>
      </c>
      <c r="C32" s="168" t="s">
        <v>216</v>
      </c>
      <c r="D32" s="168" t="s">
        <v>256</v>
      </c>
      <c r="E32" s="168" t="s">
        <v>257</v>
      </c>
      <c r="F32" s="168"/>
    </row>
    <row r="33" spans="2:6" x14ac:dyDescent="0.35">
      <c r="B33" s="168" t="s">
        <v>283</v>
      </c>
      <c r="C33" s="168" t="s">
        <v>219</v>
      </c>
      <c r="D33" s="168" t="s">
        <v>258</v>
      </c>
      <c r="E33" s="168" t="s">
        <v>259</v>
      </c>
      <c r="F33" s="168"/>
    </row>
    <row r="34" spans="2:6" x14ac:dyDescent="0.35">
      <c r="B34" s="168" t="s">
        <v>179</v>
      </c>
      <c r="C34" s="168" t="s">
        <v>223</v>
      </c>
      <c r="D34" s="168" t="s">
        <v>260</v>
      </c>
      <c r="E34" s="168" t="s">
        <v>261</v>
      </c>
      <c r="F34" s="168"/>
    </row>
    <row r="35" spans="2:6" x14ac:dyDescent="0.35">
      <c r="B35" s="168" t="s">
        <v>178</v>
      </c>
      <c r="C35" s="168" t="s">
        <v>226</v>
      </c>
      <c r="D35" s="168" t="s">
        <v>262</v>
      </c>
      <c r="E35" s="168" t="s">
        <v>227</v>
      </c>
      <c r="F35" s="168"/>
    </row>
    <row r="36" spans="2:6" x14ac:dyDescent="0.35">
      <c r="B36" s="168"/>
      <c r="C36" s="168" t="s">
        <v>229</v>
      </c>
      <c r="D36" s="168" t="s">
        <v>263</v>
      </c>
      <c r="E36" s="168"/>
      <c r="F36" s="168"/>
    </row>
    <row r="37" spans="2:6" x14ac:dyDescent="0.35">
      <c r="B37" s="168"/>
      <c r="C37" s="168" t="s">
        <v>231</v>
      </c>
      <c r="D37" s="168"/>
      <c r="E37" s="168"/>
      <c r="F37" s="168"/>
    </row>
    <row r="38" spans="2:6" x14ac:dyDescent="0.35">
      <c r="B38" s="168"/>
      <c r="C38" s="168" t="s">
        <v>233</v>
      </c>
      <c r="D38" s="168"/>
      <c r="E38" s="168"/>
      <c r="F38" s="168"/>
    </row>
    <row r="39" spans="2:6" x14ac:dyDescent="0.35">
      <c r="B39" s="168"/>
      <c r="C39" s="168" t="s">
        <v>235</v>
      </c>
      <c r="D39" s="168"/>
      <c r="E39" s="168"/>
      <c r="F39" s="168"/>
    </row>
    <row r="40" spans="2:6" x14ac:dyDescent="0.35">
      <c r="B40" s="168"/>
      <c r="C40" s="168" t="s">
        <v>237</v>
      </c>
      <c r="D40" s="168"/>
      <c r="E40" s="168"/>
      <c r="F40" s="168"/>
    </row>
    <row r="41" spans="2:6" x14ac:dyDescent="0.35">
      <c r="B41" s="168"/>
      <c r="C41" s="168" t="s">
        <v>239</v>
      </c>
      <c r="D41" s="168"/>
      <c r="E41" s="168"/>
      <c r="F41" s="168"/>
    </row>
    <row r="42" spans="2:6" x14ac:dyDescent="0.35">
      <c r="B42" s="168"/>
      <c r="C42" s="168" t="s">
        <v>241</v>
      </c>
      <c r="D42" s="168"/>
      <c r="E42" s="168"/>
      <c r="F42" s="168"/>
    </row>
    <row r="43" spans="2:6" x14ac:dyDescent="0.35">
      <c r="B43" s="168"/>
      <c r="C43" s="168" t="s">
        <v>242</v>
      </c>
      <c r="D43" s="168"/>
      <c r="E43" s="168"/>
      <c r="F43" s="168"/>
    </row>
    <row r="44" spans="2:6" x14ac:dyDescent="0.35">
      <c r="B44" s="168"/>
      <c r="C44" s="168" t="s">
        <v>243</v>
      </c>
      <c r="D44" s="168"/>
      <c r="E44" s="168"/>
      <c r="F44" s="168"/>
    </row>
    <row r="45" spans="2:6" x14ac:dyDescent="0.35">
      <c r="B45" s="168"/>
      <c r="C45" s="168" t="s">
        <v>244</v>
      </c>
      <c r="D45" s="168"/>
      <c r="E45" s="168"/>
      <c r="F45" s="168"/>
    </row>
    <row r="46" spans="2:6" x14ac:dyDescent="0.35">
      <c r="B46" s="168"/>
      <c r="C46" s="168" t="s">
        <v>245</v>
      </c>
      <c r="D46" s="168"/>
      <c r="E46" s="168"/>
      <c r="F46" s="168"/>
    </row>
    <row r="47" spans="2:6" x14ac:dyDescent="0.35">
      <c r="B47" s="168"/>
      <c r="C47" s="168" t="s">
        <v>246</v>
      </c>
      <c r="D47" s="168"/>
      <c r="E47" s="168"/>
      <c r="F47" s="168"/>
    </row>
    <row r="48" spans="2:6" x14ac:dyDescent="0.35">
      <c r="B48" s="168"/>
      <c r="C48" s="168" t="s">
        <v>247</v>
      </c>
      <c r="D48" s="168"/>
      <c r="E48" s="168"/>
      <c r="F48" s="168"/>
    </row>
    <row r="50" spans="2:6" x14ac:dyDescent="0.35">
      <c r="B50" s="172" t="s">
        <v>264</v>
      </c>
      <c r="C50" s="172" t="s">
        <v>163</v>
      </c>
      <c r="D50" s="172" t="s">
        <v>202</v>
      </c>
      <c r="E50" s="172" t="s">
        <v>201</v>
      </c>
      <c r="F50" s="172" t="s">
        <v>265</v>
      </c>
    </row>
    <row r="51" spans="2:6" ht="58" x14ac:dyDescent="0.35">
      <c r="B51" s="168" t="s">
        <v>193</v>
      </c>
      <c r="C51" s="168" t="s">
        <v>293</v>
      </c>
      <c r="D51" s="168" t="s">
        <v>266</v>
      </c>
      <c r="E51" s="168" t="s">
        <v>204</v>
      </c>
      <c r="F51" s="169" t="s">
        <v>267</v>
      </c>
    </row>
    <row r="52" spans="2:6" ht="58" x14ac:dyDescent="0.35">
      <c r="B52" s="168" t="s">
        <v>194</v>
      </c>
      <c r="C52" s="168" t="s">
        <v>294</v>
      </c>
      <c r="D52" s="168" t="s">
        <v>258</v>
      </c>
      <c r="E52" s="168" t="s">
        <v>220</v>
      </c>
      <c r="F52" s="169" t="s">
        <v>268</v>
      </c>
    </row>
    <row r="53" spans="2:6" x14ac:dyDescent="0.35">
      <c r="B53" s="168" t="s">
        <v>195</v>
      </c>
      <c r="C53" s="168" t="s">
        <v>295</v>
      </c>
      <c r="D53" s="168" t="s">
        <v>269</v>
      </c>
      <c r="E53" s="168" t="s">
        <v>207</v>
      </c>
      <c r="F53" s="168"/>
    </row>
    <row r="54" spans="2:6" x14ac:dyDescent="0.35">
      <c r="B54" s="168" t="s">
        <v>196</v>
      </c>
      <c r="C54" s="168" t="s">
        <v>213</v>
      </c>
      <c r="D54" s="168" t="s">
        <v>270</v>
      </c>
      <c r="E54" s="170" t="s">
        <v>271</v>
      </c>
      <c r="F54" s="168"/>
    </row>
    <row r="55" spans="2:6" x14ac:dyDescent="0.35">
      <c r="B55" s="168" t="s">
        <v>197</v>
      </c>
      <c r="C55" s="168" t="s">
        <v>216</v>
      </c>
      <c r="D55" s="168" t="s">
        <v>272</v>
      </c>
      <c r="E55" s="168" t="s">
        <v>259</v>
      </c>
      <c r="F55" s="168"/>
    </row>
    <row r="56" spans="2:6" x14ac:dyDescent="0.35">
      <c r="B56" s="168" t="s">
        <v>179</v>
      </c>
      <c r="C56" s="168" t="s">
        <v>219</v>
      </c>
      <c r="D56" s="168" t="s">
        <v>273</v>
      </c>
      <c r="E56" s="168" t="s">
        <v>211</v>
      </c>
      <c r="F56" s="168"/>
    </row>
    <row r="57" spans="2:6" x14ac:dyDescent="0.35">
      <c r="B57" s="168" t="s">
        <v>178</v>
      </c>
      <c r="C57" s="168" t="s">
        <v>223</v>
      </c>
      <c r="D57" s="168" t="s">
        <v>274</v>
      </c>
      <c r="E57" s="168" t="s">
        <v>275</v>
      </c>
      <c r="F57" s="168"/>
    </row>
    <row r="58" spans="2:6" x14ac:dyDescent="0.35">
      <c r="B58" s="168" t="s">
        <v>198</v>
      </c>
      <c r="C58" s="168" t="s">
        <v>226</v>
      </c>
      <c r="D58" s="168" t="s">
        <v>276</v>
      </c>
      <c r="E58" s="168" t="s">
        <v>261</v>
      </c>
      <c r="F58" s="168"/>
    </row>
    <row r="59" spans="2:6" x14ac:dyDescent="0.35">
      <c r="B59" s="168"/>
      <c r="C59" s="168" t="s">
        <v>229</v>
      </c>
      <c r="D59" s="168" t="s">
        <v>277</v>
      </c>
      <c r="E59" s="168" t="s">
        <v>227</v>
      </c>
      <c r="F59" s="168"/>
    </row>
    <row r="60" spans="2:6" x14ac:dyDescent="0.35">
      <c r="B60" s="168"/>
      <c r="C60" s="168" t="s">
        <v>231</v>
      </c>
      <c r="D60" s="168"/>
      <c r="E60" s="168"/>
      <c r="F60" s="168"/>
    </row>
    <row r="61" spans="2:6" x14ac:dyDescent="0.35">
      <c r="B61" s="168"/>
      <c r="C61" s="168" t="s">
        <v>233</v>
      </c>
      <c r="D61" s="168"/>
      <c r="E61" s="168"/>
      <c r="F61" s="168"/>
    </row>
    <row r="62" spans="2:6" x14ac:dyDescent="0.35">
      <c r="B62" s="168"/>
      <c r="C62" s="168" t="s">
        <v>235</v>
      </c>
      <c r="D62" s="168"/>
      <c r="E62" s="168"/>
      <c r="F62" s="168"/>
    </row>
    <row r="63" spans="2:6" x14ac:dyDescent="0.35">
      <c r="B63" s="168"/>
      <c r="C63" s="168" t="s">
        <v>237</v>
      </c>
      <c r="D63" s="168"/>
      <c r="E63" s="168"/>
      <c r="F63" s="168"/>
    </row>
    <row r="64" spans="2:6" x14ac:dyDescent="0.35">
      <c r="B64" s="168"/>
      <c r="C64" s="168" t="s">
        <v>239</v>
      </c>
      <c r="D64" s="168"/>
      <c r="E64" s="168"/>
      <c r="F64" s="168"/>
    </row>
    <row r="65" spans="2:6" x14ac:dyDescent="0.35">
      <c r="B65" s="168"/>
      <c r="C65" s="168" t="s">
        <v>241</v>
      </c>
      <c r="D65" s="168"/>
      <c r="E65" s="168"/>
      <c r="F65" s="168"/>
    </row>
    <row r="66" spans="2:6" x14ac:dyDescent="0.35">
      <c r="B66" s="168"/>
      <c r="C66" s="168" t="s">
        <v>242</v>
      </c>
      <c r="D66" s="168"/>
      <c r="E66" s="168"/>
      <c r="F66" s="168"/>
    </row>
    <row r="67" spans="2:6" x14ac:dyDescent="0.35">
      <c r="B67" s="168"/>
      <c r="C67" s="168" t="s">
        <v>243</v>
      </c>
      <c r="D67" s="168"/>
      <c r="E67" s="168"/>
      <c r="F67" s="168"/>
    </row>
    <row r="68" spans="2:6" x14ac:dyDescent="0.35">
      <c r="B68" s="168"/>
      <c r="C68" s="168" t="s">
        <v>244</v>
      </c>
      <c r="D68" s="168"/>
      <c r="E68" s="168"/>
      <c r="F68" s="168"/>
    </row>
    <row r="69" spans="2:6" x14ac:dyDescent="0.35">
      <c r="B69" s="168"/>
      <c r="C69" s="168" t="s">
        <v>245</v>
      </c>
      <c r="D69" s="168"/>
      <c r="E69" s="168"/>
      <c r="F69" s="168"/>
    </row>
    <row r="70" spans="2:6" x14ac:dyDescent="0.35">
      <c r="B70" s="168"/>
      <c r="C70" s="168" t="s">
        <v>246</v>
      </c>
      <c r="D70" s="168"/>
      <c r="E70" s="168"/>
      <c r="F70" s="168"/>
    </row>
    <row r="71" spans="2:6" x14ac:dyDescent="0.35">
      <c r="B71" s="168"/>
      <c r="C71" s="168" t="s">
        <v>247</v>
      </c>
      <c r="D71" s="168"/>
      <c r="E71" s="168"/>
      <c r="F71" s="168"/>
    </row>
    <row r="76" spans="2:6" x14ac:dyDescent="0.35">
      <c r="B76" s="172" t="s">
        <v>278</v>
      </c>
    </row>
    <row r="77" spans="2:6" x14ac:dyDescent="0.35">
      <c r="B77" s="168" t="s">
        <v>167</v>
      </c>
    </row>
    <row r="78" spans="2:6" x14ac:dyDescent="0.35">
      <c r="B78" s="168" t="s">
        <v>279</v>
      </c>
    </row>
    <row r="79" spans="2:6" x14ac:dyDescent="0.35">
      <c r="B79" s="168" t="s">
        <v>280</v>
      </c>
    </row>
    <row r="80" spans="2:6" x14ac:dyDescent="0.35">
      <c r="B80" s="168" t="s">
        <v>281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X30"/>
  <sheetViews>
    <sheetView zoomScale="78" zoomScaleNormal="78" zoomScaleSheetLayoutView="80" zoomScalePageLayoutView="70" workbookViewId="0">
      <selection activeCell="AW4" sqref="AW4"/>
    </sheetView>
  </sheetViews>
  <sheetFormatPr defaultColWidth="8.08984375" defaultRowHeight="14.5" x14ac:dyDescent="0.35"/>
  <cols>
    <col min="1" max="1" width="2.7265625" style="97" customWidth="1"/>
    <col min="2" max="2" width="8.08984375" style="97" customWidth="1"/>
    <col min="3" max="3" width="3" style="97" customWidth="1"/>
    <col min="4" max="4" width="17.6328125" style="97" customWidth="1"/>
    <col min="5" max="5" width="8.08984375" style="97"/>
    <col min="6" max="6" width="2.1796875" style="97" customWidth="1"/>
    <col min="7" max="7" width="3" style="97" customWidth="1"/>
    <col min="8" max="8" width="2.1796875" style="97" customWidth="1"/>
    <col min="9" max="9" width="3" style="97" customWidth="1"/>
    <col min="10" max="10" width="2.1796875" style="97" customWidth="1"/>
    <col min="11" max="11" width="3" style="97" customWidth="1"/>
    <col min="12" max="12" width="2.1796875" style="97" customWidth="1"/>
    <col min="13" max="13" width="3" style="97" customWidth="1"/>
    <col min="14" max="14" width="2.1796875" style="97" customWidth="1"/>
    <col min="15" max="15" width="3" style="97" customWidth="1"/>
    <col min="16" max="16" width="2.1796875" style="97" customWidth="1"/>
    <col min="17" max="17" width="3" style="97" customWidth="1"/>
    <col min="18" max="18" width="2.1796875" style="97" customWidth="1"/>
    <col min="19" max="19" width="3" style="97" customWidth="1"/>
    <col min="20" max="20" width="2.1796875" style="97" customWidth="1"/>
    <col min="21" max="21" width="6" style="97" customWidth="1"/>
    <col min="22" max="22" width="4.6328125" style="97" customWidth="1"/>
    <col min="23" max="23" width="10.81640625" style="97" customWidth="1"/>
    <col min="24" max="24" width="2.81640625" style="97" customWidth="1"/>
    <col min="25" max="25" width="4.453125" style="97" customWidth="1"/>
    <col min="26" max="26" width="3" style="97" customWidth="1"/>
    <col min="27" max="27" width="8.08984375" style="97"/>
    <col min="28" max="28" width="2.1796875" style="97" customWidth="1"/>
    <col min="29" max="29" width="3" style="97" customWidth="1"/>
    <col min="30" max="30" width="2.1796875" style="97" customWidth="1"/>
    <col min="31" max="31" width="3" style="97" customWidth="1"/>
    <col min="32" max="32" width="2.1796875" style="97" customWidth="1"/>
    <col min="33" max="33" width="3" style="97" customWidth="1"/>
    <col min="34" max="34" width="2.1796875" style="97" customWidth="1"/>
    <col min="35" max="35" width="3" style="97" customWidth="1"/>
    <col min="36" max="36" width="2.1796875" style="97" customWidth="1"/>
    <col min="37" max="37" width="3" style="97" customWidth="1"/>
    <col min="38" max="38" width="2.1796875" style="97" customWidth="1"/>
    <col min="39" max="39" width="3" style="97" customWidth="1"/>
    <col min="40" max="40" width="2.1796875" style="97" customWidth="1"/>
    <col min="41" max="41" width="3" style="97" customWidth="1"/>
    <col min="42" max="42" width="2.1796875" style="97" customWidth="1"/>
    <col min="43" max="43" width="0" style="97" hidden="1" customWidth="1"/>
    <col min="44" max="44" width="8.08984375" style="97" hidden="1" customWidth="1"/>
    <col min="45" max="45" width="3.453125" style="97" hidden="1" customWidth="1"/>
    <col min="46" max="46" width="17.08984375" style="97" hidden="1" customWidth="1"/>
    <col min="47" max="47" width="18" style="97" hidden="1" customWidth="1"/>
    <col min="48" max="51" width="8.08984375" style="97" customWidth="1"/>
    <col min="52" max="16384" width="8.08984375" style="97"/>
  </cols>
  <sheetData>
    <row r="1" spans="2:50" ht="21" customHeight="1" x14ac:dyDescent="0.35">
      <c r="B1" s="88"/>
      <c r="C1" s="89"/>
      <c r="D1" s="89"/>
      <c r="E1" s="89"/>
      <c r="F1" s="90"/>
      <c r="G1" s="90"/>
      <c r="H1" s="90"/>
      <c r="I1" s="90"/>
      <c r="J1" s="90"/>
      <c r="K1" s="90"/>
      <c r="L1" s="90"/>
      <c r="M1" s="90"/>
      <c r="N1" s="91"/>
      <c r="O1" s="90"/>
      <c r="P1" s="90"/>
      <c r="Q1" s="90"/>
      <c r="R1" s="91"/>
      <c r="S1" s="90"/>
      <c r="T1" s="91"/>
      <c r="U1" s="92"/>
      <c r="V1" s="92"/>
      <c r="W1" s="89"/>
      <c r="X1" s="89"/>
      <c r="Y1" s="93"/>
      <c r="Z1" s="93"/>
      <c r="AA1" s="93"/>
      <c r="AB1" s="94"/>
      <c r="AC1" s="90"/>
      <c r="AD1" s="90"/>
      <c r="AE1" s="90"/>
      <c r="AF1" s="90"/>
      <c r="AG1" s="90"/>
      <c r="AH1" s="90"/>
      <c r="AI1" s="90"/>
      <c r="AJ1" s="91"/>
      <c r="AK1" s="90"/>
      <c r="AL1" s="90"/>
      <c r="AM1" s="90"/>
      <c r="AN1" s="91"/>
      <c r="AO1" s="90"/>
      <c r="AP1" s="92"/>
      <c r="AQ1" s="92"/>
      <c r="AR1" s="95"/>
      <c r="AS1" s="96"/>
      <c r="AT1" s="96"/>
      <c r="AU1" s="96"/>
      <c r="AV1" s="96"/>
    </row>
    <row r="2" spans="2:50" ht="18.649999999999999" customHeight="1" thickBot="1" x14ac:dyDescent="0.4">
      <c r="B2" s="88"/>
      <c r="C2" s="316" t="s">
        <v>125</v>
      </c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95"/>
      <c r="AS2" s="96"/>
      <c r="AT2" s="96"/>
      <c r="AU2" s="96"/>
      <c r="AV2" s="96"/>
    </row>
    <row r="3" spans="2:50" ht="39" customHeight="1" thickTop="1" x14ac:dyDescent="0.35">
      <c r="B3" s="96"/>
      <c r="C3" s="317" t="s">
        <v>126</v>
      </c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98"/>
      <c r="AR3" s="98"/>
      <c r="AS3" s="98"/>
      <c r="AT3" s="98"/>
      <c r="AU3" s="98"/>
      <c r="AV3" s="96"/>
    </row>
    <row r="4" spans="2:50" ht="18.649999999999999" customHeight="1" x14ac:dyDescent="0.35">
      <c r="B4" s="96"/>
      <c r="C4" s="318" t="s">
        <v>127</v>
      </c>
      <c r="D4" s="318"/>
      <c r="E4" s="318"/>
      <c r="F4" s="318"/>
      <c r="G4" s="318"/>
      <c r="H4" s="318"/>
      <c r="I4" s="318"/>
      <c r="J4" s="318"/>
      <c r="K4" s="318" t="s">
        <v>128</v>
      </c>
      <c r="L4" s="318"/>
      <c r="M4" s="318"/>
      <c r="N4" s="318"/>
      <c r="O4" s="318"/>
      <c r="P4" s="318" t="s">
        <v>129</v>
      </c>
      <c r="Q4" s="318"/>
      <c r="R4" s="318"/>
      <c r="S4" s="318"/>
      <c r="T4" s="318"/>
      <c r="U4" s="318" t="s">
        <v>130</v>
      </c>
      <c r="V4" s="318"/>
      <c r="W4" s="318"/>
      <c r="X4" s="318" t="s">
        <v>131</v>
      </c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318"/>
      <c r="AK4" s="318"/>
      <c r="AL4" s="318"/>
      <c r="AM4" s="318"/>
      <c r="AN4" s="318"/>
      <c r="AO4" s="318"/>
      <c r="AP4" s="318"/>
      <c r="AQ4" s="96"/>
      <c r="AR4" s="96"/>
      <c r="AS4" s="96"/>
      <c r="AT4" s="96"/>
      <c r="AU4" s="96"/>
      <c r="AV4" s="96"/>
      <c r="AW4" s="99" t="s">
        <v>132</v>
      </c>
      <c r="AX4" s="99"/>
    </row>
    <row r="5" spans="2:50" ht="44.4" customHeight="1" x14ac:dyDescent="0.35">
      <c r="B5" s="96"/>
      <c r="C5" s="318" t="s">
        <v>7</v>
      </c>
      <c r="D5" s="318"/>
      <c r="E5" s="318"/>
      <c r="F5" s="318"/>
      <c r="G5" s="318"/>
      <c r="H5" s="318"/>
      <c r="I5" s="318"/>
      <c r="J5" s="318"/>
      <c r="K5" s="319">
        <v>325600</v>
      </c>
      <c r="L5" s="319"/>
      <c r="M5" s="319"/>
      <c r="N5" s="319"/>
      <c r="O5" s="319"/>
      <c r="P5" s="319">
        <v>304567</v>
      </c>
      <c r="Q5" s="319"/>
      <c r="R5" s="319"/>
      <c r="S5" s="319"/>
      <c r="T5" s="319"/>
      <c r="U5" s="320" t="s">
        <v>132</v>
      </c>
      <c r="V5" s="320"/>
      <c r="W5" s="320"/>
      <c r="X5" s="322" t="str">
        <f>IF(OR(AS30=0,AS30=25),AT22,IF(OR(AS30=50,AS30=75),AT23,IF(AS30=100,AT24,0)))</f>
        <v>AT STANDART</v>
      </c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4"/>
      <c r="AQ5" s="96"/>
      <c r="AR5" s="96"/>
      <c r="AS5" s="96"/>
      <c r="AT5" s="96"/>
      <c r="AU5" s="96"/>
      <c r="AV5" s="96"/>
      <c r="AW5" s="99" t="s">
        <v>133</v>
      </c>
      <c r="AX5" s="99"/>
    </row>
    <row r="6" spans="2:50" ht="44.4" customHeight="1" x14ac:dyDescent="0.35">
      <c r="B6" s="96"/>
      <c r="C6" s="331" t="s">
        <v>134</v>
      </c>
      <c r="D6" s="331"/>
      <c r="E6" s="331"/>
      <c r="F6" s="331"/>
      <c r="G6" s="331"/>
      <c r="H6" s="331"/>
      <c r="I6" s="331"/>
      <c r="J6" s="331"/>
      <c r="K6" s="319">
        <v>316</v>
      </c>
      <c r="L6" s="319"/>
      <c r="M6" s="319"/>
      <c r="N6" s="319"/>
      <c r="O6" s="319"/>
      <c r="P6" s="319">
        <v>317</v>
      </c>
      <c r="Q6" s="319"/>
      <c r="R6" s="319"/>
      <c r="S6" s="319"/>
      <c r="T6" s="319"/>
      <c r="U6" s="320" t="s">
        <v>132</v>
      </c>
      <c r="V6" s="320"/>
      <c r="W6" s="320"/>
      <c r="X6" s="325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326"/>
      <c r="AL6" s="326"/>
      <c r="AM6" s="326"/>
      <c r="AN6" s="326"/>
      <c r="AO6" s="326"/>
      <c r="AP6" s="327"/>
      <c r="AQ6" s="96"/>
      <c r="AR6" s="96"/>
      <c r="AS6" s="96"/>
      <c r="AT6" s="96"/>
      <c r="AU6" s="96"/>
      <c r="AV6" s="96"/>
    </row>
    <row r="7" spans="2:50" ht="44.4" customHeight="1" x14ac:dyDescent="0.35">
      <c r="B7" s="96"/>
      <c r="C7" s="318" t="s">
        <v>135</v>
      </c>
      <c r="D7" s="318"/>
      <c r="E7" s="318"/>
      <c r="F7" s="318"/>
      <c r="G7" s="318"/>
      <c r="H7" s="318"/>
      <c r="I7" s="318"/>
      <c r="J7" s="318"/>
      <c r="K7" s="319">
        <v>7.1</v>
      </c>
      <c r="L7" s="319"/>
      <c r="M7" s="319"/>
      <c r="N7" s="319"/>
      <c r="O7" s="319"/>
      <c r="P7" s="319">
        <v>7.5</v>
      </c>
      <c r="Q7" s="319"/>
      <c r="R7" s="319"/>
      <c r="S7" s="319"/>
      <c r="T7" s="319"/>
      <c r="U7" s="320" t="s">
        <v>132</v>
      </c>
      <c r="V7" s="320"/>
      <c r="W7" s="320"/>
      <c r="X7" s="328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30"/>
      <c r="AQ7" s="96"/>
      <c r="AR7" s="96"/>
      <c r="AS7" s="96"/>
      <c r="AT7" s="96"/>
      <c r="AU7" s="96"/>
      <c r="AV7" s="96"/>
    </row>
    <row r="8" spans="2:50" ht="18.649999999999999" customHeight="1" x14ac:dyDescent="0.35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</row>
    <row r="9" spans="2:50" ht="18.649999999999999" customHeight="1" x14ac:dyDescent="0.35">
      <c r="B9" s="96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321"/>
      <c r="AJ9" s="321"/>
      <c r="AK9" s="321"/>
      <c r="AL9" s="321"/>
      <c r="AM9" s="321"/>
      <c r="AN9" s="321"/>
      <c r="AO9" s="321"/>
      <c r="AP9" s="321"/>
      <c r="AQ9" s="96"/>
      <c r="AR9" s="96"/>
      <c r="AS9" s="96"/>
      <c r="AT9" s="96"/>
      <c r="AU9" s="96"/>
      <c r="AV9" s="96"/>
    </row>
    <row r="10" spans="2:50" ht="18.649999999999999" customHeight="1" x14ac:dyDescent="0.35">
      <c r="AS10" s="100"/>
      <c r="AT10" s="100"/>
    </row>
    <row r="11" spans="2:50" x14ac:dyDescent="0.35">
      <c r="AS11" s="100"/>
      <c r="AT11" s="100"/>
    </row>
    <row r="12" spans="2:50" x14ac:dyDescent="0.35">
      <c r="AS12" s="100"/>
      <c r="AT12" s="100"/>
    </row>
    <row r="13" spans="2:50" x14ac:dyDescent="0.35">
      <c r="AS13" s="100"/>
      <c r="AT13" s="100"/>
    </row>
    <row r="14" spans="2:50" x14ac:dyDescent="0.35">
      <c r="AS14" s="100"/>
      <c r="AT14" s="100"/>
    </row>
    <row r="15" spans="2:50" x14ac:dyDescent="0.35">
      <c r="AS15" s="100"/>
      <c r="AT15" s="100"/>
    </row>
    <row r="16" spans="2:50" x14ac:dyDescent="0.35">
      <c r="AS16" s="100"/>
      <c r="AT16" s="100"/>
    </row>
    <row r="17" spans="45:47" x14ac:dyDescent="0.35">
      <c r="AS17" s="100"/>
      <c r="AT17" s="100"/>
    </row>
    <row r="18" spans="45:47" x14ac:dyDescent="0.35">
      <c r="AS18" s="100"/>
      <c r="AT18" s="100"/>
    </row>
    <row r="19" spans="45:47" x14ac:dyDescent="0.35">
      <c r="AS19" s="100"/>
      <c r="AT19" s="100"/>
    </row>
    <row r="20" spans="45:47" x14ac:dyDescent="0.35">
      <c r="AS20" s="100"/>
      <c r="AT20" s="100"/>
    </row>
    <row r="21" spans="45:47" x14ac:dyDescent="0.35">
      <c r="AS21" s="100"/>
      <c r="AT21" s="100"/>
    </row>
    <row r="22" spans="45:47" x14ac:dyDescent="0.35">
      <c r="AS22" s="100"/>
      <c r="AT22" s="100" t="s">
        <v>136</v>
      </c>
    </row>
    <row r="23" spans="45:47" x14ac:dyDescent="0.35">
      <c r="AS23" s="100"/>
      <c r="AT23" s="100" t="s">
        <v>137</v>
      </c>
    </row>
    <row r="24" spans="45:47" x14ac:dyDescent="0.35">
      <c r="AS24" s="100"/>
      <c r="AT24" s="100" t="s">
        <v>138</v>
      </c>
    </row>
    <row r="25" spans="45:47" x14ac:dyDescent="0.35">
      <c r="AS25" s="100"/>
      <c r="AT25" s="100"/>
    </row>
    <row r="26" spans="45:47" x14ac:dyDescent="0.35">
      <c r="AS26" s="100"/>
      <c r="AT26" s="101" t="s">
        <v>139</v>
      </c>
      <c r="AU26" s="101" t="s">
        <v>140</v>
      </c>
    </row>
    <row r="27" spans="45:47" x14ac:dyDescent="0.35">
      <c r="AS27" s="100">
        <f>IF($U$5="Выполнено",50,0)</f>
        <v>50</v>
      </c>
      <c r="AT27" s="100" t="s">
        <v>134</v>
      </c>
      <c r="AU27" s="100" t="s">
        <v>141</v>
      </c>
    </row>
    <row r="28" spans="45:47" x14ac:dyDescent="0.35">
      <c r="AS28" s="100">
        <f>IF($U$6="Выполнено",25,0)</f>
        <v>25</v>
      </c>
      <c r="AT28" s="100" t="s">
        <v>142</v>
      </c>
      <c r="AU28" s="100" t="s">
        <v>135</v>
      </c>
    </row>
    <row r="29" spans="45:47" x14ac:dyDescent="0.35">
      <c r="AS29" s="100">
        <f>IF($U$7="Выполнено",25,0)</f>
        <v>25</v>
      </c>
      <c r="AT29" s="100"/>
    </row>
    <row r="30" spans="45:47" x14ac:dyDescent="0.35">
      <c r="AS30" s="100">
        <f>SUM(AS27:AS29)</f>
        <v>100</v>
      </c>
      <c r="AT30" s="100"/>
    </row>
  </sheetData>
  <sheetProtection selectLockedCells="1"/>
  <mergeCells count="21">
    <mergeCell ref="K7:O7"/>
    <mergeCell ref="P7:T7"/>
    <mergeCell ref="U7:W7"/>
    <mergeCell ref="C9:AP9"/>
    <mergeCell ref="C5:J5"/>
    <mergeCell ref="K5:O5"/>
    <mergeCell ref="P5:T5"/>
    <mergeCell ref="U5:W5"/>
    <mergeCell ref="X5:AP7"/>
    <mergeCell ref="C6:J6"/>
    <mergeCell ref="K6:O6"/>
    <mergeCell ref="P6:T6"/>
    <mergeCell ref="U6:W6"/>
    <mergeCell ref="C7:J7"/>
    <mergeCell ref="C2:AQ2"/>
    <mergeCell ref="C3:AP3"/>
    <mergeCell ref="C4:J4"/>
    <mergeCell ref="K4:O4"/>
    <mergeCell ref="P4:T4"/>
    <mergeCell ref="U4:W4"/>
    <mergeCell ref="X4:AP4"/>
  </mergeCells>
  <conditionalFormatting sqref="U5:W7">
    <cfRule type="cellIs" dxfId="3" priority="4" operator="equal">
      <formula>"Выполнено"</formula>
    </cfRule>
  </conditionalFormatting>
  <conditionalFormatting sqref="X5:AP7">
    <cfRule type="cellIs" dxfId="2" priority="1" operator="equal">
      <formula>$AT$24</formula>
    </cfRule>
    <cfRule type="cellIs" dxfId="1" priority="2" operator="equal">
      <formula>$AT$23</formula>
    </cfRule>
    <cfRule type="cellIs" dxfId="0" priority="3" operator="equal">
      <formula>$AT$22</formula>
    </cfRule>
  </conditionalFormatting>
  <dataValidations count="3">
    <dataValidation type="list" allowBlank="1" showInputMessage="1" showErrorMessage="1" sqref="C6:J6">
      <formula1>$AT$27:$AT$37</formula1>
    </dataValidation>
    <dataValidation type="list" allowBlank="1" showInputMessage="1" showErrorMessage="1" sqref="C7:J7">
      <formula1>$AU$27:$AU$34</formula1>
    </dataValidation>
    <dataValidation type="list" allowBlank="1" showInputMessage="1" showErrorMessage="1" sqref="U5:W7">
      <formula1>$AW$4:$AW$5</formula1>
    </dataValidation>
  </dataValidations>
  <pageMargins left="0" right="0" top="0" bottom="0" header="0" footer="0"/>
  <pageSetup paperSize="9" scale="43" fitToHeight="2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8"/>
  <sheetViews>
    <sheetView view="pageBreakPreview" zoomScale="60" zoomScaleNormal="100" workbookViewId="0">
      <selection activeCell="A17" sqref="A17:B17"/>
    </sheetView>
  </sheetViews>
  <sheetFormatPr defaultRowHeight="14.5" x14ac:dyDescent="0.35"/>
  <cols>
    <col min="1" max="1" width="157.54296875" style="174" customWidth="1"/>
    <col min="2" max="2" width="5.7265625" style="174" customWidth="1"/>
    <col min="3" max="16384" width="8.7265625" style="174"/>
  </cols>
  <sheetData>
    <row r="1" spans="1:2" ht="19" thickBot="1" x14ac:dyDescent="0.4">
      <c r="A1" s="332" t="s">
        <v>282</v>
      </c>
      <c r="B1" s="333"/>
    </row>
    <row r="2" spans="1:2" ht="18.5" x14ac:dyDescent="0.35">
      <c r="A2" s="334" t="s">
        <v>145</v>
      </c>
      <c r="B2" s="335"/>
    </row>
    <row r="3" spans="1:2" ht="18.5" x14ac:dyDescent="0.35">
      <c r="A3" s="336" t="s">
        <v>146</v>
      </c>
      <c r="B3" s="337"/>
    </row>
    <row r="4" spans="1:2" ht="18.5" x14ac:dyDescent="0.35">
      <c r="A4" s="336" t="s">
        <v>147</v>
      </c>
      <c r="B4" s="337"/>
    </row>
    <row r="5" spans="1:2" ht="19" thickBot="1" x14ac:dyDescent="0.4">
      <c r="A5" s="338" t="s">
        <v>148</v>
      </c>
      <c r="B5" s="339"/>
    </row>
    <row r="6" spans="1:2" ht="19" thickBot="1" x14ac:dyDescent="0.4">
      <c r="A6" s="332" t="s">
        <v>143</v>
      </c>
      <c r="B6" s="333"/>
    </row>
    <row r="7" spans="1:2" ht="37" x14ac:dyDescent="0.35">
      <c r="A7" s="175" t="s">
        <v>296</v>
      </c>
      <c r="B7" s="176"/>
    </row>
    <row r="8" spans="1:2" ht="37" x14ac:dyDescent="0.35">
      <c r="A8" s="177" t="s">
        <v>297</v>
      </c>
      <c r="B8" s="178"/>
    </row>
    <row r="9" spans="1:2" ht="18.5" x14ac:dyDescent="0.35">
      <c r="A9" s="177" t="s">
        <v>312</v>
      </c>
      <c r="B9" s="178"/>
    </row>
    <row r="10" spans="1:2" ht="18.5" x14ac:dyDescent="0.35">
      <c r="A10" s="177" t="s">
        <v>313</v>
      </c>
      <c r="B10" s="178"/>
    </row>
    <row r="11" spans="1:2" ht="18.5" x14ac:dyDescent="0.35">
      <c r="A11" s="177" t="s">
        <v>314</v>
      </c>
      <c r="B11" s="178"/>
    </row>
    <row r="12" spans="1:2" ht="18.5" customHeight="1" x14ac:dyDescent="0.35">
      <c r="A12" s="177" t="s">
        <v>315</v>
      </c>
      <c r="B12" s="178"/>
    </row>
    <row r="13" spans="1:2" ht="37" x14ac:dyDescent="0.35">
      <c r="A13" s="177" t="s">
        <v>316</v>
      </c>
      <c r="B13" s="178"/>
    </row>
    <row r="14" spans="1:2" ht="37" x14ac:dyDescent="0.35">
      <c r="A14" s="177" t="s">
        <v>317</v>
      </c>
      <c r="B14" s="178"/>
    </row>
    <row r="15" spans="1:2" ht="18.5" x14ac:dyDescent="0.35">
      <c r="A15" s="177" t="s">
        <v>322</v>
      </c>
      <c r="B15" s="192"/>
    </row>
    <row r="16" spans="1:2" ht="19" thickBot="1" x14ac:dyDescent="0.4">
      <c r="A16" s="177" t="s">
        <v>318</v>
      </c>
      <c r="B16" s="192"/>
    </row>
    <row r="17" spans="1:2" ht="19" thickBot="1" x14ac:dyDescent="0.4">
      <c r="A17" s="332" t="s">
        <v>149</v>
      </c>
      <c r="B17" s="333"/>
    </row>
    <row r="18" spans="1:2" ht="37" x14ac:dyDescent="0.35">
      <c r="A18" s="175" t="s">
        <v>319</v>
      </c>
      <c r="B18" s="176"/>
    </row>
    <row r="19" spans="1:2" ht="55.5" x14ac:dyDescent="0.35">
      <c r="A19" s="173" t="s">
        <v>307</v>
      </c>
      <c r="B19" s="178"/>
    </row>
    <row r="20" spans="1:2" ht="18.5" x14ac:dyDescent="0.35">
      <c r="A20" s="177" t="s">
        <v>325</v>
      </c>
      <c r="B20" s="178"/>
    </row>
    <row r="21" spans="1:2" ht="18.5" x14ac:dyDescent="0.35">
      <c r="A21" s="177" t="s">
        <v>26</v>
      </c>
      <c r="B21" s="178"/>
    </row>
    <row r="22" spans="1:2" ht="18.5" x14ac:dyDescent="0.35">
      <c r="A22" s="173" t="s">
        <v>311</v>
      </c>
      <c r="B22" s="178"/>
    </row>
    <row r="23" spans="1:2" ht="18.5" x14ac:dyDescent="0.35">
      <c r="A23" s="177" t="s">
        <v>31</v>
      </c>
      <c r="B23" s="178"/>
    </row>
    <row r="24" spans="1:2" ht="37" x14ac:dyDescent="0.35">
      <c r="A24" s="177" t="s">
        <v>326</v>
      </c>
      <c r="B24" s="178"/>
    </row>
    <row r="25" spans="1:2" ht="18.5" x14ac:dyDescent="0.35">
      <c r="A25" s="177" t="s">
        <v>309</v>
      </c>
      <c r="B25" s="178"/>
    </row>
    <row r="26" spans="1:2" ht="18.5" x14ac:dyDescent="0.35">
      <c r="A26" s="177" t="s">
        <v>310</v>
      </c>
      <c r="B26" s="178"/>
    </row>
    <row r="27" spans="1:2" ht="18.5" x14ac:dyDescent="0.35">
      <c r="A27" s="177" t="s">
        <v>323</v>
      </c>
      <c r="B27" s="178"/>
    </row>
    <row r="28" spans="1:2" ht="18.5" x14ac:dyDescent="0.35">
      <c r="A28" s="177" t="s">
        <v>29</v>
      </c>
      <c r="B28" s="178"/>
    </row>
    <row r="29" spans="1:2" ht="19" thickBot="1" x14ac:dyDescent="0.4">
      <c r="A29" s="179" t="s">
        <v>306</v>
      </c>
      <c r="B29" s="180"/>
    </row>
    <row r="30" spans="1:2" ht="19" thickBot="1" x14ac:dyDescent="0.4">
      <c r="A30" s="332" t="s">
        <v>144</v>
      </c>
      <c r="B30" s="333"/>
    </row>
    <row r="31" spans="1:2" ht="18.5" x14ac:dyDescent="0.35">
      <c r="A31" s="175" t="s">
        <v>327</v>
      </c>
      <c r="B31" s="176"/>
    </row>
    <row r="32" spans="1:2" ht="37" x14ac:dyDescent="0.35">
      <c r="A32" s="181" t="s">
        <v>324</v>
      </c>
      <c r="B32" s="182"/>
    </row>
    <row r="33" spans="1:2" ht="37" x14ac:dyDescent="0.35">
      <c r="A33" s="177" t="s">
        <v>298</v>
      </c>
      <c r="B33" s="178"/>
    </row>
    <row r="34" spans="1:2" ht="18.5" x14ac:dyDescent="0.35">
      <c r="A34" s="173" t="s">
        <v>299</v>
      </c>
      <c r="B34" s="178"/>
    </row>
    <row r="35" spans="1:2" ht="18.5" x14ac:dyDescent="0.35">
      <c r="A35" s="177" t="s">
        <v>308</v>
      </c>
      <c r="B35" s="178"/>
    </row>
    <row r="36" spans="1:2" ht="18.5" x14ac:dyDescent="0.35">
      <c r="A36" s="177" t="s">
        <v>300</v>
      </c>
      <c r="B36" s="178"/>
    </row>
    <row r="37" spans="1:2" ht="18.5" x14ac:dyDescent="0.35">
      <c r="A37" s="177" t="s">
        <v>301</v>
      </c>
      <c r="B37" s="178"/>
    </row>
    <row r="38" spans="1:2" ht="18.5" x14ac:dyDescent="0.35">
      <c r="A38" s="177" t="s">
        <v>304</v>
      </c>
      <c r="B38" s="178"/>
    </row>
    <row r="39" spans="1:2" ht="18.5" x14ac:dyDescent="0.35">
      <c r="A39" s="177" t="s">
        <v>305</v>
      </c>
      <c r="B39" s="178"/>
    </row>
    <row r="40" spans="1:2" ht="18.5" x14ac:dyDescent="0.35">
      <c r="A40" s="177" t="s">
        <v>302</v>
      </c>
      <c r="B40" s="178"/>
    </row>
    <row r="41" spans="1:2" ht="18.5" x14ac:dyDescent="0.35">
      <c r="A41" s="191" t="s">
        <v>321</v>
      </c>
      <c r="B41" s="192"/>
    </row>
    <row r="42" spans="1:2" ht="18.5" x14ac:dyDescent="0.35">
      <c r="A42" s="177" t="s">
        <v>303</v>
      </c>
      <c r="B42" s="192"/>
    </row>
    <row r="43" spans="1:2" ht="19" thickBot="1" x14ac:dyDescent="0.4">
      <c r="A43" s="193" t="s">
        <v>320</v>
      </c>
      <c r="B43" s="180"/>
    </row>
    <row r="44" spans="1:2" ht="19" thickBot="1" x14ac:dyDescent="0.4">
      <c r="A44" s="342" t="s">
        <v>150</v>
      </c>
      <c r="B44" s="343"/>
    </row>
    <row r="45" spans="1:2" x14ac:dyDescent="0.35">
      <c r="A45" s="344"/>
      <c r="B45" s="345"/>
    </row>
    <row r="46" spans="1:2" x14ac:dyDescent="0.35">
      <c r="A46" s="340"/>
      <c r="B46" s="341"/>
    </row>
    <row r="47" spans="1:2" x14ac:dyDescent="0.35">
      <c r="A47" s="340"/>
      <c r="B47" s="341"/>
    </row>
    <row r="48" spans="1:2" x14ac:dyDescent="0.35">
      <c r="A48" s="340"/>
      <c r="B48" s="341"/>
    </row>
    <row r="49" spans="1:2" x14ac:dyDescent="0.35">
      <c r="A49" s="340"/>
      <c r="B49" s="341"/>
    </row>
    <row r="50" spans="1:2" x14ac:dyDescent="0.35">
      <c r="A50" s="340"/>
      <c r="B50" s="341"/>
    </row>
    <row r="51" spans="1:2" x14ac:dyDescent="0.35">
      <c r="A51" s="340"/>
      <c r="B51" s="341"/>
    </row>
    <row r="52" spans="1:2" x14ac:dyDescent="0.35">
      <c r="A52" s="340"/>
      <c r="B52" s="341"/>
    </row>
    <row r="53" spans="1:2" x14ac:dyDescent="0.35">
      <c r="A53" s="340"/>
      <c r="B53" s="341"/>
    </row>
    <row r="54" spans="1:2" x14ac:dyDescent="0.35">
      <c r="A54" s="340"/>
      <c r="B54" s="341"/>
    </row>
    <row r="55" spans="1:2" x14ac:dyDescent="0.35">
      <c r="A55" s="340"/>
      <c r="B55" s="341"/>
    </row>
    <row r="56" spans="1:2" x14ac:dyDescent="0.35">
      <c r="A56" s="340"/>
      <c r="B56" s="341"/>
    </row>
    <row r="57" spans="1:2" x14ac:dyDescent="0.35">
      <c r="A57" s="340"/>
      <c r="B57" s="341"/>
    </row>
    <row r="58" spans="1:2" x14ac:dyDescent="0.35">
      <c r="A58" s="340"/>
      <c r="B58" s="341"/>
    </row>
    <row r="59" spans="1:2" x14ac:dyDescent="0.35">
      <c r="A59" s="340"/>
      <c r="B59" s="341"/>
    </row>
    <row r="60" spans="1:2" x14ac:dyDescent="0.35">
      <c r="A60" s="340"/>
      <c r="B60" s="341"/>
    </row>
    <row r="61" spans="1:2" x14ac:dyDescent="0.35">
      <c r="A61" s="340"/>
      <c r="B61" s="341"/>
    </row>
    <row r="62" spans="1:2" x14ac:dyDescent="0.35">
      <c r="A62" s="340"/>
      <c r="B62" s="341"/>
    </row>
    <row r="63" spans="1:2" x14ac:dyDescent="0.35">
      <c r="A63" s="340"/>
      <c r="B63" s="341"/>
    </row>
    <row r="64" spans="1:2" x14ac:dyDescent="0.35">
      <c r="A64" s="340"/>
      <c r="B64" s="341"/>
    </row>
    <row r="65" spans="1:2" x14ac:dyDescent="0.35">
      <c r="A65" s="340"/>
      <c r="B65" s="341"/>
    </row>
    <row r="66" spans="1:2" x14ac:dyDescent="0.35">
      <c r="A66" s="340"/>
      <c r="B66" s="341"/>
    </row>
    <row r="67" spans="1:2" x14ac:dyDescent="0.35">
      <c r="A67" s="340"/>
      <c r="B67" s="341"/>
    </row>
    <row r="68" spans="1:2" ht="15" thickBot="1" x14ac:dyDescent="0.4">
      <c r="A68" s="346"/>
      <c r="B68" s="347"/>
    </row>
  </sheetData>
  <mergeCells count="33">
    <mergeCell ref="A68:B68"/>
    <mergeCell ref="A63:B63"/>
    <mergeCell ref="A64:B64"/>
    <mergeCell ref="A65:B65"/>
    <mergeCell ref="A66:B66"/>
    <mergeCell ref="A67:B67"/>
    <mergeCell ref="A59:B59"/>
    <mergeCell ref="A60:B60"/>
    <mergeCell ref="A61:B61"/>
    <mergeCell ref="A62:B62"/>
    <mergeCell ref="A54:B54"/>
    <mergeCell ref="A55:B55"/>
    <mergeCell ref="A56:B56"/>
    <mergeCell ref="A57:B57"/>
    <mergeCell ref="A58:B58"/>
    <mergeCell ref="A53:B53"/>
    <mergeCell ref="A30:B30"/>
    <mergeCell ref="A17:B17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A058AF89204FB5BDC1075056F127" ma:contentTypeVersion="3" ma:contentTypeDescription="Create a new document." ma:contentTypeScope="" ma:versionID="a6395c1649ebc0a236351d1d8da63c9f">
  <xsd:schema xmlns:xsd="http://www.w3.org/2001/XMLSchema" xmlns:xs="http://www.w3.org/2001/XMLSchema" xmlns:p="http://schemas.microsoft.com/office/2006/metadata/properties" xmlns:ns1="http://schemas.microsoft.com/sharepoint/v3" xmlns:ns2="4433e500-fbe5-453f-9598-33f2ec396199" xmlns:ns3="7f9c933f-f486-47ec-9f35-0950cc8910e7" targetNamespace="http://schemas.microsoft.com/office/2006/metadata/properties" ma:root="true" ma:fieldsID="a393bf7b299b2ca49f6716b4e2e2c2b1" ns1:_="" ns2:_="" ns3:_="">
    <xsd:import namespace="http://schemas.microsoft.com/sharepoint/v3"/>
    <xsd:import namespace="4433e500-fbe5-453f-9598-33f2ec396199"/>
    <xsd:import namespace="7f9c933f-f486-47ec-9f35-0950cc8910e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  <xsd:element ref="ns3:DwDownloa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2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3e500-fbe5-453f-9598-33f2ec39619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c933f-f486-47ec-9f35-0950cc8910e7" elementFormDefault="qualified">
    <xsd:import namespace="http://schemas.microsoft.com/office/2006/documentManagement/types"/>
    <xsd:import namespace="http://schemas.microsoft.com/office/infopath/2007/PartnerControls"/>
    <xsd:element name="DwDownload" ma:index="13" nillable="true" ma:displayName="Download" ma:description="Download file or folder" ma:internalName="DwDownload">
      <xsd:simpleType>
        <xsd:restriction base="dms:Unknown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DwDownload xmlns="7f9c933f-f486-47ec-9f35-0950cc8910e7" xsi:nil="true"/>
    <PublishingStartDate xmlns="http://schemas.microsoft.com/sharepoint/v3" xsi:nil="true"/>
    <_dlc_DocId xmlns="4433e500-fbe5-453f-9598-33f2ec396199">KFCDW-1149185137-3</_dlc_DocId>
    <_dlc_DocIdUrl xmlns="4433e500-fbe5-453f-9598-33f2ec396199">
      <Url>https://my.kfc.ru/90/_layouts/15/DocIdRedir.aspx?ID=KFCDW-1149185137-3</Url>
      <Description>KFCDW-1149185137-3</Description>
    </_dlc_DocIdUrl>
  </documentManagement>
</p:properties>
</file>

<file path=customXml/itemProps1.xml><?xml version="1.0" encoding="utf-8"?>
<ds:datastoreItem xmlns:ds="http://schemas.openxmlformats.org/officeDocument/2006/customXml" ds:itemID="{AC1B3D43-9CC1-40BA-AEE6-655C73A86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33e500-fbe5-453f-9598-33f2ec396199"/>
    <ds:schemaRef ds:uri="7f9c933f-f486-47ec-9f35-0950cc8910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125EBC-EC1D-4751-B0AF-67559B99B12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7A5E594-4E5B-4E50-B3FF-E16073F9D7C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F920CE-58A9-4C34-AD2A-36DF58FEC32B}">
  <ds:schemaRefs>
    <ds:schemaRef ds:uri="7f9c933f-f486-47ec-9f35-0950cc8910e7"/>
    <ds:schemaRef ds:uri="http://www.w3.org/XML/1998/namespace"/>
    <ds:schemaRef ds:uri="http://schemas.microsoft.com/sharepoint/v3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433e500-fbe5-453f-9598-33f2ec39619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5</vt:i4>
      </vt:variant>
    </vt:vector>
  </HeadingPairs>
  <TitlesOfParts>
    <vt:vector size="14" baseType="lpstr">
      <vt:lpstr>УВН</vt:lpstr>
      <vt:lpstr>УВ</vt:lpstr>
      <vt:lpstr>TO DO</vt:lpstr>
      <vt:lpstr>Промежуточные рез-ты</vt:lpstr>
      <vt:lpstr>Цели для кассиров</vt:lpstr>
      <vt:lpstr>План смены</vt:lpstr>
      <vt:lpstr>План смены (настройка)</vt:lpstr>
      <vt:lpstr>Оценка эффективности смены</vt:lpstr>
      <vt:lpstr>Оценка смены RGM'ом</vt:lpstr>
      <vt:lpstr>'Оценка смены RGM''ом'!Область_печати</vt:lpstr>
      <vt:lpstr>'Оценка эффективности смены'!Область_печати</vt:lpstr>
      <vt:lpstr>'План смены'!Область_печати</vt:lpstr>
      <vt:lpstr>УВ!Область_печати</vt:lpstr>
      <vt:lpstr>УВН!Область_печати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Вчерашний Денис</dc:creator>
  <cp:lastModifiedBy>Turanskaia, Daria</cp:lastModifiedBy>
  <cp:lastPrinted>2021-01-28T06:23:09Z</cp:lastPrinted>
  <dcterms:created xsi:type="dcterms:W3CDTF">2020-12-07T18:27:41Z</dcterms:created>
  <dcterms:modified xsi:type="dcterms:W3CDTF">2021-02-02T12:03:25Z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0x0101004452A058AF89204FB5BDC1075056F127</vt:lpwstr>
  </property>
  <property fmtid="{D5CDD505-2E9C-101B-9397-08002B2CF9AE}" pid="3" name="_dlc_DocIdItemGuid">
    <vt:lpwstr>2f712afe-882b-45fc-9236-b2d76263ba76</vt:lpwstr>
  </property>
</Properties>
</file>