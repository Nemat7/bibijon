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/>
  <mc:AlternateContent xmlns:mc="http://schemas.openxmlformats.org/markup-compatibility/2006">
    <mc:Choice Requires="x15">
      <x15ac:absPath xmlns:x15ac="http://schemas.microsoft.com/office/spreadsheetml/2010/11/ac" url="D:\Передача дел\проекты\Starclub\"/>
    </mc:Choice>
  </mc:AlternateContent>
  <xr:revisionPtr revIDLastSave="0" documentId="13_ncr:1_{632CEB17-A696-404C-AEAC-EAF564F72EAB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RGM 2020 Q1_Q2" sheetId="14" r:id="rId1"/>
    <sheet name="AC 2020 Q1_Q2" sheetId="15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BankLines">[1]Lines!$A$3:$G$65536</definedName>
    <definedName name="BankLoans">[1]Loans!$A$4:$H$65536</definedName>
    <definedName name="boy">'[2]Timing Diff'!$AS$3</definedName>
    <definedName name="Cost1">[3]Maps!$G$27</definedName>
    <definedName name="Cost10">[3]Maps!$G$36</definedName>
    <definedName name="Cost11">[3]Maps!$G$37</definedName>
    <definedName name="Cost12">[3]Maps!$G$38</definedName>
    <definedName name="Cost13">[3]Maps!$G$39</definedName>
    <definedName name="Cost14">[3]Maps!$G$40</definedName>
    <definedName name="Cost15">[3]Maps!$G$41</definedName>
    <definedName name="Cost16">[3]Maps!$G$42</definedName>
    <definedName name="Cost2">[3]Maps!$G$28</definedName>
    <definedName name="Cost3">[3]Maps!$G$29</definedName>
    <definedName name="Cost38">[4]Maps!$G$64</definedName>
    <definedName name="Cost39">[4]Maps!$G$65</definedName>
    <definedName name="Cost4">[3]Maps!$G$30</definedName>
    <definedName name="Cost5">[3]Maps!$G$31</definedName>
    <definedName name="Cost6">[3]Maps!$G$32</definedName>
    <definedName name="Cost7">[3]Maps!$G$33</definedName>
    <definedName name="Cost8">[3]Maps!$G$34</definedName>
    <definedName name="Cost9">[3]Maps!$G$35</definedName>
    <definedName name="Curr1">[3]Maps!$I$27</definedName>
    <definedName name="Curr10">[3]Maps!$I$36</definedName>
    <definedName name="Curr11">[3]Maps!$I$37</definedName>
    <definedName name="Curr12">[3]Maps!$I$38</definedName>
    <definedName name="Curr13">[3]Maps!$I$39</definedName>
    <definedName name="Curr14">[3]Maps!$I$40</definedName>
    <definedName name="Curr15">[3]Maps!$I$41</definedName>
    <definedName name="Curr16">[3]Maps!$I$42</definedName>
    <definedName name="Curr2">[3]Maps!$I$28</definedName>
    <definedName name="Curr3">[3]Maps!$I$29</definedName>
    <definedName name="Curr38">[4]Maps!$I$64</definedName>
    <definedName name="Curr39">[4]Maps!$I$65</definedName>
    <definedName name="Curr4">[3]Maps!$I$30</definedName>
    <definedName name="Curr5">[3]Maps!$I$31</definedName>
    <definedName name="Curr6">[3]Maps!$I$32</definedName>
    <definedName name="Curr7">[3]Maps!$I$33</definedName>
    <definedName name="Curr8">[3]Maps!$I$34</definedName>
    <definedName name="Curr9">[3]Maps!$I$35</definedName>
    <definedName name="Entity1">[3]Maps!$H$27</definedName>
    <definedName name="Entity10">[3]Maps!$H$36</definedName>
    <definedName name="Entity11">[3]Maps!$H$37</definedName>
    <definedName name="Entity12">[3]Maps!$H$38</definedName>
    <definedName name="Entity13">[3]Maps!$H$39</definedName>
    <definedName name="Entity14">[3]Maps!$H$40</definedName>
    <definedName name="Entity15">[3]Maps!$H$41</definedName>
    <definedName name="Entity16">[3]Maps!$H$42</definedName>
    <definedName name="Entity2">[3]Maps!$H$28</definedName>
    <definedName name="Entity3">[3]Maps!$H$29</definedName>
    <definedName name="Entity4">[3]Maps!$H$30</definedName>
    <definedName name="Entity5">[3]Maps!$H$31</definedName>
    <definedName name="Entity6">[3]Maps!$H$32</definedName>
    <definedName name="Entity7">[3]Maps!$H$33</definedName>
    <definedName name="Entity8">[3]Maps!$H$34</definedName>
    <definedName name="Entity9">[3]Maps!$H$35</definedName>
    <definedName name="Forecast">[3]Maps!$R$24</definedName>
    <definedName name="FOREX1">[3]Maps!$J$27</definedName>
    <definedName name="Forex10">[3]Maps!$J$36</definedName>
    <definedName name="Forex11">[3]Maps!$J$37</definedName>
    <definedName name="Forex12">[3]Maps!$J$38</definedName>
    <definedName name="Forex13">[3]Maps!$J$39</definedName>
    <definedName name="Forex14">[3]Maps!$J$40</definedName>
    <definedName name="Forex15">[3]Maps!$J$41</definedName>
    <definedName name="Forex16">[3]Maps!$J$42</definedName>
    <definedName name="FOREX2">[3]Maps!$J$28</definedName>
    <definedName name="FOREX3">[3]Maps!$J$29</definedName>
    <definedName name="Forex38">[4]Maps!$J$64</definedName>
    <definedName name="Forex39">[4]Maps!$J$65</definedName>
    <definedName name="FOREX4">[3]Maps!$J$30</definedName>
    <definedName name="FOREX5">[3]Maps!$J$31</definedName>
    <definedName name="FOREX6">[3]Maps!$J$32</definedName>
    <definedName name="FOREX7">[3]Maps!$J$33</definedName>
    <definedName name="Forex8">[3]Maps!$J$34</definedName>
    <definedName name="Forex9">[3]Maps!$J$35</definedName>
    <definedName name="LIFE">[5]Input!$G$3</definedName>
    <definedName name="LoansRepaymentDates">[1]Loans!$F$3:$F$65536</definedName>
    <definedName name="Market">[3]Maps!$E$26</definedName>
    <definedName name="NonCashItemsDates">[1]NonCashItems!$B$3:$B$10000</definedName>
    <definedName name="NonCashItemsSums">[1]NonCashItems!$D$3:$D$10000</definedName>
    <definedName name="Openings">[1]Openings!$B$4:$N$6</definedName>
    <definedName name="PriorForecast">[3]Maps!$R$25</definedName>
    <definedName name="PriorYear">[3]Maps!$Q$26</definedName>
    <definedName name="PYScenario">[3]Maps!$R$26</definedName>
    <definedName name="Rate1">[3]Maps!$L$27</definedName>
    <definedName name="Rate10">[3]Maps!$L$36</definedName>
    <definedName name="Rate11">[3]Maps!$L$37</definedName>
    <definedName name="Rate12">[3]Maps!$L$38</definedName>
    <definedName name="Rate13">[3]Maps!$L$39</definedName>
    <definedName name="Rate14">[3]Maps!$L$40</definedName>
    <definedName name="Rate15">[3]Maps!$L$41</definedName>
    <definedName name="Rate16">[3]Maps!$L$42</definedName>
    <definedName name="Rate2">[3]Maps!$L$28</definedName>
    <definedName name="Rate3">[3]Maps!$L$29</definedName>
    <definedName name="Rate4">[3]Maps!$L$30</definedName>
    <definedName name="Rate5">[3]Maps!$L$31</definedName>
    <definedName name="Rate6">[3]Maps!$L$32</definedName>
    <definedName name="Rate7">[3]Maps!$L$33</definedName>
    <definedName name="Rate8">[3]Maps!$L$34</definedName>
    <definedName name="Rate9">[3]Maps!$L$35</definedName>
    <definedName name="Rollup1">[3]Maps!$F$27</definedName>
    <definedName name="Rollup10">[3]Maps!$F$36</definedName>
    <definedName name="Rollup11">[3]Maps!$F$37</definedName>
    <definedName name="Rollup12">[3]Maps!$F$38</definedName>
    <definedName name="Rollup13">[3]Maps!$F$39</definedName>
    <definedName name="Rollup14">[3]Maps!$F$40</definedName>
    <definedName name="Rollup15">[3]Maps!$F$41</definedName>
    <definedName name="Rollup16">[3]Maps!$F$42</definedName>
    <definedName name="Rollup2">[3]Maps!$F$28</definedName>
    <definedName name="Rollup3">[3]Maps!$F$29</definedName>
    <definedName name="Rollup38">[4]Maps!$F$64</definedName>
    <definedName name="Rollup39">[4]Maps!$F$65</definedName>
    <definedName name="Rollup4">[3]Maps!$F$30</definedName>
    <definedName name="Rollup5">[3]Maps!$F$31</definedName>
    <definedName name="Rollup6">[3]Maps!$F$32</definedName>
    <definedName name="Rollup7">[3]Maps!$F$33</definedName>
    <definedName name="Rollup8">[3]Maps!$F$34</definedName>
    <definedName name="Rollup9">[3]Maps!$F$35</definedName>
    <definedName name="rr" localSheetId="0">'[6]Russian Segments'!#REF!</definedName>
    <definedName name="rr">'[6]Russian Segments'!#REF!</definedName>
    <definedName name="RUR">[1]Assumptions!$B$6</definedName>
    <definedName name="StartingLoans">[1]Assumptions!$B$10</definedName>
    <definedName name="SV_">[5]Input!$C$58</definedName>
    <definedName name="Tity1">[7]Maps!$H$27</definedName>
    <definedName name="Tity10">[7]Maps!$H$36</definedName>
    <definedName name="Tity2">[7]Maps!$H$28</definedName>
    <definedName name="Tity3">[7]Maps!$H$29</definedName>
    <definedName name="Tity38">[4]Maps!$H$64</definedName>
    <definedName name="Tity39">[4]Maps!$H$65</definedName>
    <definedName name="Tity4">[7]Maps!$H$30</definedName>
    <definedName name="Tity5">[7]Maps!$H$31</definedName>
    <definedName name="Tity6">[7]Maps!$H$32</definedName>
    <definedName name="Tity7">[7]Maps!$H$33</definedName>
    <definedName name="Tity8">[7]Maps!$H$34</definedName>
    <definedName name="Tity9">[7]Maps!$H$35</definedName>
    <definedName name="Year">[3]Maps!$Q$24</definedName>
    <definedName name="_xlnm.Database" localSheetId="0">'[6]Russian Segments'!#REF!</definedName>
    <definedName name="_xlnm.Database">'[6]Russian Segments'!#REF!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0" i="15" l="1"/>
  <c r="C9" i="14" l="1"/>
</calcChain>
</file>

<file path=xl/sharedStrings.xml><?xml version="1.0" encoding="utf-8"?>
<sst xmlns="http://schemas.openxmlformats.org/spreadsheetml/2006/main" count="112" uniqueCount="64">
  <si>
    <t>SBT</t>
  </si>
  <si>
    <t>BT</t>
  </si>
  <si>
    <t>OT</t>
  </si>
  <si>
    <t>AT</t>
  </si>
  <si>
    <t>SAT</t>
  </si>
  <si>
    <t>Category</t>
  </si>
  <si>
    <t>KPI</t>
  </si>
  <si>
    <t>Weight</t>
  </si>
  <si>
    <t>People</t>
  </si>
  <si>
    <t>TM Turnover</t>
  </si>
  <si>
    <t>Promo</t>
  </si>
  <si>
    <t>Overall Score</t>
  </si>
  <si>
    <t>&gt;85</t>
  </si>
  <si>
    <t>&lt;=85&gt;70</t>
  </si>
  <si>
    <t>&lt;=70&gt;55</t>
  </si>
  <si>
    <t>&lt;=55&gt;40</t>
  </si>
  <si>
    <t>&lt;=40</t>
  </si>
  <si>
    <t>&lt; 95</t>
  </si>
  <si>
    <t>&gt;=95 &lt; 100</t>
  </si>
  <si>
    <t>&gt;100 &lt; 110</t>
  </si>
  <si>
    <t>&gt;=110</t>
  </si>
  <si>
    <t>MNG FTR sertif</t>
  </si>
  <si>
    <t>Product/ Place</t>
  </si>
  <si>
    <t xml:space="preserve">TM Turnover </t>
  </si>
  <si>
    <t>SSSG</t>
  </si>
  <si>
    <t>&gt;=90%</t>
  </si>
  <si>
    <t>OSAT
if integrity index less than 5</t>
  </si>
  <si>
    <t xml:space="preserve">ROCC
</t>
  </si>
  <si>
    <r>
      <t xml:space="preserve">OSAT
 </t>
    </r>
    <r>
      <rPr>
        <b/>
        <sz val="9"/>
        <color rgb="FFFF0000"/>
        <rFont val="Arial Narrow"/>
        <family val="2"/>
        <charset val="204"/>
      </rPr>
      <t>if integrity index less than 5</t>
    </r>
  </si>
  <si>
    <t>FS+LS+BS
Pass</t>
  </si>
  <si>
    <t>&lt;75</t>
  </si>
  <si>
    <t>ROCC At Standard</t>
  </si>
  <si>
    <t>&gt;=75%&lt;80%</t>
  </si>
  <si>
    <t>&gt;=80%&lt;90%</t>
  </si>
  <si>
    <t>AC</t>
  </si>
  <si>
    <t>&lt;65%</t>
  </si>
  <si>
    <t>&gt;=65%&lt;75%</t>
  </si>
  <si>
    <t>Target +3%</t>
  </si>
  <si>
    <t>Target +5%</t>
  </si>
  <si>
    <t>Target -1%</t>
  </si>
  <si>
    <t>Individualy by FZ</t>
  </si>
  <si>
    <t>Target -2%</t>
  </si>
  <si>
    <t>SPEED IN ROCC</t>
  </si>
  <si>
    <t>SPEED DELIVERY (if YES)</t>
  </si>
  <si>
    <t>75%*</t>
  </si>
  <si>
    <t>* % ресторанов в цели</t>
  </si>
  <si>
    <t>PASS</t>
  </si>
  <si>
    <t>&gt;=75%&lt;=80%</t>
  </si>
  <si>
    <t>&gt;80%&lt;=90%</t>
  </si>
  <si>
    <t>&gt;90%</t>
  </si>
  <si>
    <t>&lt;40%</t>
  </si>
  <si>
    <t>&gt;=40%&lt;50%</t>
  </si>
  <si>
    <t>&gt;=50%&lt;=60%</t>
  </si>
  <si>
    <t>&gt;60%&lt;=75%</t>
  </si>
  <si>
    <t>&gt;75%</t>
  </si>
  <si>
    <t>Targe +3%</t>
  </si>
  <si>
    <t>&gt;=Target &lt;Target+1%</t>
  </si>
  <si>
    <t>&gt;=75&lt;88</t>
  </si>
  <si>
    <t>&gt;=88&lt;90</t>
  </si>
  <si>
    <t>&gt;=90&lt;91</t>
  </si>
  <si>
    <t>&gt;=91</t>
  </si>
  <si>
    <t>&gt;=88</t>
  </si>
  <si>
    <t>50%&lt;5 min</t>
  </si>
  <si>
    <t>Target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</si>
</sst>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-* #,##0.00_-;\-* #,##0.00_-;_-* &quot;-&quot;??_-;_-@_-"/>
    <numFmt numFmtId="164" formatCode="_-* #,##0&quot;р.&quot;_-;\-* #,##0&quot;р.&quot;_-;_-* &quot;-&quot;&quot;р.&quot;_-;_-@_-"/>
    <numFmt numFmtId="165" formatCode="_-* #,##0_р_._-;\-* #,##0_р_._-;_-* &quot;-&quot;_р_._-;_-@_-"/>
    <numFmt numFmtId="166" formatCode="_-* #,##0.00&quot;р.&quot;_-;\-* #,##0.00&quot;р.&quot;_-;_-* &quot;-&quot;??&quot;р.&quot;_-;_-@_-"/>
    <numFmt numFmtId="167" formatCode="_-* #,##0.00_р_._-;\-* #,##0.00_р_._-;_-* &quot;-&quot;??_р_._-;_-@_-"/>
    <numFmt numFmtId="168" formatCode="_-* #,##0\ &quot;?.&quot;_-;\-* #,##0\ &quot;?.&quot;_-;_-* &quot;-&quot;\ &quot;?.&quot;_-;_-@_-"/>
    <numFmt numFmtId="169" formatCode="_-* #,##0.00\ &quot;?.&quot;_-;\-* #,##0.00\ &quot;?.&quot;_-;_-* &quot;-&quot;??\ &quot;?.&quot;_-;_-@_-"/>
    <numFmt numFmtId="170" formatCode="_-* #,##0\ _m_k_-;\-* #,##0\ _m_k_-;_-* &quot;-&quot;\ _m_k_-;_-@_-"/>
    <numFmt numFmtId="171" formatCode="_-* #,##0.00\ _m_k_-;\-* #,##0.00\ _m_k_-;_-* &quot;-&quot;??\ _m_k_-;_-@_-"/>
    <numFmt numFmtId="172" formatCode="dd/mm/yy;@"/>
    <numFmt numFmtId="173" formatCode="_-* #,##0.00\ [$€-1]_-;\-* #,##0.00\ [$€-1]_-;_-* &quot;-&quot;??\ [$€-1]_-"/>
    <numFmt numFmtId="174" formatCode="_-* #,##0\ _?_._-;\-* #,##0\ _?_._-;_-* &quot;-&quot;\ _?_._-;_-@_-"/>
    <numFmt numFmtId="175" formatCode="_-* #,##0.00\ &quot;mk&quot;_-;\-* #,##0.00\ &quot;mk&quot;_-;_-* &quot;-&quot;??\ &quot;mk&quot;_-;_-@_-"/>
    <numFmt numFmtId="176" formatCode="_-* #,##0_?_._-;\-* #,##0_?_._-;_-* &quot;-&quot;_?_._-;_-@_-"/>
    <numFmt numFmtId="177" formatCode="0.000000"/>
    <numFmt numFmtId="178" formatCode="_-* #,##0.00\ _?_._-;\-* #,##0.00\ _?_._-;_-* &quot;-&quot;??\ _?_._-;_-@_-"/>
    <numFmt numFmtId="179" formatCode="#,##0\ &quot;Lt&quot;;\-#,##0\ &quot;Lt&quot;"/>
    <numFmt numFmtId="180" formatCode="_-* #,##0.00\ _C_Z_K_-;\-* #,##0.00\ _C_Z_K_-;_-* &quot;-&quot;??\ _C_Z_K_-;_-@_-"/>
    <numFmt numFmtId="181" formatCode="_-* #,##0_р_._-;\-* #,##0_р_._-;_-* &quot;-&quot;??_р_._-;_-@_-"/>
  </numFmts>
  <fonts count="19"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 Narrow"/>
      <family val="2"/>
      <charset val="204"/>
    </font>
    <font>
      <b/>
      <sz val="9"/>
      <color rgb="FFFF0000"/>
      <name val="Arial Narrow"/>
      <family val="2"/>
      <charset val="204"/>
    </font>
    <font>
      <b/>
      <sz val="9"/>
      <color theme="1"/>
      <name val="Arial Narrow"/>
      <family val="2"/>
      <charset val="204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 Cyr"/>
      <family val="2"/>
    </font>
    <font>
      <sz val="10"/>
      <name val="Pragmatica"/>
      <family val="2"/>
    </font>
    <font>
      <sz val="10"/>
      <color theme="1"/>
      <name val="Calibri"/>
      <family val="2"/>
    </font>
    <font>
      <sz val="10"/>
      <name val="Helv"/>
      <family val="2"/>
    </font>
    <font>
      <sz val="10"/>
      <name val="Geneva"/>
      <family val="2"/>
    </font>
    <font>
      <sz val="10"/>
      <name val="MS Sans Serif"/>
      <family val="2"/>
    </font>
    <font>
      <sz val="9"/>
      <name val="Arial Narrow"/>
      <family val="2"/>
      <charset val="204"/>
    </font>
    <font>
      <b/>
      <sz val="9"/>
      <color theme="0"/>
      <name val="Arial Narrow"/>
      <family val="2"/>
      <charset val="204"/>
    </font>
    <font>
      <sz val="14"/>
      <name val="Arial Narrow"/>
      <family val="2"/>
      <charset val="204"/>
    </font>
    <font>
      <b/>
      <sz val="10"/>
      <color rgb="FFFF0000"/>
      <name val="Arial Narrow"/>
      <family val="2"/>
      <charset val="204"/>
    </font>
    <font>
      <sz val="9"/>
      <color theme="1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-0.249946592608417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7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5" fillId="0" borderId="0">
      <alignment vertical="center"/>
    </xf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3" borderId="0" applyNumberFormat="0" applyBorder="0" applyAlignment="0" applyProtection="0"/>
    <xf numFmtId="168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70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7" fillId="4" borderId="0" applyNumberFormat="0" applyBorder="0" applyAlignment="0" applyProtection="0"/>
    <xf numFmtId="43" fontId="5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8" fillId="0" borderId="0"/>
    <xf numFmtId="173" fontId="8" fillId="0" borderId="0"/>
    <xf numFmtId="173" fontId="11" fillId="0" borderId="0"/>
    <xf numFmtId="17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173" fontId="6" fillId="0" borderId="0"/>
    <xf numFmtId="0" fontId="6" fillId="0" borderId="0"/>
    <xf numFmtId="0" fontId="10" fillId="0" borderId="0"/>
    <xf numFmtId="0" fontId="5" fillId="0" borderId="0"/>
    <xf numFmtId="0" fontId="6" fillId="0" borderId="0"/>
    <xf numFmtId="173" fontId="11" fillId="0" borderId="0"/>
    <xf numFmtId="173" fontId="11" fillId="0" borderId="0"/>
    <xf numFmtId="173" fontId="11" fillId="0" borderId="0"/>
    <xf numFmtId="174" fontId="8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9" fillId="0" borderId="0" applyFont="0" applyFill="0" applyBorder="0" applyAlignment="0" applyProtection="0"/>
    <xf numFmtId="173" fontId="8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3" fontId="13" fillId="0" borderId="0"/>
    <xf numFmtId="0" fontId="5" fillId="0" borderId="0"/>
    <xf numFmtId="0" fontId="5" fillId="0" borderId="0"/>
    <xf numFmtId="173" fontId="6" fillId="0" borderId="0"/>
    <xf numFmtId="0" fontId="8" fillId="0" borderId="0"/>
    <xf numFmtId="173" fontId="6" fillId="0" borderId="0"/>
    <xf numFmtId="0" fontId="5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73" fontId="11" fillId="0" borderId="0"/>
    <xf numFmtId="180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14" fillId="0" borderId="0" xfId="0" applyFont="1"/>
    <xf numFmtId="0" fontId="15" fillId="5" borderId="1" xfId="75" applyFont="1" applyFill="1" applyBorder="1" applyAlignment="1">
      <alignment horizontal="center" vertical="center" wrapText="1"/>
    </xf>
    <xf numFmtId="0" fontId="15" fillId="5" borderId="2" xfId="75" applyFont="1" applyFill="1" applyBorder="1" applyAlignment="1">
      <alignment horizontal="center" vertical="center" wrapText="1"/>
    </xf>
    <xf numFmtId="0" fontId="15" fillId="5" borderId="3" xfId="75" applyFont="1" applyFill="1" applyBorder="1" applyAlignment="1">
      <alignment horizontal="center" vertical="center" wrapText="1"/>
    </xf>
    <xf numFmtId="0" fontId="15" fillId="5" borderId="4" xfId="75" applyFont="1" applyFill="1" applyBorder="1" applyAlignment="1">
      <alignment horizontal="center" vertical="center" wrapText="1"/>
    </xf>
    <xf numFmtId="0" fontId="15" fillId="5" borderId="5" xfId="75" applyFont="1" applyFill="1" applyBorder="1" applyAlignment="1">
      <alignment horizontal="center" vertical="center" wrapText="1"/>
    </xf>
    <xf numFmtId="0" fontId="2" fillId="2" borderId="9" xfId="75" applyFont="1" applyFill="1" applyBorder="1" applyAlignment="1">
      <alignment horizontal="center" vertical="center" wrapText="1"/>
    </xf>
    <xf numFmtId="0" fontId="2" fillId="2" borderId="10" xfId="75" applyFont="1" applyFill="1" applyBorder="1" applyAlignment="1">
      <alignment horizontal="center" vertical="center" wrapText="1"/>
    </xf>
    <xf numFmtId="0" fontId="2" fillId="2" borderId="11" xfId="75" applyFont="1" applyFill="1" applyBorder="1" applyAlignment="1">
      <alignment horizontal="center" vertical="center" wrapText="1"/>
    </xf>
    <xf numFmtId="0" fontId="2" fillId="6" borderId="13" xfId="75" applyFont="1" applyFill="1" applyBorder="1" applyAlignment="1">
      <alignment horizontal="center" vertical="center" wrapText="1"/>
    </xf>
    <xf numFmtId="0" fontId="2" fillId="6" borderId="15" xfId="75" applyFont="1" applyFill="1" applyBorder="1" applyAlignment="1">
      <alignment horizontal="center" vertical="center" wrapText="1"/>
    </xf>
    <xf numFmtId="0" fontId="2" fillId="6" borderId="16" xfId="75" applyFont="1" applyFill="1" applyBorder="1" applyAlignment="1">
      <alignment horizontal="center" vertical="center" wrapText="1"/>
    </xf>
    <xf numFmtId="0" fontId="4" fillId="6" borderId="15" xfId="75" applyFont="1" applyFill="1" applyBorder="1" applyAlignment="1">
      <alignment horizontal="center" vertical="center"/>
    </xf>
    <xf numFmtId="0" fontId="4" fillId="6" borderId="16" xfId="75" applyFont="1" applyFill="1" applyBorder="1" applyAlignment="1">
      <alignment horizontal="center" vertical="center"/>
    </xf>
    <xf numFmtId="0" fontId="2" fillId="0" borderId="0" xfId="3" applyFont="1" applyBorder="1" applyAlignment="1">
      <alignment horizontal="center" vertical="center" wrapText="1"/>
    </xf>
    <xf numFmtId="0" fontId="2" fillId="0" borderId="0" xfId="3" applyFont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 applyAlignment="1">
      <alignment horizontal="center" vertical="center" wrapText="1"/>
    </xf>
    <xf numFmtId="0" fontId="15" fillId="7" borderId="1" xfId="75" applyFont="1" applyFill="1" applyBorder="1" applyAlignment="1">
      <alignment horizontal="center" vertical="center" wrapText="1"/>
    </xf>
    <xf numFmtId="0" fontId="15" fillId="7" borderId="2" xfId="75" applyFont="1" applyFill="1" applyBorder="1" applyAlignment="1">
      <alignment horizontal="center" vertical="center" wrapText="1"/>
    </xf>
    <xf numFmtId="0" fontId="15" fillId="7" borderId="3" xfId="75" applyFont="1" applyFill="1" applyBorder="1" applyAlignment="1">
      <alignment horizontal="center" vertical="center" wrapText="1"/>
    </xf>
    <xf numFmtId="0" fontId="15" fillId="7" borderId="4" xfId="75" applyFont="1" applyFill="1" applyBorder="1" applyAlignment="1">
      <alignment horizontal="center" vertical="center" wrapText="1"/>
    </xf>
    <xf numFmtId="0" fontId="15" fillId="7" borderId="5" xfId="75" applyFont="1" applyFill="1" applyBorder="1" applyAlignment="1">
      <alignment horizontal="center" vertical="center" wrapText="1"/>
    </xf>
    <xf numFmtId="0" fontId="15" fillId="7" borderId="21" xfId="75" applyFont="1" applyFill="1" applyBorder="1" applyAlignment="1">
      <alignment horizontal="center" vertical="center" wrapText="1"/>
    </xf>
    <xf numFmtId="9" fontId="15" fillId="7" borderId="1" xfId="75" applyNumberFormat="1" applyFont="1" applyFill="1" applyBorder="1" applyAlignment="1">
      <alignment horizontal="center" vertical="center" wrapText="1"/>
    </xf>
    <xf numFmtId="0" fontId="2" fillId="6" borderId="14" xfId="75" applyFont="1" applyFill="1" applyBorder="1" applyAlignment="1">
      <alignment horizontal="center" vertical="center" wrapText="1"/>
    </xf>
    <xf numFmtId="0" fontId="4" fillId="6" borderId="15" xfId="75" applyFont="1" applyFill="1" applyBorder="1" applyAlignment="1">
      <alignment horizontal="center" vertical="center" wrapText="1"/>
    </xf>
    <xf numFmtId="0" fontId="4" fillId="6" borderId="16" xfId="75" applyFont="1" applyFill="1" applyBorder="1" applyAlignment="1">
      <alignment horizontal="center" vertical="center" wrapText="1"/>
    </xf>
    <xf numFmtId="0" fontId="15" fillId="5" borderId="21" xfId="75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5" fillId="5" borderId="20" xfId="75" applyFont="1" applyFill="1" applyBorder="1" applyAlignment="1">
      <alignment horizontal="center" vertical="center" wrapText="1"/>
    </xf>
    <xf numFmtId="0" fontId="2" fillId="0" borderId="0" xfId="3" applyFont="1" applyBorder="1" applyAlignment="1">
      <alignment horizontal="left" vertical="center" wrapText="1"/>
    </xf>
    <xf numFmtId="0" fontId="14" fillId="0" borderId="0" xfId="2" applyFont="1" applyFill="1"/>
    <xf numFmtId="0" fontId="2" fillId="0" borderId="9" xfId="2" applyFont="1" applyFill="1" applyBorder="1" applyAlignment="1">
      <alignment horizontal="center" vertical="center" wrapText="1"/>
    </xf>
    <xf numFmtId="0" fontId="2" fillId="0" borderId="10" xfId="2" applyFont="1" applyFill="1" applyBorder="1" applyAlignment="1">
      <alignment horizontal="center" vertical="center" wrapText="1"/>
    </xf>
    <xf numFmtId="0" fontId="2" fillId="0" borderId="10" xfId="2" quotePrefix="1" applyFont="1" applyFill="1" applyBorder="1" applyAlignment="1">
      <alignment horizontal="center" vertical="center" wrapText="1"/>
    </xf>
    <xf numFmtId="0" fontId="2" fillId="0" borderId="11" xfId="2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6" fillId="0" borderId="0" xfId="2" applyFont="1" applyFill="1" applyAlignment="1">
      <alignment horizontal="center"/>
    </xf>
    <xf numFmtId="0" fontId="17" fillId="2" borderId="0" xfId="0" applyFont="1" applyFill="1" applyAlignment="1"/>
    <xf numFmtId="0" fontId="2" fillId="0" borderId="15" xfId="0" applyFont="1" applyFill="1" applyBorder="1" applyAlignment="1">
      <alignment horizontal="center" vertical="center" wrapText="1"/>
    </xf>
    <xf numFmtId="0" fontId="2" fillId="0" borderId="19" xfId="75" applyFont="1" applyFill="1" applyBorder="1" applyAlignment="1">
      <alignment horizontal="center" vertical="center"/>
    </xf>
    <xf numFmtId="0" fontId="2" fillId="6" borderId="13" xfId="75" applyFont="1" applyFill="1" applyBorder="1" applyAlignment="1">
      <alignment horizontal="center" vertical="center"/>
    </xf>
    <xf numFmtId="0" fontId="2" fillId="6" borderId="14" xfId="75" applyFont="1" applyFill="1" applyBorder="1" applyAlignment="1">
      <alignment horizontal="center" vertical="center"/>
    </xf>
    <xf numFmtId="0" fontId="2" fillId="0" borderId="0" xfId="3" applyFont="1" applyBorder="1" applyAlignment="1">
      <alignment horizontal="left" vertical="center" wrapText="1"/>
    </xf>
    <xf numFmtId="0" fontId="15" fillId="7" borderId="20" xfId="75" applyFont="1" applyFill="1" applyBorder="1" applyAlignment="1">
      <alignment horizontal="center" vertical="center" wrapText="1"/>
    </xf>
    <xf numFmtId="9" fontId="15" fillId="7" borderId="17" xfId="75" applyNumberFormat="1" applyFont="1" applyFill="1" applyBorder="1" applyAlignment="1">
      <alignment horizontal="center" vertical="center" wrapText="1"/>
    </xf>
    <xf numFmtId="9" fontId="15" fillId="7" borderId="18" xfId="75" applyNumberFormat="1" applyFont="1" applyFill="1" applyBorder="1" applyAlignment="1">
      <alignment horizontal="center" vertical="center" wrapText="1"/>
    </xf>
    <xf numFmtId="181" fontId="2" fillId="8" borderId="19" xfId="15" applyNumberFormat="1" applyFont="1" applyFill="1" applyBorder="1" applyAlignment="1">
      <alignment horizontal="center" vertical="center" wrapText="1"/>
    </xf>
    <xf numFmtId="181" fontId="4" fillId="8" borderId="19" xfId="15" applyNumberFormat="1" applyFont="1" applyFill="1" applyBorder="1" applyAlignment="1">
      <alignment horizontal="center" vertical="center" wrapText="1"/>
    </xf>
    <xf numFmtId="181" fontId="4" fillId="8" borderId="0" xfId="15" applyNumberFormat="1" applyFont="1" applyFill="1" applyBorder="1" applyAlignment="1">
      <alignment horizontal="center" vertical="center" wrapText="1"/>
    </xf>
    <xf numFmtId="181" fontId="2" fillId="8" borderId="34" xfId="15" applyNumberFormat="1" applyFont="1" applyFill="1" applyBorder="1" applyAlignment="1">
      <alignment horizontal="center" vertical="center" wrapText="1"/>
    </xf>
    <xf numFmtId="181" fontId="2" fillId="8" borderId="35" xfId="15" applyNumberFormat="1" applyFont="1" applyFill="1" applyBorder="1" applyAlignment="1">
      <alignment horizontal="center" vertical="center" wrapText="1"/>
    </xf>
    <xf numFmtId="181" fontId="4" fillId="8" borderId="36" xfId="15" applyNumberFormat="1" applyFont="1" applyFill="1" applyBorder="1" applyAlignment="1">
      <alignment horizontal="center" vertical="center" wrapText="1"/>
    </xf>
    <xf numFmtId="181" fontId="4" fillId="8" borderId="37" xfId="15" applyNumberFormat="1" applyFont="1" applyFill="1" applyBorder="1" applyAlignment="1">
      <alignment horizontal="center" vertical="center" wrapText="1"/>
    </xf>
    <xf numFmtId="181" fontId="2" fillId="8" borderId="36" xfId="15" applyNumberFormat="1" applyFont="1" applyFill="1" applyBorder="1" applyAlignment="1">
      <alignment horizontal="center" vertical="center" wrapText="1"/>
    </xf>
    <xf numFmtId="181" fontId="4" fillId="8" borderId="35" xfId="15" applyNumberFormat="1" applyFont="1" applyFill="1" applyBorder="1" applyAlignment="1">
      <alignment horizontal="center" vertical="center" wrapText="1"/>
    </xf>
    <xf numFmtId="181" fontId="2" fillId="8" borderId="38" xfId="15" applyNumberFormat="1" applyFont="1" applyFill="1" applyBorder="1" applyAlignment="1">
      <alignment horizontal="center" vertical="center" wrapText="1"/>
    </xf>
    <xf numFmtId="181" fontId="2" fillId="8" borderId="39" xfId="15" applyNumberFormat="1" applyFont="1" applyFill="1" applyBorder="1" applyAlignment="1">
      <alignment horizontal="center" vertical="center" wrapText="1"/>
    </xf>
    <xf numFmtId="181" fontId="4" fillId="8" borderId="39" xfId="15" applyNumberFormat="1" applyFont="1" applyFill="1" applyBorder="1" applyAlignment="1">
      <alignment horizontal="center" vertical="center" wrapText="1"/>
    </xf>
    <xf numFmtId="0" fontId="2" fillId="0" borderId="9" xfId="2" applyFont="1" applyFill="1" applyBorder="1" applyAlignment="1">
      <alignment horizontal="center"/>
    </xf>
    <xf numFmtId="0" fontId="2" fillId="0" borderId="10" xfId="2" applyFont="1" applyFill="1" applyBorder="1" applyAlignment="1">
      <alignment horizontal="center"/>
    </xf>
    <xf numFmtId="0" fontId="14" fillId="0" borderId="9" xfId="2" applyFont="1" applyFill="1" applyBorder="1" applyAlignment="1">
      <alignment horizontal="center"/>
    </xf>
    <xf numFmtId="0" fontId="14" fillId="0" borderId="10" xfId="2" applyFont="1" applyFill="1" applyBorder="1" applyAlignment="1">
      <alignment horizontal="center"/>
    </xf>
    <xf numFmtId="0" fontId="14" fillId="0" borderId="11" xfId="2" applyFont="1" applyFill="1" applyBorder="1" applyAlignment="1">
      <alignment horizontal="center" vertical="center" wrapText="1"/>
    </xf>
    <xf numFmtId="181" fontId="14" fillId="9" borderId="25" xfId="15" applyNumberFormat="1" applyFont="1" applyFill="1" applyBorder="1" applyAlignment="1">
      <alignment horizontal="center" vertical="center" wrapText="1"/>
    </xf>
    <xf numFmtId="181" fontId="18" fillId="9" borderId="25" xfId="15" applyNumberFormat="1" applyFont="1" applyFill="1" applyBorder="1" applyAlignment="1">
      <alignment horizontal="center" vertical="center" wrapText="1"/>
    </xf>
    <xf numFmtId="0" fontId="2" fillId="9" borderId="25" xfId="2" applyFont="1" applyFill="1" applyBorder="1" applyAlignment="1">
      <alignment horizontal="center"/>
    </xf>
    <xf numFmtId="0" fontId="2" fillId="9" borderId="25" xfId="2" applyFont="1" applyFill="1" applyBorder="1" applyAlignment="1">
      <alignment horizontal="center" vertical="center" wrapText="1"/>
    </xf>
    <xf numFmtId="0" fontId="2" fillId="9" borderId="25" xfId="75" applyFont="1" applyFill="1" applyBorder="1" applyAlignment="1">
      <alignment horizontal="center" vertical="center" wrapText="1"/>
    </xf>
    <xf numFmtId="0" fontId="2" fillId="0" borderId="25" xfId="75" applyFont="1" applyFill="1" applyBorder="1" applyAlignment="1">
      <alignment horizontal="center" vertical="center"/>
    </xf>
    <xf numFmtId="0" fontId="14" fillId="0" borderId="9" xfId="32" applyFont="1" applyBorder="1" applyAlignment="1">
      <alignment horizontal="center" vertical="center" wrapText="1"/>
    </xf>
    <xf numFmtId="0" fontId="14" fillId="0" borderId="10" xfId="32" applyFont="1" applyBorder="1" applyAlignment="1">
      <alignment horizontal="center" vertical="center" wrapText="1"/>
    </xf>
    <xf numFmtId="0" fontId="14" fillId="0" borderId="11" xfId="32" applyFont="1" applyBorder="1" applyAlignment="1">
      <alignment horizontal="center" vertical="center" wrapText="1"/>
    </xf>
    <xf numFmtId="0" fontId="14" fillId="0" borderId="9" xfId="32" applyFont="1" applyFill="1" applyBorder="1" applyAlignment="1">
      <alignment horizontal="center"/>
    </xf>
    <xf numFmtId="0" fontId="14" fillId="0" borderId="10" xfId="32" applyFont="1" applyFill="1" applyBorder="1" applyAlignment="1">
      <alignment horizontal="center"/>
    </xf>
    <xf numFmtId="0" fontId="14" fillId="0" borderId="11" xfId="32" applyFont="1" applyFill="1" applyBorder="1" applyAlignment="1">
      <alignment horizontal="center" vertical="center" wrapText="1"/>
    </xf>
    <xf numFmtId="0" fontId="14" fillId="0" borderId="43" xfId="2" applyFont="1" applyFill="1" applyBorder="1" applyAlignment="1">
      <alignment horizontal="center"/>
    </xf>
    <xf numFmtId="181" fontId="14" fillId="9" borderId="44" xfId="15" applyNumberFormat="1" applyFont="1" applyFill="1" applyBorder="1" applyAlignment="1">
      <alignment horizontal="center" vertical="center" wrapText="1"/>
    </xf>
    <xf numFmtId="0" fontId="2" fillId="0" borderId="44" xfId="75" applyFont="1" applyFill="1" applyBorder="1" applyAlignment="1">
      <alignment horizontal="center" vertical="center"/>
    </xf>
    <xf numFmtId="0" fontId="2" fillId="9" borderId="44" xfId="75" applyFont="1" applyFill="1" applyBorder="1" applyAlignment="1">
      <alignment horizontal="center" vertical="center" wrapText="1"/>
    </xf>
    <xf numFmtId="9" fontId="2" fillId="2" borderId="30" xfId="75" applyNumberFormat="1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81" fontId="4" fillId="0" borderId="36" xfId="15" applyNumberFormat="1" applyFont="1" applyFill="1" applyBorder="1" applyAlignment="1">
      <alignment horizontal="center" vertical="center" wrapText="1"/>
    </xf>
    <xf numFmtId="181" fontId="4" fillId="0" borderId="31" xfId="15" applyNumberFormat="1" applyFont="1" applyFill="1" applyBorder="1" applyAlignment="1">
      <alignment horizontal="center" vertical="center" wrapText="1"/>
    </xf>
    <xf numFmtId="0" fontId="15" fillId="5" borderId="6" xfId="75" applyFont="1" applyFill="1" applyBorder="1" applyAlignment="1">
      <alignment horizontal="center" vertical="center" wrapText="1"/>
    </xf>
    <xf numFmtId="0" fontId="15" fillId="5" borderId="8" xfId="75" applyFont="1" applyFill="1" applyBorder="1" applyAlignment="1">
      <alignment horizontal="center" vertical="center" wrapText="1"/>
    </xf>
    <xf numFmtId="0" fontId="15" fillId="5" borderId="20" xfId="75" applyFont="1" applyFill="1" applyBorder="1" applyAlignment="1">
      <alignment horizontal="center" vertical="center" wrapText="1"/>
    </xf>
    <xf numFmtId="0" fontId="15" fillId="5" borderId="22" xfId="75" applyFont="1" applyFill="1" applyBorder="1" applyAlignment="1">
      <alignment horizontal="center" vertical="center" wrapText="1"/>
    </xf>
    <xf numFmtId="0" fontId="15" fillId="5" borderId="23" xfId="75" applyFont="1" applyFill="1" applyBorder="1" applyAlignment="1">
      <alignment horizontal="center" vertical="center" wrapText="1"/>
    </xf>
    <xf numFmtId="0" fontId="2" fillId="2" borderId="21" xfId="75" applyFont="1" applyFill="1" applyBorder="1" applyAlignment="1">
      <alignment horizontal="center" vertical="center" wrapText="1"/>
    </xf>
    <xf numFmtId="0" fontId="2" fillId="2" borderId="24" xfId="75" applyFont="1" applyFill="1" applyBorder="1" applyAlignment="1">
      <alignment horizontal="center" vertical="center" wrapText="1"/>
    </xf>
    <xf numFmtId="9" fontId="2" fillId="2" borderId="17" xfId="75" applyNumberFormat="1" applyFont="1" applyFill="1" applyBorder="1" applyAlignment="1">
      <alignment horizontal="center" vertical="center" wrapText="1"/>
    </xf>
    <xf numFmtId="9" fontId="2" fillId="2" borderId="18" xfId="75" applyNumberFormat="1" applyFont="1" applyFill="1" applyBorder="1" applyAlignment="1">
      <alignment horizontal="center" vertical="center" wrapText="1"/>
    </xf>
    <xf numFmtId="9" fontId="4" fillId="2" borderId="17" xfId="75" applyNumberFormat="1" applyFont="1" applyFill="1" applyBorder="1" applyAlignment="1">
      <alignment horizontal="center" vertical="center" wrapText="1"/>
    </xf>
    <xf numFmtId="9" fontId="4" fillId="2" borderId="18" xfId="75" applyNumberFormat="1" applyFont="1" applyFill="1" applyBorder="1" applyAlignment="1">
      <alignment horizontal="center" vertical="center" wrapText="1"/>
    </xf>
    <xf numFmtId="0" fontId="2" fillId="5" borderId="20" xfId="75" applyFont="1" applyFill="1" applyBorder="1" applyAlignment="1">
      <alignment horizontal="center" vertical="center" wrapText="1"/>
    </xf>
    <xf numFmtId="0" fontId="2" fillId="5" borderId="22" xfId="75" applyFont="1" applyFill="1" applyBorder="1" applyAlignment="1">
      <alignment horizontal="center" vertical="center" wrapText="1"/>
    </xf>
    <xf numFmtId="0" fontId="2" fillId="5" borderId="23" xfId="75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9" fontId="2" fillId="0" borderId="17" xfId="75" applyNumberFormat="1" applyFont="1" applyFill="1" applyBorder="1" applyAlignment="1">
      <alignment horizontal="center" vertical="center" wrapText="1"/>
    </xf>
    <xf numFmtId="9" fontId="2" fillId="0" borderId="18" xfId="75" applyNumberFormat="1" applyFont="1" applyFill="1" applyBorder="1" applyAlignment="1">
      <alignment horizontal="center" vertical="center" wrapText="1"/>
    </xf>
    <xf numFmtId="9" fontId="2" fillId="0" borderId="17" xfId="0" applyNumberFormat="1" applyFont="1" applyFill="1" applyBorder="1" applyAlignment="1">
      <alignment horizontal="center" vertical="center" wrapText="1"/>
    </xf>
    <xf numFmtId="9" fontId="2" fillId="0" borderId="18" xfId="0" applyNumberFormat="1" applyFont="1" applyFill="1" applyBorder="1" applyAlignment="1">
      <alignment horizontal="center" vertical="center" wrapText="1"/>
    </xf>
    <xf numFmtId="9" fontId="2" fillId="0" borderId="32" xfId="76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15" fillId="5" borderId="20" xfId="75" applyFont="1" applyFill="1" applyBorder="1" applyAlignment="1">
      <alignment horizontal="center"/>
    </xf>
    <xf numFmtId="0" fontId="15" fillId="5" borderId="22" xfId="75" applyFont="1" applyFill="1" applyBorder="1" applyAlignment="1">
      <alignment horizontal="center"/>
    </xf>
    <xf numFmtId="0" fontId="15" fillId="5" borderId="23" xfId="75" applyFont="1" applyFill="1" applyBorder="1" applyAlignment="1">
      <alignment horizontal="center"/>
    </xf>
    <xf numFmtId="0" fontId="2" fillId="0" borderId="0" xfId="3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1" fontId="2" fillId="0" borderId="17" xfId="76" applyNumberFormat="1" applyFont="1" applyFill="1" applyBorder="1" applyAlignment="1">
      <alignment horizontal="center" vertical="center" wrapText="1"/>
    </xf>
    <xf numFmtId="1" fontId="2" fillId="0" borderId="18" xfId="76" applyNumberFormat="1" applyFont="1" applyFill="1" applyBorder="1" applyAlignment="1">
      <alignment horizontal="center" vertical="center" wrapText="1"/>
    </xf>
    <xf numFmtId="0" fontId="2" fillId="0" borderId="21" xfId="75" applyFont="1" applyFill="1" applyBorder="1" applyAlignment="1">
      <alignment horizontal="center" vertical="center" wrapText="1"/>
    </xf>
    <xf numFmtId="0" fontId="2" fillId="0" borderId="24" xfId="75" applyFont="1" applyFill="1" applyBorder="1" applyAlignment="1">
      <alignment horizontal="center" vertical="center" wrapText="1"/>
    </xf>
    <xf numFmtId="0" fontId="2" fillId="0" borderId="18" xfId="75" applyFont="1" applyFill="1" applyBorder="1" applyAlignment="1">
      <alignment horizontal="center" vertical="center" wrapText="1"/>
    </xf>
    <xf numFmtId="0" fontId="2" fillId="0" borderId="7" xfId="2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15" fillId="7" borderId="6" xfId="75" applyFont="1" applyFill="1" applyBorder="1" applyAlignment="1">
      <alignment horizontal="center" vertical="center" wrapText="1"/>
    </xf>
    <xf numFmtId="0" fontId="15" fillId="7" borderId="8" xfId="75" applyFont="1" applyFill="1" applyBorder="1" applyAlignment="1">
      <alignment horizontal="center" vertical="center" wrapText="1"/>
    </xf>
    <xf numFmtId="0" fontId="15" fillId="7" borderId="20" xfId="75" applyFont="1" applyFill="1" applyBorder="1" applyAlignment="1">
      <alignment horizontal="center" vertical="center" wrapText="1"/>
    </xf>
    <xf numFmtId="0" fontId="15" fillId="7" borderId="22" xfId="75" applyFont="1" applyFill="1" applyBorder="1" applyAlignment="1">
      <alignment horizontal="center" vertical="center" wrapText="1"/>
    </xf>
    <xf numFmtId="0" fontId="15" fillId="7" borderId="23" xfId="75" applyFont="1" applyFill="1" applyBorder="1" applyAlignment="1">
      <alignment horizontal="center" vertical="center" wrapText="1"/>
    </xf>
    <xf numFmtId="0" fontId="2" fillId="7" borderId="20" xfId="75" applyFont="1" applyFill="1" applyBorder="1" applyAlignment="1">
      <alignment horizontal="center" vertical="center" wrapText="1"/>
    </xf>
    <xf numFmtId="0" fontId="2" fillId="7" borderId="22" xfId="75" applyFont="1" applyFill="1" applyBorder="1" applyAlignment="1">
      <alignment horizontal="center" vertical="center" wrapText="1"/>
    </xf>
    <xf numFmtId="0" fontId="2" fillId="7" borderId="23" xfId="75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15" fillId="7" borderId="29" xfId="75" applyFont="1" applyFill="1" applyBorder="1" applyAlignment="1">
      <alignment horizontal="center" vertical="center" wrapText="1"/>
    </xf>
    <xf numFmtId="0" fontId="15" fillId="7" borderId="24" xfId="75" applyFont="1" applyFill="1" applyBorder="1" applyAlignment="1">
      <alignment horizontal="center"/>
    </xf>
    <xf numFmtId="0" fontId="15" fillId="7" borderId="29" xfId="75" applyFont="1" applyFill="1" applyBorder="1" applyAlignment="1">
      <alignment horizontal="center"/>
    </xf>
    <xf numFmtId="0" fontId="15" fillId="7" borderId="28" xfId="75" applyFont="1" applyFill="1" applyBorder="1" applyAlignment="1">
      <alignment horizontal="center"/>
    </xf>
    <xf numFmtId="0" fontId="15" fillId="7" borderId="26" xfId="75" applyFont="1" applyFill="1" applyBorder="1" applyAlignment="1">
      <alignment horizontal="center" vertical="center" wrapText="1"/>
    </xf>
    <xf numFmtId="0" fontId="2" fillId="7" borderId="42" xfId="75" applyFont="1" applyFill="1" applyBorder="1" applyAlignment="1">
      <alignment horizontal="center" vertical="center" wrapText="1"/>
    </xf>
    <xf numFmtId="0" fontId="2" fillId="7" borderId="27" xfId="75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9" fontId="2" fillId="2" borderId="25" xfId="75" applyNumberFormat="1" applyFont="1" applyFill="1" applyBorder="1" applyAlignment="1">
      <alignment horizontal="center" vertical="center" wrapText="1"/>
    </xf>
    <xf numFmtId="1" fontId="2" fillId="0" borderId="42" xfId="76" applyNumberFormat="1" applyFont="1" applyFill="1" applyBorder="1" applyAlignment="1">
      <alignment horizontal="center" vertical="center" wrapText="1"/>
    </xf>
    <xf numFmtId="1" fontId="2" fillId="0" borderId="0" xfId="76" applyNumberFormat="1" applyFont="1" applyFill="1" applyBorder="1" applyAlignment="1">
      <alignment horizontal="center" vertical="center" wrapText="1"/>
    </xf>
    <xf numFmtId="0" fontId="2" fillId="0" borderId="25" xfId="75" applyFont="1" applyFill="1" applyBorder="1" applyAlignment="1">
      <alignment horizontal="center" vertical="center" wrapText="1"/>
    </xf>
    <xf numFmtId="9" fontId="2" fillId="0" borderId="25" xfId="75" applyNumberFormat="1" applyFont="1" applyFill="1" applyBorder="1" applyAlignment="1">
      <alignment horizontal="center" vertical="center" wrapText="1"/>
    </xf>
    <xf numFmtId="0" fontId="2" fillId="0" borderId="36" xfId="2" applyFont="1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9" fontId="2" fillId="2" borderId="36" xfId="75" applyNumberFormat="1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9" fontId="2" fillId="0" borderId="40" xfId="76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9" fontId="2" fillId="0" borderId="25" xfId="76" applyFont="1" applyFill="1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 wrapText="1"/>
    </xf>
  </cellXfs>
  <cellStyles count="77">
    <cellStyle name="20% - Accent1 2" xfId="9" xr:uid="{00000000-0005-0000-0000-000000000000}"/>
    <cellStyle name="Aaia?iue [0]_laroux" xfId="10" xr:uid="{00000000-0005-0000-0000-000001000000}"/>
    <cellStyle name="Aaia?iue_laroux" xfId="11" xr:uid="{00000000-0005-0000-0000-000002000000}"/>
    <cellStyle name="Äåíåæíûé [0]_laroux" xfId="12" xr:uid="{00000000-0005-0000-0000-000003000000}"/>
    <cellStyle name="Äåíåæíûé_laroux" xfId="13" xr:uid="{00000000-0005-0000-0000-000004000000}"/>
    <cellStyle name="Accent1 2" xfId="14" xr:uid="{00000000-0005-0000-0000-000005000000}"/>
    <cellStyle name="Comma [0] 2" xfId="6" xr:uid="{00000000-0005-0000-0000-000006000000}"/>
    <cellStyle name="Comma 2" xfId="15" xr:uid="{00000000-0005-0000-0000-000007000000}"/>
    <cellStyle name="Comma 3" xfId="16" xr:uid="{00000000-0005-0000-0000-000008000000}"/>
    <cellStyle name="Comma 3 2" xfId="17" xr:uid="{00000000-0005-0000-0000-000009000000}"/>
    <cellStyle name="Comma 4" xfId="18" xr:uid="{00000000-0005-0000-0000-00000A000000}"/>
    <cellStyle name="Comma 5" xfId="19" xr:uid="{00000000-0005-0000-0000-00000B000000}"/>
    <cellStyle name="Comma 6" xfId="20" xr:uid="{00000000-0005-0000-0000-00000C000000}"/>
    <cellStyle name="Comma 7" xfId="21" xr:uid="{00000000-0005-0000-0000-00000D000000}"/>
    <cellStyle name="Comma 8" xfId="7" xr:uid="{00000000-0005-0000-0000-00000E000000}"/>
    <cellStyle name="Currency [0] 2" xfId="5" xr:uid="{00000000-0005-0000-0000-00000F000000}"/>
    <cellStyle name="Currency 2" xfId="4" xr:uid="{00000000-0005-0000-0000-000010000000}"/>
    <cellStyle name="Euro" xfId="22" xr:uid="{00000000-0005-0000-0000-000011000000}"/>
    <cellStyle name="Iau?iue_Eeno1" xfId="23" xr:uid="{00000000-0005-0000-0000-000012000000}"/>
    <cellStyle name="Îáû÷íûé_Ëèñò1" xfId="24" xr:uid="{00000000-0005-0000-0000-000013000000}"/>
    <cellStyle name="norm?ln?_laroux" xfId="25" xr:uid="{00000000-0005-0000-0000-000014000000}"/>
    <cellStyle name="Normal 10" xfId="26" xr:uid="{00000000-0005-0000-0000-000015000000}"/>
    <cellStyle name="Normal 11" xfId="27" xr:uid="{00000000-0005-0000-0000-000016000000}"/>
    <cellStyle name="Normal 12" xfId="28" xr:uid="{00000000-0005-0000-0000-000017000000}"/>
    <cellStyle name="Normal 13" xfId="29" xr:uid="{00000000-0005-0000-0000-000018000000}"/>
    <cellStyle name="Normal 14" xfId="30" xr:uid="{00000000-0005-0000-0000-000019000000}"/>
    <cellStyle name="Normal 15" xfId="3" xr:uid="{00000000-0005-0000-0000-00001A000000}"/>
    <cellStyle name="Normal 2" xfId="2" xr:uid="{00000000-0005-0000-0000-00001B000000}"/>
    <cellStyle name="Normal 2 2" xfId="31" xr:uid="{00000000-0005-0000-0000-00001C000000}"/>
    <cellStyle name="Normal 3" xfId="32" xr:uid="{00000000-0005-0000-0000-00001D000000}"/>
    <cellStyle name="Normal 4" xfId="33" xr:uid="{00000000-0005-0000-0000-00001E000000}"/>
    <cellStyle name="Normal 5" xfId="34" xr:uid="{00000000-0005-0000-0000-00001F000000}"/>
    <cellStyle name="Normal 6" xfId="35" xr:uid="{00000000-0005-0000-0000-000020000000}"/>
    <cellStyle name="Normal 6 3" xfId="36" xr:uid="{00000000-0005-0000-0000-000021000000}"/>
    <cellStyle name="Normal 6 3 2" xfId="37" xr:uid="{00000000-0005-0000-0000-000022000000}"/>
    <cellStyle name="Normal 7" xfId="38" xr:uid="{00000000-0005-0000-0000-000023000000}"/>
    <cellStyle name="Normal 8" xfId="39" xr:uid="{00000000-0005-0000-0000-000024000000}"/>
    <cellStyle name="Normal 9" xfId="40" xr:uid="{00000000-0005-0000-0000-000025000000}"/>
    <cellStyle name="Normal_Цели" xfId="75" xr:uid="{00000000-0005-0000-0000-000026000000}"/>
    <cellStyle name="normalni_laroux" xfId="41" xr:uid="{00000000-0005-0000-0000-000027000000}"/>
    <cellStyle name="normálnì_laroux" xfId="42" xr:uid="{00000000-0005-0000-0000-000028000000}"/>
    <cellStyle name="normбlnм_laroux" xfId="43" xr:uid="{00000000-0005-0000-0000-000029000000}"/>
    <cellStyle name="Oeiainiaue [0]_laroux" xfId="44" xr:uid="{00000000-0005-0000-0000-00002A000000}"/>
    <cellStyle name="Ôèíàíñîâûé [0]_laroux" xfId="45" xr:uid="{00000000-0005-0000-0000-00002B000000}"/>
    <cellStyle name="Oeiainiaue [0]_laroux_1" xfId="46" xr:uid="{00000000-0005-0000-0000-00002C000000}"/>
    <cellStyle name="Ôèíàíñîâûé [0]_laroux_1" xfId="47" xr:uid="{00000000-0005-0000-0000-00002D000000}"/>
    <cellStyle name="Oeiainiaue [0]_laroux_1_16.05.03 Summary EKB Суши" xfId="48" xr:uid="{00000000-0005-0000-0000-00002E000000}"/>
    <cellStyle name="Oeiainiaue_laroux" xfId="49" xr:uid="{00000000-0005-0000-0000-00002F000000}"/>
    <cellStyle name="Ôèíàíñîâûé_laroux" xfId="50" xr:uid="{00000000-0005-0000-0000-000030000000}"/>
    <cellStyle name="Oeiainiaue_laroux_2.2  2003 Outlook " xfId="51" xr:uid="{00000000-0005-0000-0000-000031000000}"/>
    <cellStyle name="Ouny?e [0]_PR_KOMPL" xfId="52" xr:uid="{00000000-0005-0000-0000-000032000000}"/>
    <cellStyle name="Òûñÿ÷è [0]_PR_KOMPL" xfId="53" xr:uid="{00000000-0005-0000-0000-000033000000}"/>
    <cellStyle name="Percent 2" xfId="1" xr:uid="{00000000-0005-0000-0000-000034000000}"/>
    <cellStyle name="Percent 2 2" xfId="55" xr:uid="{00000000-0005-0000-0000-000035000000}"/>
    <cellStyle name="Percent 2 3" xfId="54" xr:uid="{00000000-0005-0000-0000-000036000000}"/>
    <cellStyle name="Percent 3" xfId="56" xr:uid="{00000000-0005-0000-0000-000037000000}"/>
    <cellStyle name="Percent 4" xfId="57" xr:uid="{00000000-0005-0000-0000-000038000000}"/>
    <cellStyle name="Percent 5" xfId="58" xr:uid="{00000000-0005-0000-0000-000039000000}"/>
    <cellStyle name="Percent 6" xfId="8" xr:uid="{00000000-0005-0000-0000-00003A000000}"/>
    <cellStyle name="Standard_PL-3yr" xfId="59" xr:uid="{00000000-0005-0000-0000-00003B000000}"/>
    <cellStyle name="Обычный" xfId="0" builtinId="0"/>
    <cellStyle name="Обычный 12" xfId="60" xr:uid="{00000000-0005-0000-0000-00003D000000}"/>
    <cellStyle name="Обычный 2" xfId="61" xr:uid="{00000000-0005-0000-0000-00003E000000}"/>
    <cellStyle name="Обычный 2 2" xfId="62" xr:uid="{00000000-0005-0000-0000-00003F000000}"/>
    <cellStyle name="Обычный 2 3" xfId="63" xr:uid="{00000000-0005-0000-0000-000040000000}"/>
    <cellStyle name="Обычный 3" xfId="64" xr:uid="{00000000-0005-0000-0000-000041000000}"/>
    <cellStyle name="Обычный 3 2" xfId="65" xr:uid="{00000000-0005-0000-0000-000042000000}"/>
    <cellStyle name="Обычный 4" xfId="66" xr:uid="{00000000-0005-0000-0000-000043000000}"/>
    <cellStyle name="Обычный 5" xfId="67" xr:uid="{00000000-0005-0000-0000-000044000000}"/>
    <cellStyle name="Процентный" xfId="76" builtinId="5"/>
    <cellStyle name="Процентный 2" xfId="68" xr:uid="{00000000-0005-0000-0000-000046000000}"/>
    <cellStyle name="Процентный 3" xfId="69" xr:uid="{00000000-0005-0000-0000-000047000000}"/>
    <cellStyle name="Стиль 1" xfId="70" xr:uid="{00000000-0005-0000-0000-000048000000}"/>
    <cellStyle name="Тысячи [0]_PR_KOMPL" xfId="71" xr:uid="{00000000-0005-0000-0000-000049000000}"/>
    <cellStyle name="Финансовый 2" xfId="72" xr:uid="{00000000-0005-0000-0000-00004A000000}"/>
    <cellStyle name="Финансовый 3" xfId="73" xr:uid="{00000000-0005-0000-0000-00004B000000}"/>
    <cellStyle name="Финансовый 4" xfId="74" xr:uid="{00000000-0005-0000-0000-00004C000000}"/>
  </cellStyles>
  <dxfs count="6"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rostiksfinance\Documents%20and%20Settings\polin\Local%20Settings\Temporary%20Internet%20Files\Content.IE5\W5IHWPEH\Cash%20Flow%20Outlook%200409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ce\subsidiaries\RoServis\Fixed%20Assets\Fixed%20assets%2031%20Dec%209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xk9387\Local%20Settings\Temporary%20Internet%20Files\Content.Outlook\F13W2T6M\Russia_RV_P6%20with%20links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xm8523\Desktop\Q3F%20Outbox\Canada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rostiksfinance\WINNT\Profiles\sxs5242\Local%20Settings\Temporary%20Internet%20Files\OLK47A\Revised%20CAPEX%20v2.xlt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rostiksfinance\ERNST98\SPREN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2012%20Actual%20Financials\Q0F\Upload%20template\Russia\final%20upload%20file%20-%20values\Russ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"/>
      <sheetName val="Lines"/>
      <sheetName val="Loans"/>
      <sheetName val="NonBankLoans"/>
      <sheetName val="Transfers"/>
      <sheetName val="Investments"/>
      <sheetName val="Interests"/>
      <sheetName val="Income"/>
      <sheetName val="CapEx"/>
      <sheetName val="NonCashItems"/>
      <sheetName val="Openings"/>
      <sheetName val="WorkingCapital"/>
      <sheetName val="Assumptions"/>
      <sheetName val="Banks"/>
      <sheetName val="RI Oper"/>
      <sheetName val="RRL Debt"/>
    </sheetNames>
    <sheetDataSet>
      <sheetData sheetId="0"/>
      <sheetData sheetId="1" refreshError="1">
        <row r="3">
          <cell r="A3" t="str">
            <v>Гута-банк</v>
          </cell>
          <cell r="B3" t="str">
            <v>Лимит</v>
          </cell>
          <cell r="C3">
            <v>974.70750172057808</v>
          </cell>
          <cell r="D3" t="str">
            <v>USD</v>
          </cell>
          <cell r="E3">
            <v>4.4999999999999998E-2</v>
          </cell>
          <cell r="F3">
            <v>37966</v>
          </cell>
          <cell r="G3">
            <v>38331</v>
          </cell>
        </row>
        <row r="4">
          <cell r="A4" t="str">
            <v>Ситибанк</v>
          </cell>
          <cell r="B4" t="str">
            <v>Лимит</v>
          </cell>
          <cell r="C4">
            <v>90000</v>
          </cell>
          <cell r="D4" t="str">
            <v>RUR</v>
          </cell>
          <cell r="F4">
            <v>37281</v>
          </cell>
        </row>
        <row r="5">
          <cell r="A5" t="str">
            <v>Сбербанк России</v>
          </cell>
          <cell r="B5" t="str">
            <v>Линия</v>
          </cell>
          <cell r="C5">
            <v>30000</v>
          </cell>
          <cell r="D5" t="str">
            <v>RUR</v>
          </cell>
          <cell r="E5">
            <v>0.1</v>
          </cell>
          <cell r="F5">
            <v>38134</v>
          </cell>
          <cell r="G5">
            <v>38226</v>
          </cell>
        </row>
        <row r="6">
          <cell r="A6" t="str">
            <v>Альфа-банк</v>
          </cell>
          <cell r="B6" t="str">
            <v>Лимит</v>
          </cell>
          <cell r="C6">
            <v>3000</v>
          </cell>
          <cell r="D6" t="str">
            <v>USD</v>
          </cell>
          <cell r="E6">
            <v>0.13500000000000001</v>
          </cell>
          <cell r="F6">
            <v>38118</v>
          </cell>
          <cell r="G6">
            <v>38492</v>
          </cell>
        </row>
        <row r="7">
          <cell r="A7" t="str">
            <v>ММБ</v>
          </cell>
          <cell r="B7" t="str">
            <v>Линия</v>
          </cell>
          <cell r="C7">
            <v>4800</v>
          </cell>
          <cell r="D7" t="str">
            <v>USD</v>
          </cell>
          <cell r="E7">
            <v>8.3437499999999998E-2</v>
          </cell>
          <cell r="F7">
            <v>38119</v>
          </cell>
          <cell r="G7">
            <v>39214</v>
          </cell>
        </row>
        <row r="8">
          <cell r="A8" t="str">
            <v>Сбербанк России</v>
          </cell>
          <cell r="B8" t="str">
            <v>Линия</v>
          </cell>
          <cell r="C8">
            <v>30000</v>
          </cell>
          <cell r="D8" t="str">
            <v>RUR</v>
          </cell>
          <cell r="E8">
            <v>0.1</v>
          </cell>
          <cell r="F8">
            <v>38163</v>
          </cell>
          <cell r="G8">
            <v>38252</v>
          </cell>
        </row>
        <row r="9">
          <cell r="A9" t="str">
            <v>Сбербанк России</v>
          </cell>
          <cell r="B9" t="str">
            <v>Линия</v>
          </cell>
          <cell r="C9">
            <v>60000</v>
          </cell>
          <cell r="D9" t="str">
            <v>RUR</v>
          </cell>
          <cell r="E9">
            <v>0.1</v>
          </cell>
          <cell r="F9">
            <v>38173</v>
          </cell>
          <cell r="G9">
            <v>38264</v>
          </cell>
        </row>
        <row r="10">
          <cell r="A10" t="str">
            <v>Сбербанк России</v>
          </cell>
          <cell r="B10" t="str">
            <v>Линия</v>
          </cell>
          <cell r="C10">
            <v>40000</v>
          </cell>
          <cell r="D10" t="str">
            <v>RUR</v>
          </cell>
          <cell r="E10">
            <v>0.1</v>
          </cell>
          <cell r="F10">
            <v>38188</v>
          </cell>
          <cell r="G10">
            <v>38279</v>
          </cell>
        </row>
        <row r="11">
          <cell r="A11" t="str">
            <v>Сбербанк России</v>
          </cell>
          <cell r="B11" t="str">
            <v>Линия</v>
          </cell>
          <cell r="C11">
            <v>80000</v>
          </cell>
          <cell r="D11" t="str">
            <v>RUR</v>
          </cell>
          <cell r="E11">
            <v>0.125</v>
          </cell>
          <cell r="F11">
            <v>38202</v>
          </cell>
          <cell r="G11">
            <v>38373</v>
          </cell>
        </row>
        <row r="12">
          <cell r="A12" t="str">
            <v>Сбербанк России</v>
          </cell>
          <cell r="B12" t="str">
            <v>Линия</v>
          </cell>
          <cell r="C12">
            <v>70000</v>
          </cell>
          <cell r="D12" t="str">
            <v>RUR</v>
          </cell>
          <cell r="E12">
            <v>0.125</v>
          </cell>
          <cell r="F12">
            <v>38229</v>
          </cell>
          <cell r="G12">
            <v>38408</v>
          </cell>
        </row>
      </sheetData>
      <sheetData sheetId="2" refreshError="1">
        <row r="3">
          <cell r="F3" t="str">
            <v>погашения</v>
          </cell>
        </row>
        <row r="4">
          <cell r="A4" t="str">
            <v>Гута-банк</v>
          </cell>
          <cell r="B4">
            <v>974.70750172057808</v>
          </cell>
          <cell r="C4" t="str">
            <v>USD</v>
          </cell>
          <cell r="D4">
            <v>4.4999999999999998E-2</v>
          </cell>
          <cell r="E4">
            <v>37966</v>
          </cell>
          <cell r="F4">
            <v>38331</v>
          </cell>
          <cell r="G4">
            <v>37966</v>
          </cell>
          <cell r="H4" t="str">
            <v>Ежемесячно</v>
          </cell>
        </row>
        <row r="5">
          <cell r="A5" t="str">
            <v>Гута-банк</v>
          </cell>
          <cell r="B5">
            <v>275.29249827942192</v>
          </cell>
          <cell r="C5" t="str">
            <v>USD</v>
          </cell>
          <cell r="D5">
            <v>4.4999999999999998E-2</v>
          </cell>
          <cell r="E5">
            <v>37966</v>
          </cell>
          <cell r="F5">
            <v>38175</v>
          </cell>
          <cell r="G5">
            <v>37966</v>
          </cell>
          <cell r="H5" t="str">
            <v>Ежемесячно</v>
          </cell>
        </row>
        <row r="6">
          <cell r="A6" t="str">
            <v>Ситибанк</v>
          </cell>
          <cell r="B6">
            <v>62500</v>
          </cell>
          <cell r="C6" t="str">
            <v>RUR</v>
          </cell>
          <cell r="D6">
            <v>0.09</v>
          </cell>
          <cell r="E6">
            <v>37998</v>
          </cell>
          <cell r="F6">
            <v>38180</v>
          </cell>
          <cell r="G6">
            <v>37277</v>
          </cell>
          <cell r="H6">
            <v>38180</v>
          </cell>
        </row>
        <row r="7">
          <cell r="A7" t="str">
            <v>Ситибанк</v>
          </cell>
          <cell r="B7">
            <v>7500</v>
          </cell>
          <cell r="C7" t="str">
            <v>RUR</v>
          </cell>
          <cell r="D7">
            <v>8.9499999999999996E-2</v>
          </cell>
          <cell r="E7">
            <v>38082</v>
          </cell>
          <cell r="F7">
            <v>38260</v>
          </cell>
          <cell r="G7">
            <v>38082</v>
          </cell>
          <cell r="H7">
            <v>38321</v>
          </cell>
        </row>
        <row r="8">
          <cell r="A8" t="str">
            <v>Ситибанк</v>
          </cell>
          <cell r="B8">
            <v>20000</v>
          </cell>
          <cell r="C8" t="str">
            <v>RUR</v>
          </cell>
          <cell r="D8">
            <v>8.9499999999999996E-2</v>
          </cell>
          <cell r="E8">
            <v>38082</v>
          </cell>
          <cell r="F8">
            <v>38321</v>
          </cell>
          <cell r="G8">
            <v>38082</v>
          </cell>
          <cell r="H8">
            <v>38321</v>
          </cell>
        </row>
        <row r="9">
          <cell r="A9" t="str">
            <v>Сбербанк России</v>
          </cell>
          <cell r="B9">
            <v>70000</v>
          </cell>
          <cell r="C9" t="str">
            <v>RUR</v>
          </cell>
          <cell r="D9">
            <v>0.1</v>
          </cell>
          <cell r="E9">
            <v>38065</v>
          </cell>
          <cell r="F9">
            <v>38154</v>
          </cell>
          <cell r="G9">
            <v>38065</v>
          </cell>
          <cell r="H9" t="str">
            <v>Ежемесячно</v>
          </cell>
        </row>
        <row r="10">
          <cell r="A10" t="str">
            <v>Сбербанк России</v>
          </cell>
          <cell r="B10">
            <v>30000</v>
          </cell>
          <cell r="C10" t="str">
            <v>RUR</v>
          </cell>
          <cell r="D10">
            <v>0.1</v>
          </cell>
          <cell r="E10">
            <v>38082</v>
          </cell>
          <cell r="F10">
            <v>38170</v>
          </cell>
          <cell r="G10">
            <v>38082</v>
          </cell>
          <cell r="H10" t="str">
            <v>Ежемесячно</v>
          </cell>
        </row>
        <row r="11">
          <cell r="A11" t="str">
            <v>Сбербанк России</v>
          </cell>
          <cell r="B11">
            <v>20000</v>
          </cell>
          <cell r="C11" t="str">
            <v>RUR</v>
          </cell>
          <cell r="D11">
            <v>0.1</v>
          </cell>
          <cell r="E11">
            <v>38118</v>
          </cell>
          <cell r="F11">
            <v>38205</v>
          </cell>
          <cell r="G11">
            <v>38118</v>
          </cell>
          <cell r="H11" t="str">
            <v>Ежемесячно</v>
          </cell>
        </row>
        <row r="12">
          <cell r="A12" t="str">
            <v>Сбербанк России</v>
          </cell>
          <cell r="B12">
            <v>30000</v>
          </cell>
          <cell r="C12" t="str">
            <v>RUR</v>
          </cell>
          <cell r="D12">
            <v>0.1</v>
          </cell>
          <cell r="E12">
            <v>38134</v>
          </cell>
          <cell r="F12">
            <v>38223</v>
          </cell>
          <cell r="G12">
            <v>38118</v>
          </cell>
          <cell r="H12" t="str">
            <v>Ежемесячно</v>
          </cell>
        </row>
        <row r="13">
          <cell r="A13" t="str">
            <v>ММБ</v>
          </cell>
          <cell r="B13">
            <v>420</v>
          </cell>
          <cell r="C13" t="str">
            <v>USD</v>
          </cell>
          <cell r="D13">
            <v>8.3437510000000006E-2</v>
          </cell>
          <cell r="E13">
            <v>38135</v>
          </cell>
          <cell r="F13">
            <v>39169</v>
          </cell>
          <cell r="G13">
            <v>38119</v>
          </cell>
          <cell r="H13" t="str">
            <v>Ежемесячно</v>
          </cell>
        </row>
        <row r="14">
          <cell r="A14" t="str">
            <v>ММБ</v>
          </cell>
          <cell r="B14">
            <v>700</v>
          </cell>
          <cell r="C14" t="str">
            <v>USD</v>
          </cell>
          <cell r="D14">
            <v>8.3437510000000006E-2</v>
          </cell>
          <cell r="E14">
            <v>38139</v>
          </cell>
          <cell r="F14">
            <v>39169</v>
          </cell>
          <cell r="G14">
            <v>38119</v>
          </cell>
          <cell r="H14" t="str">
            <v>Ежемесячно</v>
          </cell>
        </row>
        <row r="15">
          <cell r="A15" t="str">
            <v>ММБ</v>
          </cell>
          <cell r="B15">
            <v>400</v>
          </cell>
          <cell r="C15" t="str">
            <v>USD</v>
          </cell>
          <cell r="D15">
            <v>8.3437510000000006E-2</v>
          </cell>
          <cell r="E15">
            <v>38142</v>
          </cell>
          <cell r="F15">
            <v>39169</v>
          </cell>
          <cell r="G15">
            <v>38119</v>
          </cell>
          <cell r="H15" t="str">
            <v>Ежемесячно</v>
          </cell>
        </row>
        <row r="16">
          <cell r="A16" t="str">
            <v>ММБ</v>
          </cell>
          <cell r="B16">
            <v>80</v>
          </cell>
          <cell r="C16" t="str">
            <v>USD</v>
          </cell>
          <cell r="D16">
            <v>8.3437510000000006E-2</v>
          </cell>
          <cell r="E16">
            <v>38147</v>
          </cell>
          <cell r="F16">
            <v>39169</v>
          </cell>
          <cell r="G16">
            <v>38119</v>
          </cell>
          <cell r="H16" t="str">
            <v>Ежемесячно</v>
          </cell>
        </row>
        <row r="17">
          <cell r="A17" t="str">
            <v>ММБ</v>
          </cell>
          <cell r="B17">
            <v>20</v>
          </cell>
          <cell r="C17" t="str">
            <v>USD</v>
          </cell>
          <cell r="D17">
            <v>8.3437510000000006E-2</v>
          </cell>
          <cell r="E17">
            <v>38147</v>
          </cell>
          <cell r="F17">
            <v>39200</v>
          </cell>
          <cell r="G17">
            <v>38119</v>
          </cell>
          <cell r="H17" t="str">
            <v>Ежемесячно</v>
          </cell>
        </row>
        <row r="18">
          <cell r="A18" t="str">
            <v>ММБ</v>
          </cell>
          <cell r="B18">
            <v>200</v>
          </cell>
          <cell r="C18" t="str">
            <v>USD</v>
          </cell>
          <cell r="D18">
            <v>8.3437510000000006E-2</v>
          </cell>
          <cell r="E18">
            <v>38148</v>
          </cell>
          <cell r="F18">
            <v>39200</v>
          </cell>
          <cell r="G18">
            <v>38119</v>
          </cell>
          <cell r="H18" t="str">
            <v>Ежемесячно</v>
          </cell>
        </row>
        <row r="19">
          <cell r="A19" t="str">
            <v>ММБ</v>
          </cell>
          <cell r="B19">
            <v>1380</v>
          </cell>
          <cell r="C19" t="str">
            <v>USD</v>
          </cell>
          <cell r="D19">
            <v>8.3437510000000006E-2</v>
          </cell>
          <cell r="E19">
            <v>38154</v>
          </cell>
          <cell r="F19">
            <v>39200</v>
          </cell>
          <cell r="G19">
            <v>38119</v>
          </cell>
          <cell r="H19" t="str">
            <v>Ежемесячно</v>
          </cell>
        </row>
        <row r="20">
          <cell r="A20" t="str">
            <v>ММБ</v>
          </cell>
          <cell r="B20">
            <v>1600</v>
          </cell>
          <cell r="C20" t="str">
            <v>USD</v>
          </cell>
          <cell r="D20">
            <v>8.3437510000000006E-2</v>
          </cell>
          <cell r="E20">
            <v>38154</v>
          </cell>
          <cell r="F20">
            <v>39214</v>
          </cell>
          <cell r="G20">
            <v>38119</v>
          </cell>
          <cell r="H20" t="str">
            <v>Ежемесячно</v>
          </cell>
        </row>
        <row r="21">
          <cell r="A21" t="str">
            <v>Сбербанк России</v>
          </cell>
          <cell r="B21">
            <v>30000</v>
          </cell>
          <cell r="C21" t="str">
            <v>RUR</v>
          </cell>
          <cell r="D21">
            <v>0.1</v>
          </cell>
          <cell r="E21">
            <v>38163</v>
          </cell>
          <cell r="F21">
            <v>38252</v>
          </cell>
          <cell r="G21">
            <v>38163</v>
          </cell>
          <cell r="H21" t="str">
            <v>Ежемесячно</v>
          </cell>
        </row>
        <row r="22">
          <cell r="A22" t="str">
            <v>Сбербанк России</v>
          </cell>
          <cell r="B22">
            <v>60000</v>
          </cell>
          <cell r="C22" t="str">
            <v>RUR</v>
          </cell>
          <cell r="D22">
            <v>0.1</v>
          </cell>
          <cell r="E22">
            <v>38173</v>
          </cell>
          <cell r="F22">
            <v>38264</v>
          </cell>
          <cell r="G22">
            <v>38163</v>
          </cell>
          <cell r="H22" t="str">
            <v>Ежемесячно</v>
          </cell>
        </row>
        <row r="23">
          <cell r="A23" t="str">
            <v>Сбербанк России</v>
          </cell>
          <cell r="B23">
            <v>40000</v>
          </cell>
          <cell r="C23" t="str">
            <v>RUR</v>
          </cell>
          <cell r="D23">
            <v>0.1</v>
          </cell>
          <cell r="E23">
            <v>38188</v>
          </cell>
          <cell r="F23">
            <v>38279</v>
          </cell>
          <cell r="G23">
            <v>38163</v>
          </cell>
          <cell r="H23" t="str">
            <v>Ежемесячно</v>
          </cell>
        </row>
        <row r="24">
          <cell r="A24" t="str">
            <v>Ситибанк</v>
          </cell>
          <cell r="B24">
            <v>0</v>
          </cell>
          <cell r="C24" t="str">
            <v>RUR</v>
          </cell>
          <cell r="D24">
            <v>0.1</v>
          </cell>
          <cell r="E24">
            <v>38181</v>
          </cell>
          <cell r="F24">
            <v>38333</v>
          </cell>
          <cell r="G24">
            <v>37277</v>
          </cell>
          <cell r="H24">
            <v>38333</v>
          </cell>
        </row>
        <row r="25">
          <cell r="A25" t="str">
            <v>Сбербанк России</v>
          </cell>
          <cell r="B25">
            <v>80000</v>
          </cell>
          <cell r="C25" t="str">
            <v>RUR</v>
          </cell>
          <cell r="D25">
            <v>0.125</v>
          </cell>
          <cell r="E25">
            <v>38202</v>
          </cell>
          <cell r="F25">
            <v>38373</v>
          </cell>
          <cell r="G25">
            <v>38196</v>
          </cell>
          <cell r="H25" t="str">
            <v>Ежемесячно</v>
          </cell>
        </row>
        <row r="26">
          <cell r="A26" t="str">
            <v>Альфа-банк</v>
          </cell>
          <cell r="B26">
            <v>1000</v>
          </cell>
          <cell r="C26" t="str">
            <v>USD</v>
          </cell>
          <cell r="D26">
            <v>0.13750000000000001</v>
          </cell>
          <cell r="E26">
            <v>38215</v>
          </cell>
          <cell r="F26">
            <v>38492</v>
          </cell>
          <cell r="G26">
            <v>38118</v>
          </cell>
          <cell r="H26" t="str">
            <v>Ежемесячно</v>
          </cell>
        </row>
        <row r="27">
          <cell r="A27" t="str">
            <v>Альфа-банк</v>
          </cell>
          <cell r="B27">
            <v>1000</v>
          </cell>
          <cell r="C27" t="str">
            <v>USD</v>
          </cell>
          <cell r="D27">
            <v>0.13750000000000001</v>
          </cell>
          <cell r="E27">
            <v>38216</v>
          </cell>
          <cell r="F27">
            <v>38492</v>
          </cell>
          <cell r="G27">
            <v>38118</v>
          </cell>
          <cell r="H27" t="str">
            <v>Ежемесячно</v>
          </cell>
        </row>
        <row r="28">
          <cell r="A28" t="str">
            <v>Альфа-банк</v>
          </cell>
          <cell r="B28">
            <v>1000</v>
          </cell>
          <cell r="C28" t="str">
            <v>USD</v>
          </cell>
          <cell r="D28">
            <v>0.13750000000000001</v>
          </cell>
          <cell r="E28">
            <v>38217</v>
          </cell>
          <cell r="F28">
            <v>38492</v>
          </cell>
          <cell r="G28">
            <v>38118</v>
          </cell>
          <cell r="H28" t="str">
            <v>Ежемесячно</v>
          </cell>
        </row>
        <row r="29">
          <cell r="A29" t="str">
            <v>Ситибанк</v>
          </cell>
          <cell r="B29">
            <v>7000</v>
          </cell>
          <cell r="C29" t="str">
            <v>RUR</v>
          </cell>
          <cell r="D29">
            <v>0.115</v>
          </cell>
          <cell r="E29">
            <v>38217</v>
          </cell>
          <cell r="F29">
            <v>38411</v>
          </cell>
          <cell r="G29">
            <v>38217</v>
          </cell>
          <cell r="H29">
            <v>38411</v>
          </cell>
        </row>
        <row r="30">
          <cell r="A30" t="str">
            <v>Ситибанк</v>
          </cell>
          <cell r="B30">
            <v>18000</v>
          </cell>
          <cell r="C30" t="str">
            <v>RUR</v>
          </cell>
          <cell r="D30">
            <v>0.115</v>
          </cell>
          <cell r="E30">
            <v>38217</v>
          </cell>
          <cell r="F30">
            <v>38471</v>
          </cell>
          <cell r="G30">
            <v>38217</v>
          </cell>
          <cell r="H30">
            <v>38471</v>
          </cell>
        </row>
        <row r="31">
          <cell r="A31" t="str">
            <v>Ситибанк</v>
          </cell>
          <cell r="B31">
            <v>10500</v>
          </cell>
          <cell r="C31" t="str">
            <v>RUR</v>
          </cell>
          <cell r="D31">
            <v>0.115</v>
          </cell>
          <cell r="E31">
            <v>38219</v>
          </cell>
          <cell r="F31">
            <v>38401</v>
          </cell>
          <cell r="G31">
            <v>38217</v>
          </cell>
          <cell r="H31">
            <v>38401</v>
          </cell>
        </row>
        <row r="32">
          <cell r="A32" t="str">
            <v>Ситибанк</v>
          </cell>
          <cell r="B32">
            <v>27000</v>
          </cell>
          <cell r="C32" t="str">
            <v>RUR</v>
          </cell>
          <cell r="D32">
            <v>0.115</v>
          </cell>
          <cell r="E32">
            <v>38219</v>
          </cell>
          <cell r="F32">
            <v>38492</v>
          </cell>
          <cell r="G32">
            <v>38217</v>
          </cell>
          <cell r="H32">
            <v>38492</v>
          </cell>
        </row>
        <row r="33">
          <cell r="A33" t="str">
            <v>Сбербанк России</v>
          </cell>
          <cell r="B33">
            <v>70000</v>
          </cell>
          <cell r="C33" t="str">
            <v>RUR</v>
          </cell>
          <cell r="D33">
            <v>0.125</v>
          </cell>
          <cell r="E33">
            <v>38229</v>
          </cell>
          <cell r="F33">
            <v>38408</v>
          </cell>
          <cell r="G33">
            <v>38229</v>
          </cell>
          <cell r="H33" t="str">
            <v>Ежемесячно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4">
          <cell r="B4">
            <v>1</v>
          </cell>
          <cell r="H4">
            <v>1</v>
          </cell>
          <cell r="I4">
            <v>7</v>
          </cell>
          <cell r="J4">
            <v>2</v>
          </cell>
          <cell r="K4">
            <v>15</v>
          </cell>
          <cell r="L4">
            <v>4</v>
          </cell>
          <cell r="M4">
            <v>4</v>
          </cell>
          <cell r="N4">
            <v>6</v>
          </cell>
        </row>
        <row r="5">
          <cell r="B5">
            <v>2</v>
          </cell>
          <cell r="H5">
            <v>1</v>
          </cell>
        </row>
        <row r="6">
          <cell r="B6">
            <v>3</v>
          </cell>
          <cell r="I6">
            <v>3</v>
          </cell>
          <cell r="K6">
            <v>3</v>
          </cell>
          <cell r="L6">
            <v>1</v>
          </cell>
          <cell r="M6">
            <v>1</v>
          </cell>
          <cell r="N6">
            <v>1</v>
          </cell>
        </row>
      </sheetData>
      <sheetData sheetId="11"/>
      <sheetData sheetId="12" refreshError="1">
        <row r="5">
          <cell r="B5">
            <v>38230</v>
          </cell>
        </row>
        <row r="6">
          <cell r="B6">
            <v>29.2</v>
          </cell>
        </row>
        <row r="10">
          <cell r="B10">
            <v>39195.593905897738</v>
          </cell>
        </row>
      </sheetData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wk"/>
      <sheetName val="Timing Diff"/>
      <sheetName val="nadya"/>
      <sheetName val="Sheet2"/>
      <sheetName val="By categories"/>
      <sheetName val="LSE_Trading Data"/>
    </sheetNames>
    <sheetDataSet>
      <sheetData sheetId="0" refreshError="1"/>
      <sheetData sheetId="1" refreshError="1">
        <row r="3">
          <cell r="AP3">
            <v>35430</v>
          </cell>
          <cell r="AS3">
            <v>35064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s"/>
      <sheetName val="Loadfile"/>
      <sheetName val="YRI1"/>
      <sheetName val="YRI2"/>
      <sheetName val="YRI3"/>
      <sheetName val="YRI4"/>
      <sheetName val="YRI5"/>
      <sheetName val="YRI6"/>
      <sheetName val="YRI7"/>
      <sheetName val="YRI8"/>
      <sheetName val="YRI9"/>
      <sheetName val="YRI10"/>
      <sheetName val="YRI11"/>
      <sheetName val="YRIG1"/>
      <sheetName val="YRIG2"/>
      <sheetName val="YRIG3"/>
      <sheetName val="YRIG4"/>
      <sheetName val="YRIG5"/>
      <sheetName val="BMU Summary"/>
      <sheetName val="Memo"/>
      <sheetName val="Profit Walk"/>
      <sheetName val="G&amp;A Walk"/>
      <sheetName val="Margin Walk"/>
      <sheetName val="SSSG"/>
      <sheetName val="Development"/>
    </sheetNames>
    <sheetDataSet>
      <sheetData sheetId="0">
        <row r="24">
          <cell r="Q24">
            <v>2012</v>
          </cell>
          <cell r="R24" t="str">
            <v>Q2F</v>
          </cell>
        </row>
        <row r="25">
          <cell r="R25" t="str">
            <v>Q1F</v>
          </cell>
        </row>
        <row r="26">
          <cell r="E26" t="str">
            <v>Russia_MKT</v>
          </cell>
          <cell r="Q26">
            <v>2011</v>
          </cell>
          <cell r="R26" t="str">
            <v>Actual</v>
          </cell>
        </row>
        <row r="27">
          <cell r="F27" t="str">
            <v>Armenia</v>
          </cell>
          <cell r="G27">
            <v>74001</v>
          </cell>
          <cell r="H27" t="str">
            <v>RUSSIA$_TOTEQ.RUSSIA_EQ_LC</v>
          </cell>
          <cell r="I27" t="str">
            <v>RUB</v>
          </cell>
          <cell r="J27" t="str">
            <v>RUB</v>
          </cell>
          <cell r="L27" t="str">
            <v>AVGRATE</v>
          </cell>
        </row>
        <row r="28">
          <cell r="F28" t="str">
            <v>Kazakhstan</v>
          </cell>
          <cell r="G28">
            <v>74001</v>
          </cell>
          <cell r="H28" t="str">
            <v>RUSSIA$_TOTEQ.RUSSIA_EQ_LC</v>
          </cell>
          <cell r="I28" t="str">
            <v>RUB</v>
          </cell>
          <cell r="J28" t="str">
            <v>RUB</v>
          </cell>
          <cell r="L28" t="str">
            <v>AVGRATE</v>
          </cell>
        </row>
        <row r="29">
          <cell r="F29" t="str">
            <v>Azerbaijan</v>
          </cell>
          <cell r="G29">
            <v>74001</v>
          </cell>
          <cell r="H29" t="str">
            <v>RUSSIA$_TOTEQ.RUSSIA_EQ_LC</v>
          </cell>
          <cell r="I29" t="str">
            <v>RUB</v>
          </cell>
          <cell r="J29" t="str">
            <v>RUB</v>
          </cell>
          <cell r="L29" t="str">
            <v>AVGRATE</v>
          </cell>
        </row>
        <row r="30">
          <cell r="F30" t="str">
            <v>Russia</v>
          </cell>
          <cell r="G30">
            <v>74001</v>
          </cell>
          <cell r="H30" t="str">
            <v>RUSSIA$_TOTEQ.RUSSIA_EQ_LC</v>
          </cell>
          <cell r="I30" t="str">
            <v>RUB</v>
          </cell>
          <cell r="J30" t="str">
            <v>RUB</v>
          </cell>
          <cell r="L30" t="str">
            <v>AVGRATE</v>
          </cell>
        </row>
        <row r="31">
          <cell r="F31" t="str">
            <v>NoCountry</v>
          </cell>
          <cell r="G31">
            <v>0</v>
          </cell>
          <cell r="H31" t="str">
            <v>RUSSIA$_TOTEQ.RUSSIA_EQ_LC</v>
          </cell>
          <cell r="I31" t="str">
            <v>USD</v>
          </cell>
          <cell r="J31" t="str">
            <v>USD</v>
          </cell>
          <cell r="L31" t="str">
            <v>AVGRATE</v>
          </cell>
        </row>
        <row r="32">
          <cell r="F32" t="str">
            <v>NoCountry</v>
          </cell>
          <cell r="G32">
            <v>0</v>
          </cell>
          <cell r="H32" t="str">
            <v>RUSSIA$_TOTEQ.RUSSIA_EQ_LC</v>
          </cell>
          <cell r="I32" t="str">
            <v>USD</v>
          </cell>
          <cell r="J32" t="str">
            <v>USD</v>
          </cell>
          <cell r="L32" t="str">
            <v>AVGRATE</v>
          </cell>
        </row>
        <row r="33">
          <cell r="F33" t="str">
            <v>NoCountry</v>
          </cell>
          <cell r="G33">
            <v>0</v>
          </cell>
          <cell r="H33" t="str">
            <v>RUSSIA$_TOTEQ.RUSSIA_EQ_LC</v>
          </cell>
          <cell r="I33" t="str">
            <v>USD</v>
          </cell>
          <cell r="J33" t="str">
            <v>USD</v>
          </cell>
          <cell r="L33" t="str">
            <v>AVGRATE</v>
          </cell>
        </row>
        <row r="34">
          <cell r="F34" t="str">
            <v>NoCountry</v>
          </cell>
          <cell r="G34">
            <v>0</v>
          </cell>
          <cell r="H34" t="str">
            <v>RUSSIA$_TOTEQ.RUSSIA_EQ_LC</v>
          </cell>
          <cell r="I34" t="str">
            <v>USD</v>
          </cell>
          <cell r="J34" t="str">
            <v>USD</v>
          </cell>
          <cell r="L34" t="str">
            <v>AVGRATE</v>
          </cell>
        </row>
        <row r="35">
          <cell r="F35" t="str">
            <v>NoCountry</v>
          </cell>
          <cell r="G35">
            <v>0</v>
          </cell>
          <cell r="H35" t="str">
            <v>RUSSIA$_TOTEQ.RUSSIA_EQ_LC</v>
          </cell>
          <cell r="I35" t="str">
            <v>USD</v>
          </cell>
          <cell r="J35" t="str">
            <v>USD</v>
          </cell>
          <cell r="L35" t="str">
            <v>AVGRATE</v>
          </cell>
        </row>
        <row r="36">
          <cell r="F36" t="str">
            <v>NoCountry</v>
          </cell>
          <cell r="G36">
            <v>0</v>
          </cell>
          <cell r="H36" t="str">
            <v>RUSSIA$_TOTEQ.RUSSIA_EQ_LC</v>
          </cell>
          <cell r="I36" t="str">
            <v>USD</v>
          </cell>
          <cell r="J36" t="str">
            <v>USD</v>
          </cell>
          <cell r="L36" t="str">
            <v>AVGRATE</v>
          </cell>
        </row>
        <row r="37">
          <cell r="F37" t="str">
            <v>NoCountry</v>
          </cell>
          <cell r="G37">
            <v>0</v>
          </cell>
          <cell r="H37" t="str">
            <v>RUSSIA$_TOTEQ.RUSSIA_EQ_LC</v>
          </cell>
          <cell r="I37" t="str">
            <v>USD</v>
          </cell>
          <cell r="J37" t="str">
            <v>USD</v>
          </cell>
          <cell r="L37" t="str">
            <v>AVGRATE</v>
          </cell>
        </row>
        <row r="38">
          <cell r="F38" t="str">
            <v>[none]</v>
          </cell>
          <cell r="G38">
            <v>74001</v>
          </cell>
          <cell r="H38" t="str">
            <v>RUSSIA$_TOTEQ.RUSSIA_EQ_LC</v>
          </cell>
          <cell r="I38" t="str">
            <v>RUB</v>
          </cell>
          <cell r="J38" t="str">
            <v>RUB</v>
          </cell>
          <cell r="L38" t="str">
            <v>AVGRATE</v>
          </cell>
        </row>
        <row r="39">
          <cell r="F39" t="str">
            <v>[none]</v>
          </cell>
          <cell r="G39">
            <v>51406852</v>
          </cell>
          <cell r="H39" t="str">
            <v>RUSSIA$_OTH.RUSSIA$_GA</v>
          </cell>
          <cell r="I39" t="str">
            <v>USD</v>
          </cell>
          <cell r="J39" t="str">
            <v>RUB</v>
          </cell>
          <cell r="L39" t="str">
            <v>AVGRATE</v>
          </cell>
        </row>
        <row r="40">
          <cell r="F40" t="str">
            <v>[none]</v>
          </cell>
          <cell r="G40">
            <v>51517481</v>
          </cell>
          <cell r="H40" t="str">
            <v>RUSSIA$_OTH.RUSSIA$_FRAN</v>
          </cell>
          <cell r="I40" t="str">
            <v>USD</v>
          </cell>
          <cell r="J40" t="str">
            <v>RUB</v>
          </cell>
          <cell r="L40" t="str">
            <v>AVGRATE</v>
          </cell>
        </row>
        <row r="41">
          <cell r="F41" t="str">
            <v>NoCountry</v>
          </cell>
          <cell r="G41">
            <v>0</v>
          </cell>
          <cell r="H41" t="str">
            <v>RUSSIA$_TOTEQ.RUSSIA_EQ_LC</v>
          </cell>
          <cell r="I41" t="str">
            <v>USD</v>
          </cell>
          <cell r="J41" t="str">
            <v>USD</v>
          </cell>
          <cell r="L41" t="str">
            <v>AVGRATE</v>
          </cell>
        </row>
        <row r="42">
          <cell r="F42" t="str">
            <v>NoCountry</v>
          </cell>
          <cell r="G42">
            <v>0</v>
          </cell>
          <cell r="H42" t="str">
            <v>RUSSIA$_TOTEQ.RUSSIA_EQ_LC</v>
          </cell>
          <cell r="I42" t="str">
            <v>USD</v>
          </cell>
          <cell r="J42" t="str">
            <v>USD</v>
          </cell>
          <cell r="L42" t="str">
            <v>AVGRATE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31">
          <cell r="Q31">
            <v>-12026.272225169931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s"/>
      <sheetName val="Loadfile"/>
      <sheetName val="YRI1"/>
      <sheetName val="G&amp;A1"/>
      <sheetName val="G&amp;A2"/>
      <sheetName val="BMU Summary"/>
      <sheetName val="Memo"/>
      <sheetName val="Profit Walk"/>
      <sheetName val="G&amp;A Walk"/>
      <sheetName val="SSSG"/>
    </sheetNames>
    <sheetDataSet>
      <sheetData sheetId="0">
        <row r="64">
          <cell r="F64" t="str">
            <v>[none]</v>
          </cell>
          <cell r="G64">
            <v>53073</v>
          </cell>
          <cell r="H64" t="str">
            <v>CANADA$_RPT.CANADA_LC</v>
          </cell>
          <cell r="I64" t="str">
            <v>CAD</v>
          </cell>
          <cell r="J64" t="str">
            <v>CAD</v>
          </cell>
        </row>
        <row r="65">
          <cell r="F65" t="str">
            <v>[none]</v>
          </cell>
          <cell r="G65">
            <v>50110010</v>
          </cell>
          <cell r="H65" t="str">
            <v>CANADA_MKT.CANADA$_OTHER</v>
          </cell>
          <cell r="I65" t="str">
            <v>USD</v>
          </cell>
          <cell r="J65" t="str">
            <v>USD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rsion Issues"/>
      <sheetName val="Model Assumptions"/>
      <sheetName val="Template"/>
      <sheetName val="Input"/>
      <sheetName val="Summ"/>
      <sheetName val="Lease_buy"/>
      <sheetName val="CAR"/>
      <sheetName val="Book"/>
      <sheetName val="CashFlow"/>
      <sheetName val="Sensitiv"/>
      <sheetName val="Calc"/>
      <sheetName val="Sales"/>
      <sheetName val="Capacity"/>
      <sheetName val="Macro"/>
      <sheetName val="NPV Adj"/>
      <sheetName val="Financial highlights"/>
      <sheetName val="Model Notes"/>
      <sheetName val="ModelExport"/>
      <sheetName val="CA Lite"/>
      <sheetName val="Rev"/>
      <sheetName val="COGS"/>
    </sheetNames>
    <sheetDataSet>
      <sheetData sheetId="0" refreshError="1"/>
      <sheetData sheetId="1" refreshError="1"/>
      <sheetData sheetId="2" refreshError="1"/>
      <sheetData sheetId="3" refreshError="1">
        <row r="3">
          <cell r="G3">
            <v>20</v>
          </cell>
        </row>
        <row r="58">
          <cell r="C58">
            <v>8.2000000000000003E-2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ssian Segments"/>
      <sheetName val="GAAP Segments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s"/>
      <sheetName val="Loadfile"/>
      <sheetName val="YRI1"/>
      <sheetName val="YRI2"/>
      <sheetName val="YRI3"/>
      <sheetName val="YRI4"/>
      <sheetName val="YRI5"/>
      <sheetName val="YRI6"/>
      <sheetName val="YRI7"/>
      <sheetName val="YRI8"/>
      <sheetName val="YRI9"/>
      <sheetName val="YRI10"/>
      <sheetName val="BMU Summary"/>
      <sheetName val="Memo"/>
      <sheetName val="Profit Walk"/>
      <sheetName val="G&amp;A Walk"/>
      <sheetName val="Margin Walk"/>
      <sheetName val="SSSG"/>
    </sheetNames>
    <sheetDataSet>
      <sheetData sheetId="0">
        <row r="26">
          <cell r="E26" t="str">
            <v>Russia_MKT</v>
          </cell>
        </row>
        <row r="27">
          <cell r="H27" t="str">
            <v>RUSSIA$_OTH.RUSSIA$_FRAN</v>
          </cell>
        </row>
        <row r="28">
          <cell r="H28" t="str">
            <v>RUSSIA$_OTH.RUSSIA$_FRAN</v>
          </cell>
        </row>
        <row r="29">
          <cell r="H29" t="str">
            <v>RUSSIA$_TOTEQ.RUSSIA_EQ_LC</v>
          </cell>
        </row>
        <row r="30">
          <cell r="H30" t="str">
            <v>RUSSIA$_OTH.RUSSIA$_FRAN</v>
          </cell>
        </row>
        <row r="31">
          <cell r="H31" t="str">
            <v>RUSSIA$_TOTEQ.RUSSIA_EQ_$</v>
          </cell>
        </row>
        <row r="32">
          <cell r="H32" t="str">
            <v>RUSSIA$_TOTEQ.RUSSIA_EQ_LC</v>
          </cell>
        </row>
        <row r="33">
          <cell r="H33" t="str">
            <v>RUSSIA$_OTH.RUSSIA$_GA</v>
          </cell>
        </row>
        <row r="34">
          <cell r="H34" t="str">
            <v>RUSSIA$_OTH.RUSSIA$_FRAN</v>
          </cell>
        </row>
        <row r="35">
          <cell r="H35" t="str">
            <v>RUSSIA$_OTH.RUSSIA$_FRAN</v>
          </cell>
        </row>
        <row r="36">
          <cell r="H36" t="str">
            <v>RUSSIA$_OTH.RUSSIA$_FRAN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1">
          <cell r="Q31">
            <v>-14093.632529808252</v>
          </cell>
        </row>
      </sheetData>
      <sheetData sheetId="13">
        <row r="1">
          <cell r="C1" t="str">
            <v>Russia_MKT</v>
          </cell>
        </row>
      </sheetData>
      <sheetData sheetId="14">
        <row r="2">
          <cell r="L2" t="str">
            <v>Actual</v>
          </cell>
        </row>
      </sheetData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3"/>
  <sheetViews>
    <sheetView zoomScaleNormal="100" workbookViewId="0">
      <selection activeCell="B15" sqref="B15:B16"/>
    </sheetView>
  </sheetViews>
  <sheetFormatPr defaultColWidth="8.81640625" defaultRowHeight="11.5"/>
  <cols>
    <col min="1" max="1" width="8.81640625" style="1"/>
    <col min="2" max="2" width="20.54296875" style="1" bestFit="1" customWidth="1"/>
    <col min="3" max="3" width="8.81640625" style="1"/>
    <col min="4" max="4" width="13.36328125" style="1" customWidth="1"/>
    <col min="5" max="5" width="9.1796875" style="1" customWidth="1"/>
    <col min="6" max="6" width="8.1796875" style="1" bestFit="1" customWidth="1"/>
    <col min="7" max="7" width="14.453125" style="1" bestFit="1" customWidth="1"/>
    <col min="8" max="9" width="9.1796875" style="1" customWidth="1"/>
    <col min="10" max="10" width="7.81640625" style="1" customWidth="1"/>
    <col min="11" max="16384" width="8.81640625" style="1"/>
  </cols>
  <sheetData>
    <row r="1" spans="1:9">
      <c r="A1" s="15"/>
      <c r="B1" s="32"/>
      <c r="C1" s="32"/>
      <c r="D1" s="47"/>
      <c r="E1" s="32"/>
      <c r="F1" s="32"/>
      <c r="G1" s="32"/>
      <c r="H1" s="32"/>
      <c r="I1" s="32"/>
    </row>
    <row r="2" spans="1:9" ht="13.5" thickBot="1">
      <c r="B2" s="42"/>
    </row>
    <row r="3" spans="1:9" ht="12" thickBot="1">
      <c r="A3" s="2" t="s">
        <v>5</v>
      </c>
      <c r="B3" s="31" t="s">
        <v>6</v>
      </c>
      <c r="C3" s="19" t="s">
        <v>7</v>
      </c>
      <c r="D3" s="2" t="s">
        <v>63</v>
      </c>
      <c r="E3" s="3">
        <v>1</v>
      </c>
      <c r="F3" s="5">
        <v>2</v>
      </c>
      <c r="G3" s="6">
        <v>3</v>
      </c>
      <c r="H3" s="6">
        <v>4</v>
      </c>
      <c r="I3" s="4">
        <v>5</v>
      </c>
    </row>
    <row r="4" spans="1:9" ht="14.25" customHeight="1" thickBot="1">
      <c r="A4" s="88" t="s">
        <v>8</v>
      </c>
      <c r="B4" s="29" t="s">
        <v>8</v>
      </c>
      <c r="C4" s="25">
        <v>0.2</v>
      </c>
      <c r="D4" s="90"/>
      <c r="E4" s="91"/>
      <c r="F4" s="91"/>
      <c r="G4" s="91"/>
      <c r="H4" s="91"/>
      <c r="I4" s="92"/>
    </row>
    <row r="5" spans="1:9" ht="14.25" customHeight="1">
      <c r="A5" s="89"/>
      <c r="B5" s="93" t="s">
        <v>9</v>
      </c>
      <c r="C5" s="95">
        <v>0.1</v>
      </c>
      <c r="D5" s="95">
        <v>0.7</v>
      </c>
      <c r="E5" s="74" t="s">
        <v>12</v>
      </c>
      <c r="F5" s="75" t="s">
        <v>13</v>
      </c>
      <c r="G5" s="75" t="s">
        <v>14</v>
      </c>
      <c r="H5" s="75" t="s">
        <v>15</v>
      </c>
      <c r="I5" s="76" t="s">
        <v>16</v>
      </c>
    </row>
    <row r="6" spans="1:9" ht="14.25" customHeight="1" thickBot="1">
      <c r="A6" s="89"/>
      <c r="B6" s="94"/>
      <c r="C6" s="96"/>
      <c r="D6" s="96"/>
      <c r="E6" s="10"/>
      <c r="F6" s="11"/>
      <c r="G6" s="11"/>
      <c r="H6" s="11"/>
      <c r="I6" s="12"/>
    </row>
    <row r="7" spans="1:9" ht="14.25" customHeight="1">
      <c r="A7" s="89"/>
      <c r="B7" s="93" t="s">
        <v>21</v>
      </c>
      <c r="C7" s="95">
        <v>0.1</v>
      </c>
      <c r="D7" s="97">
        <v>1</v>
      </c>
      <c r="E7" s="7" t="s">
        <v>17</v>
      </c>
      <c r="F7" s="8" t="s">
        <v>18</v>
      </c>
      <c r="G7" s="8">
        <v>100</v>
      </c>
      <c r="H7" s="8" t="s">
        <v>19</v>
      </c>
      <c r="I7" s="9" t="s">
        <v>20</v>
      </c>
    </row>
    <row r="8" spans="1:9" ht="14.25" customHeight="1" thickBot="1">
      <c r="A8" s="89"/>
      <c r="B8" s="94"/>
      <c r="C8" s="96"/>
      <c r="D8" s="98"/>
      <c r="E8" s="45"/>
      <c r="F8" s="46"/>
      <c r="G8" s="13"/>
      <c r="H8" s="13"/>
      <c r="I8" s="14"/>
    </row>
    <row r="9" spans="1:9" ht="14.25" customHeight="1" thickBot="1">
      <c r="A9" s="88" t="s">
        <v>22</v>
      </c>
      <c r="B9" s="29" t="s">
        <v>22</v>
      </c>
      <c r="C9" s="25">
        <f>C10</f>
        <v>0.2</v>
      </c>
      <c r="D9" s="99"/>
      <c r="E9" s="100"/>
      <c r="F9" s="100"/>
      <c r="G9" s="100"/>
      <c r="H9" s="100"/>
      <c r="I9" s="101"/>
    </row>
    <row r="10" spans="1:9" ht="32" customHeight="1" thickBot="1">
      <c r="A10" s="89"/>
      <c r="B10" s="102" t="s">
        <v>27</v>
      </c>
      <c r="C10" s="104">
        <v>0.2</v>
      </c>
      <c r="D10" s="106" t="s">
        <v>46</v>
      </c>
      <c r="E10" s="11"/>
      <c r="F10" s="11"/>
      <c r="G10" s="11"/>
      <c r="H10" s="11"/>
      <c r="I10" s="43" t="s">
        <v>29</v>
      </c>
    </row>
    <row r="11" spans="1:9" ht="14.25" customHeight="1" thickBot="1">
      <c r="A11" s="89"/>
      <c r="B11" s="103"/>
      <c r="C11" s="105"/>
      <c r="D11" s="107"/>
      <c r="E11" s="10"/>
      <c r="F11" s="11"/>
      <c r="G11" s="11"/>
      <c r="H11" s="11"/>
      <c r="I11" s="12"/>
    </row>
    <row r="12" spans="1:9" ht="14.25" customHeight="1" thickBot="1">
      <c r="A12" s="88" t="s">
        <v>10</v>
      </c>
      <c r="B12" s="29" t="s">
        <v>10</v>
      </c>
      <c r="C12" s="25">
        <v>0.6</v>
      </c>
      <c r="D12" s="99"/>
      <c r="E12" s="100"/>
      <c r="F12" s="100"/>
      <c r="G12" s="100"/>
      <c r="H12" s="100"/>
      <c r="I12" s="101"/>
    </row>
    <row r="13" spans="1:9" ht="14.25" customHeight="1">
      <c r="A13" s="89"/>
      <c r="B13" s="114" t="s">
        <v>28</v>
      </c>
      <c r="C13" s="95">
        <v>0.1</v>
      </c>
      <c r="D13" s="116" t="s">
        <v>61</v>
      </c>
      <c r="E13" s="77" t="s">
        <v>30</v>
      </c>
      <c r="F13" s="78" t="s">
        <v>57</v>
      </c>
      <c r="G13" s="78" t="s">
        <v>58</v>
      </c>
      <c r="H13" s="78" t="s">
        <v>59</v>
      </c>
      <c r="I13" s="79" t="s">
        <v>60</v>
      </c>
    </row>
    <row r="14" spans="1:9" ht="14.25" customHeight="1" thickBot="1">
      <c r="A14" s="89"/>
      <c r="B14" s="115"/>
      <c r="C14" s="96"/>
      <c r="D14" s="117"/>
      <c r="E14" s="54"/>
      <c r="F14" s="55"/>
      <c r="G14" s="56"/>
      <c r="H14" s="56"/>
      <c r="I14" s="57"/>
    </row>
    <row r="15" spans="1:9" ht="14.25" customHeight="1">
      <c r="A15" s="89"/>
      <c r="B15" s="121" t="s">
        <v>42</v>
      </c>
      <c r="C15" s="84">
        <v>0.05</v>
      </c>
      <c r="D15" s="108" t="s">
        <v>46</v>
      </c>
      <c r="E15" s="58"/>
      <c r="F15" s="55"/>
      <c r="G15" s="59"/>
      <c r="H15" s="59"/>
      <c r="I15" s="86" t="s">
        <v>46</v>
      </c>
    </row>
    <row r="16" spans="1:9" ht="14.25" customHeight="1" thickBot="1">
      <c r="A16" s="89"/>
      <c r="B16" s="122"/>
      <c r="C16" s="85"/>
      <c r="D16" s="109"/>
      <c r="E16" s="60"/>
      <c r="F16" s="61"/>
      <c r="G16" s="62"/>
      <c r="H16" s="62"/>
      <c r="I16" s="87"/>
    </row>
    <row r="17" spans="1:9" ht="14.25" customHeight="1">
      <c r="A17" s="89"/>
      <c r="B17" s="121" t="s">
        <v>43</v>
      </c>
      <c r="C17" s="84">
        <v>0.05</v>
      </c>
      <c r="D17" s="108" t="s">
        <v>62</v>
      </c>
      <c r="E17" s="65" t="s">
        <v>50</v>
      </c>
      <c r="F17" s="66" t="s">
        <v>51</v>
      </c>
      <c r="G17" s="66" t="s">
        <v>52</v>
      </c>
      <c r="H17" s="66" t="s">
        <v>53</v>
      </c>
      <c r="I17" s="67" t="s">
        <v>54</v>
      </c>
    </row>
    <row r="18" spans="1:9" ht="14.25" customHeight="1" thickBot="1">
      <c r="A18" s="89"/>
      <c r="B18" s="122"/>
      <c r="C18" s="85"/>
      <c r="D18" s="109"/>
      <c r="E18" s="51"/>
      <c r="F18" s="51"/>
      <c r="G18" s="52"/>
      <c r="H18" s="52"/>
      <c r="I18" s="53"/>
    </row>
    <row r="19" spans="1:9" ht="14.25" customHeight="1">
      <c r="A19" s="89"/>
      <c r="B19" s="118" t="s">
        <v>24</v>
      </c>
      <c r="C19" s="95">
        <v>0.4</v>
      </c>
      <c r="D19" s="104" t="s">
        <v>40</v>
      </c>
      <c r="E19" s="44" t="s">
        <v>41</v>
      </c>
      <c r="F19" s="44" t="s">
        <v>39</v>
      </c>
      <c r="G19" s="44" t="s">
        <v>56</v>
      </c>
      <c r="H19" s="44" t="s">
        <v>55</v>
      </c>
      <c r="I19" s="44" t="s">
        <v>38</v>
      </c>
    </row>
    <row r="20" spans="1:9" ht="14.25" customHeight="1" thickBot="1">
      <c r="A20" s="89"/>
      <c r="B20" s="119"/>
      <c r="C20" s="96"/>
      <c r="D20" s="120"/>
      <c r="E20" s="10"/>
      <c r="F20" s="26"/>
      <c r="G20" s="27"/>
      <c r="H20" s="27"/>
      <c r="I20" s="28"/>
    </row>
    <row r="21" spans="1:9" ht="14.25" customHeight="1" thickBot="1">
      <c r="A21" s="90" t="s">
        <v>11</v>
      </c>
      <c r="B21" s="91"/>
      <c r="C21" s="25">
        <v>1</v>
      </c>
      <c r="D21" s="110"/>
      <c r="E21" s="111"/>
      <c r="F21" s="111"/>
      <c r="G21" s="111"/>
      <c r="H21" s="111"/>
      <c r="I21" s="112"/>
    </row>
    <row r="22" spans="1:9">
      <c r="A22" s="15"/>
      <c r="B22" s="15"/>
      <c r="C22" s="15"/>
      <c r="D22" s="16"/>
      <c r="E22" s="16"/>
      <c r="F22" s="16"/>
      <c r="G22" s="16"/>
      <c r="H22" s="16"/>
      <c r="I22" s="16"/>
    </row>
    <row r="23" spans="1:9">
      <c r="A23" s="15"/>
      <c r="B23" s="113"/>
      <c r="C23" s="113"/>
      <c r="D23" s="113"/>
      <c r="E23" s="113"/>
      <c r="F23" s="113"/>
      <c r="G23" s="113"/>
      <c r="H23" s="113"/>
      <c r="I23" s="113"/>
    </row>
  </sheetData>
  <mergeCells count="31">
    <mergeCell ref="A21:B21"/>
    <mergeCell ref="D21:I21"/>
    <mergeCell ref="B23:I23"/>
    <mergeCell ref="A12:A20"/>
    <mergeCell ref="D12:I12"/>
    <mergeCell ref="B13:B14"/>
    <mergeCell ref="C13:C14"/>
    <mergeCell ref="D13:D14"/>
    <mergeCell ref="B19:B20"/>
    <mergeCell ref="C19:C20"/>
    <mergeCell ref="D19:D20"/>
    <mergeCell ref="B15:B16"/>
    <mergeCell ref="C15:C16"/>
    <mergeCell ref="D15:D16"/>
    <mergeCell ref="B17:B18"/>
    <mergeCell ref="C17:C18"/>
    <mergeCell ref="I15:I16"/>
    <mergeCell ref="A4:A8"/>
    <mergeCell ref="D4:I4"/>
    <mergeCell ref="B5:B6"/>
    <mergeCell ref="C5:C6"/>
    <mergeCell ref="D5:D6"/>
    <mergeCell ref="B7:B8"/>
    <mergeCell ref="C7:C8"/>
    <mergeCell ref="D7:D8"/>
    <mergeCell ref="A9:A11"/>
    <mergeCell ref="D9:I9"/>
    <mergeCell ref="B10:B11"/>
    <mergeCell ref="C10:C11"/>
    <mergeCell ref="D10:D11"/>
    <mergeCell ref="D17:D18"/>
  </mergeCells>
  <conditionalFormatting sqref="I10">
    <cfRule type="expression" dxfId="5" priority="4">
      <formula>$C$3="RGM"</formula>
    </cfRule>
  </conditionalFormatting>
  <conditionalFormatting sqref="I10">
    <cfRule type="expression" dxfId="4" priority="3">
      <formula>$C$3="Total"</formula>
    </cfRule>
  </conditionalFormatting>
  <conditionalFormatting sqref="E14:I15 E18:I18 E16:H16">
    <cfRule type="expression" dxfId="3" priority="2">
      <formula>$C$3="RGM"</formula>
    </cfRule>
  </conditionalFormatting>
  <conditionalFormatting sqref="E14:I15 E18:I18 E16:H16">
    <cfRule type="expression" dxfId="2" priority="1">
      <formula>$C$3="Total"</formula>
    </cfRule>
  </conditionalFormatting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O26"/>
  <sheetViews>
    <sheetView tabSelected="1" zoomScale="110" zoomScaleNormal="110" workbookViewId="0">
      <selection activeCell="D6" sqref="D6:D7"/>
    </sheetView>
  </sheetViews>
  <sheetFormatPr defaultColWidth="8.81640625" defaultRowHeight="11.5"/>
  <cols>
    <col min="1" max="1" width="8.81640625" style="1"/>
    <col min="2" max="2" width="20.1796875" style="1" bestFit="1" customWidth="1"/>
    <col min="3" max="3" width="6.81640625" style="1" customWidth="1"/>
    <col min="4" max="4" width="15.54296875" style="1" customWidth="1"/>
    <col min="5" max="5" width="9" style="1" customWidth="1"/>
    <col min="6" max="6" width="9.81640625" style="1" customWidth="1"/>
    <col min="7" max="7" width="11" style="1" customWidth="1"/>
    <col min="8" max="8" width="12" style="1" customWidth="1"/>
    <col min="9" max="9" width="9" style="1" customWidth="1"/>
    <col min="10" max="10" width="0" style="1" hidden="1" customWidth="1"/>
    <col min="11" max="16384" width="8.81640625" style="1"/>
  </cols>
  <sheetData>
    <row r="1" spans="1:9">
      <c r="A1" s="39"/>
      <c r="B1" s="39"/>
      <c r="C1" s="39"/>
      <c r="D1" s="40"/>
      <c r="E1" s="40"/>
      <c r="F1" s="40"/>
      <c r="G1" s="40"/>
      <c r="H1" s="40"/>
      <c r="I1" s="18"/>
    </row>
    <row r="2" spans="1:9">
      <c r="A2" s="39"/>
      <c r="B2" s="38"/>
      <c r="C2" s="38"/>
      <c r="D2" s="38"/>
      <c r="E2" s="38"/>
      <c r="F2" s="38"/>
      <c r="G2" s="39"/>
      <c r="H2" s="40"/>
      <c r="I2" s="18"/>
    </row>
    <row r="3" spans="1:9" ht="13.5" thickBot="1">
      <c r="A3" s="17" t="s">
        <v>34</v>
      </c>
      <c r="B3" s="42"/>
      <c r="C3" s="17"/>
      <c r="D3" s="30"/>
      <c r="E3" s="30" t="s">
        <v>0</v>
      </c>
      <c r="F3" s="30" t="s">
        <v>1</v>
      </c>
      <c r="G3" s="30" t="s">
        <v>2</v>
      </c>
      <c r="H3" s="30" t="s">
        <v>3</v>
      </c>
      <c r="I3" s="30" t="s">
        <v>4</v>
      </c>
    </row>
    <row r="4" spans="1:9" ht="12" thickBot="1">
      <c r="A4" s="19" t="s">
        <v>5</v>
      </c>
      <c r="B4" s="48" t="s">
        <v>6</v>
      </c>
      <c r="C4" s="19" t="s">
        <v>7</v>
      </c>
      <c r="D4" s="19" t="s">
        <v>63</v>
      </c>
      <c r="E4" s="20">
        <v>1</v>
      </c>
      <c r="F4" s="22">
        <v>2</v>
      </c>
      <c r="G4" s="23">
        <v>3</v>
      </c>
      <c r="H4" s="23">
        <v>4</v>
      </c>
      <c r="I4" s="21">
        <v>5</v>
      </c>
    </row>
    <row r="5" spans="1:9" ht="15" customHeight="1" thickBot="1">
      <c r="A5" s="123" t="s">
        <v>8</v>
      </c>
      <c r="B5" s="24" t="s">
        <v>8</v>
      </c>
      <c r="C5" s="25">
        <v>0.2</v>
      </c>
      <c r="D5" s="125"/>
      <c r="E5" s="126"/>
      <c r="F5" s="126"/>
      <c r="G5" s="126"/>
      <c r="H5" s="126"/>
      <c r="I5" s="127"/>
    </row>
    <row r="6" spans="1:9" ht="15" customHeight="1">
      <c r="A6" s="124"/>
      <c r="B6" s="93" t="s">
        <v>23</v>
      </c>
      <c r="C6" s="95">
        <v>0.1</v>
      </c>
      <c r="D6" s="95">
        <v>0.7</v>
      </c>
      <c r="E6" s="7" t="s">
        <v>12</v>
      </c>
      <c r="F6" s="8" t="s">
        <v>13</v>
      </c>
      <c r="G6" s="8" t="s">
        <v>14</v>
      </c>
      <c r="H6" s="8" t="s">
        <v>15</v>
      </c>
      <c r="I6" s="9" t="s">
        <v>16</v>
      </c>
    </row>
    <row r="7" spans="1:9" ht="15" customHeight="1" thickBot="1">
      <c r="A7" s="124"/>
      <c r="B7" s="94"/>
      <c r="C7" s="96"/>
      <c r="D7" s="96"/>
      <c r="E7" s="10"/>
      <c r="F7" s="11"/>
      <c r="G7" s="11"/>
      <c r="H7" s="11"/>
      <c r="I7" s="12"/>
    </row>
    <row r="8" spans="1:9" ht="15" customHeight="1">
      <c r="A8" s="124"/>
      <c r="B8" s="93" t="s">
        <v>21</v>
      </c>
      <c r="C8" s="95">
        <v>0.1</v>
      </c>
      <c r="D8" s="97">
        <v>1</v>
      </c>
      <c r="E8" s="7" t="s">
        <v>17</v>
      </c>
      <c r="F8" s="8" t="s">
        <v>18</v>
      </c>
      <c r="G8" s="8">
        <v>100</v>
      </c>
      <c r="H8" s="8" t="s">
        <v>19</v>
      </c>
      <c r="I8" s="9" t="s">
        <v>20</v>
      </c>
    </row>
    <row r="9" spans="1:9" ht="15" customHeight="1" thickBot="1">
      <c r="A9" s="124"/>
      <c r="B9" s="94"/>
      <c r="C9" s="96"/>
      <c r="D9" s="98"/>
      <c r="E9" s="10"/>
      <c r="F9" s="11"/>
      <c r="G9" s="11"/>
      <c r="H9" s="11"/>
      <c r="I9" s="12"/>
    </row>
    <row r="10" spans="1:9" ht="15" customHeight="1" thickBot="1">
      <c r="A10" s="123" t="s">
        <v>22</v>
      </c>
      <c r="B10" s="24" t="s">
        <v>22</v>
      </c>
      <c r="C10" s="25">
        <f>C11</f>
        <v>0.2</v>
      </c>
      <c r="D10" s="128"/>
      <c r="E10" s="129"/>
      <c r="F10" s="129"/>
      <c r="G10" s="129"/>
      <c r="H10" s="129"/>
      <c r="I10" s="130"/>
    </row>
    <row r="11" spans="1:9" ht="15" customHeight="1">
      <c r="A11" s="124"/>
      <c r="B11" s="102" t="s">
        <v>31</v>
      </c>
      <c r="C11" s="104">
        <v>0.2</v>
      </c>
      <c r="D11" s="106" t="s">
        <v>44</v>
      </c>
      <c r="E11" s="34" t="s">
        <v>35</v>
      </c>
      <c r="F11" s="35" t="s">
        <v>36</v>
      </c>
      <c r="G11" s="36" t="s">
        <v>32</v>
      </c>
      <c r="H11" s="35" t="s">
        <v>33</v>
      </c>
      <c r="I11" s="37" t="s">
        <v>25</v>
      </c>
    </row>
    <row r="12" spans="1:9" ht="15" customHeight="1" thickBot="1">
      <c r="A12" s="124"/>
      <c r="B12" s="103"/>
      <c r="C12" s="105"/>
      <c r="D12" s="131"/>
      <c r="E12" s="10"/>
      <c r="F12" s="11"/>
      <c r="G12" s="11"/>
      <c r="H12" s="11"/>
      <c r="I12" s="12"/>
    </row>
    <row r="13" spans="1:9" ht="15" customHeight="1" thickBot="1">
      <c r="A13" s="123" t="s">
        <v>10</v>
      </c>
      <c r="B13" s="24" t="s">
        <v>10</v>
      </c>
      <c r="C13" s="49">
        <v>0.6</v>
      </c>
      <c r="D13" s="128"/>
      <c r="E13" s="137"/>
      <c r="F13" s="137"/>
      <c r="G13" s="137"/>
      <c r="H13" s="137"/>
      <c r="I13" s="138"/>
    </row>
    <row r="14" spans="1:9" ht="15" customHeight="1">
      <c r="A14" s="136"/>
      <c r="B14" s="139" t="s">
        <v>26</v>
      </c>
      <c r="C14" s="140">
        <v>0.1</v>
      </c>
      <c r="D14" s="141" t="s">
        <v>61</v>
      </c>
      <c r="E14" s="77" t="s">
        <v>30</v>
      </c>
      <c r="F14" s="78" t="s">
        <v>57</v>
      </c>
      <c r="G14" s="78" t="s">
        <v>58</v>
      </c>
      <c r="H14" s="78" t="s">
        <v>59</v>
      </c>
      <c r="I14" s="79" t="s">
        <v>60</v>
      </c>
    </row>
    <row r="15" spans="1:9" ht="15" customHeight="1" thickBot="1">
      <c r="A15" s="136"/>
      <c r="B15" s="139"/>
      <c r="C15" s="140"/>
      <c r="D15" s="142"/>
      <c r="E15" s="68"/>
      <c r="F15" s="68"/>
      <c r="G15" s="69"/>
      <c r="H15" s="69"/>
      <c r="I15" s="69"/>
    </row>
    <row r="16" spans="1:9" ht="15" customHeight="1">
      <c r="A16" s="136"/>
      <c r="B16" s="145" t="s">
        <v>42</v>
      </c>
      <c r="C16" s="147">
        <v>0.05</v>
      </c>
      <c r="D16" s="149" t="s">
        <v>44</v>
      </c>
      <c r="E16" s="63" t="s">
        <v>35</v>
      </c>
      <c r="F16" s="64" t="s">
        <v>36</v>
      </c>
      <c r="G16" s="64" t="s">
        <v>47</v>
      </c>
      <c r="H16" s="64" t="s">
        <v>48</v>
      </c>
      <c r="I16" s="37" t="s">
        <v>49</v>
      </c>
    </row>
    <row r="17" spans="1:15" ht="15" customHeight="1" thickBot="1">
      <c r="A17" s="136"/>
      <c r="B17" s="146"/>
      <c r="C17" s="148"/>
      <c r="D17" s="150"/>
      <c r="E17" s="70"/>
      <c r="F17" s="70"/>
      <c r="G17" s="70"/>
      <c r="H17" s="70"/>
      <c r="I17" s="71"/>
    </row>
    <row r="18" spans="1:15" ht="15" customHeight="1">
      <c r="A18" s="136"/>
      <c r="B18" s="145" t="s">
        <v>43</v>
      </c>
      <c r="C18" s="147">
        <v>0.05</v>
      </c>
      <c r="D18" s="151">
        <v>0.5</v>
      </c>
      <c r="E18" s="80" t="s">
        <v>50</v>
      </c>
      <c r="F18" s="66" t="s">
        <v>51</v>
      </c>
      <c r="G18" s="66" t="s">
        <v>52</v>
      </c>
      <c r="H18" s="66" t="s">
        <v>53</v>
      </c>
      <c r="I18" s="67" t="s">
        <v>54</v>
      </c>
    </row>
    <row r="19" spans="1:15" ht="15" customHeight="1">
      <c r="A19" s="136"/>
      <c r="B19" s="146"/>
      <c r="C19" s="148"/>
      <c r="D19" s="152"/>
      <c r="E19" s="81"/>
      <c r="F19" s="68"/>
      <c r="G19" s="69"/>
      <c r="H19" s="69"/>
      <c r="I19" s="69"/>
    </row>
    <row r="20" spans="1:15" ht="15" customHeight="1">
      <c r="A20" s="136"/>
      <c r="B20" s="143" t="s">
        <v>24</v>
      </c>
      <c r="C20" s="140">
        <v>0.4</v>
      </c>
      <c r="D20" s="144" t="s">
        <v>40</v>
      </c>
      <c r="E20" s="82" t="s">
        <v>41</v>
      </c>
      <c r="F20" s="73" t="s">
        <v>39</v>
      </c>
      <c r="G20" s="44" t="s">
        <v>56</v>
      </c>
      <c r="H20" s="73" t="s">
        <v>37</v>
      </c>
      <c r="I20" s="73" t="s">
        <v>38</v>
      </c>
      <c r="N20" s="33"/>
      <c r="O20" s="33"/>
    </row>
    <row r="21" spans="1:15" ht="15" customHeight="1" thickBot="1">
      <c r="A21" s="136"/>
      <c r="B21" s="143"/>
      <c r="C21" s="140"/>
      <c r="D21" s="143"/>
      <c r="E21" s="83"/>
      <c r="F21" s="72"/>
      <c r="G21" s="72"/>
      <c r="H21" s="72"/>
      <c r="I21" s="72"/>
      <c r="N21" s="33"/>
      <c r="O21" s="33"/>
    </row>
    <row r="22" spans="1:15" ht="15" customHeight="1" thickBot="1">
      <c r="A22" s="125" t="s">
        <v>11</v>
      </c>
      <c r="B22" s="132"/>
      <c r="C22" s="50">
        <v>1</v>
      </c>
      <c r="D22" s="133"/>
      <c r="E22" s="134"/>
      <c r="F22" s="134"/>
      <c r="G22" s="134"/>
      <c r="H22" s="134"/>
      <c r="I22" s="135"/>
    </row>
    <row r="23" spans="1:15">
      <c r="A23" s="39"/>
      <c r="B23" s="39"/>
      <c r="C23" s="39"/>
      <c r="D23" s="40"/>
      <c r="E23" s="40"/>
      <c r="F23" s="40"/>
      <c r="G23" s="40"/>
      <c r="H23" s="40"/>
      <c r="I23" s="18"/>
    </row>
    <row r="24" spans="1:15" ht="18">
      <c r="A24" s="41"/>
      <c r="B24" s="33"/>
      <c r="C24" s="38"/>
      <c r="D24" s="38"/>
      <c r="E24" s="38"/>
      <c r="F24" s="38"/>
      <c r="G24" s="39"/>
      <c r="H24" s="40"/>
      <c r="I24" s="18"/>
    </row>
    <row r="26" spans="1:15">
      <c r="B26" s="1" t="s">
        <v>45</v>
      </c>
    </row>
  </sheetData>
  <mergeCells count="29">
    <mergeCell ref="A22:B22"/>
    <mergeCell ref="D22:I22"/>
    <mergeCell ref="A13:A21"/>
    <mergeCell ref="D13:I13"/>
    <mergeCell ref="B14:B15"/>
    <mergeCell ref="C14:C15"/>
    <mergeCell ref="D14:D15"/>
    <mergeCell ref="B20:B21"/>
    <mergeCell ref="C20:C21"/>
    <mergeCell ref="D20:D21"/>
    <mergeCell ref="B16:B17"/>
    <mergeCell ref="B18:B19"/>
    <mergeCell ref="C16:C17"/>
    <mergeCell ref="D16:D17"/>
    <mergeCell ref="D18:D19"/>
    <mergeCell ref="C18:C19"/>
    <mergeCell ref="A10:A12"/>
    <mergeCell ref="D10:I10"/>
    <mergeCell ref="B11:B12"/>
    <mergeCell ref="C11:C12"/>
    <mergeCell ref="D11:D12"/>
    <mergeCell ref="A5:A9"/>
    <mergeCell ref="D5:I5"/>
    <mergeCell ref="B6:B7"/>
    <mergeCell ref="C6:C7"/>
    <mergeCell ref="D6:D7"/>
    <mergeCell ref="B8:B9"/>
    <mergeCell ref="C8:C9"/>
    <mergeCell ref="D8:D9"/>
  </mergeCells>
  <conditionalFormatting sqref="E15:I15 E19:I19">
    <cfRule type="expression" dxfId="1" priority="2">
      <formula>$C$2="RGM"</formula>
    </cfRule>
  </conditionalFormatting>
  <conditionalFormatting sqref="E15:I15 E19:I19">
    <cfRule type="expression" dxfId="0" priority="1">
      <formula>$C$2="Total"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RGM 2020 Q1_Q2</vt:lpstr>
      <vt:lpstr>AC 2020 Q1_Q2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Vasileva, Irina</dc:creator>
  <cp:lastModifiedBy>Paershina, Yliya</cp:lastModifiedBy>
  <cp:lastPrinted>2017-12-12T14:56:26Z</cp:lastPrinted>
  <dcterms:created xsi:type="dcterms:W3CDTF">2015-12-07T08:48:06Z</dcterms:created>
  <dcterms:modified xsi:type="dcterms:W3CDTF">2020-05-26T11:15:07Z</dcterms:modified>
</cp:coreProperties>
</file>