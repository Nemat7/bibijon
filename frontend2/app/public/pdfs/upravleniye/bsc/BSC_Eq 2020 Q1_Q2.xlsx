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Передача дел\проекты\Starclub\"/>
    </mc:Choice>
  </mc:AlternateContent>
  <xr:revisionPtr revIDLastSave="0" documentId="13_ncr:1_{28D06271-8883-444A-8E29-28A8B724C9A5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RGM 2020 Q1_Q2" sheetId="2" r:id="rId1"/>
    <sheet name="AC 2020 Q1-Q2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BankLines">[1]Lines!$A$3:$G$65536</definedName>
    <definedName name="BankLoans">[1]Loans!$A$4:$H$65536</definedName>
    <definedName name="boy">'[2]Timing Diff'!$AS$3</definedName>
    <definedName name="Cost1">[3]Maps!$G$27</definedName>
    <definedName name="Cost10">[3]Maps!$G$36</definedName>
    <definedName name="Cost11">[3]Maps!$G$37</definedName>
    <definedName name="Cost12">[3]Maps!$G$38</definedName>
    <definedName name="Cost13">[3]Maps!$G$39</definedName>
    <definedName name="Cost14">[3]Maps!$G$40</definedName>
    <definedName name="Cost15">[3]Maps!$G$41</definedName>
    <definedName name="Cost16">[3]Maps!$G$42</definedName>
    <definedName name="Cost2">[3]Maps!$G$28</definedName>
    <definedName name="Cost3">[3]Maps!$G$29</definedName>
    <definedName name="Cost38">[4]Maps!$G$64</definedName>
    <definedName name="Cost39">[4]Maps!$G$65</definedName>
    <definedName name="Cost4">[3]Maps!$G$30</definedName>
    <definedName name="Cost5">[3]Maps!$G$31</definedName>
    <definedName name="Cost6">[3]Maps!$G$32</definedName>
    <definedName name="Cost7">[3]Maps!$G$33</definedName>
    <definedName name="Cost8">[3]Maps!$G$34</definedName>
    <definedName name="Cost9">[3]Maps!$G$35</definedName>
    <definedName name="Curr1">[3]Maps!$I$27</definedName>
    <definedName name="Curr10">[3]Maps!$I$36</definedName>
    <definedName name="Curr11">[3]Maps!$I$37</definedName>
    <definedName name="Curr12">[3]Maps!$I$38</definedName>
    <definedName name="Curr13">[3]Maps!$I$39</definedName>
    <definedName name="Curr14">[3]Maps!$I$40</definedName>
    <definedName name="Curr15">[3]Maps!$I$41</definedName>
    <definedName name="Curr16">[3]Maps!$I$42</definedName>
    <definedName name="Curr2">[3]Maps!$I$28</definedName>
    <definedName name="Curr3">[3]Maps!$I$29</definedName>
    <definedName name="Curr38">[4]Maps!$I$64</definedName>
    <definedName name="Curr39">[4]Maps!$I$65</definedName>
    <definedName name="Curr4">[3]Maps!$I$30</definedName>
    <definedName name="Curr5">[3]Maps!$I$31</definedName>
    <definedName name="Curr6">[3]Maps!$I$32</definedName>
    <definedName name="Curr7">[3]Maps!$I$33</definedName>
    <definedName name="Curr8">[3]Maps!$I$34</definedName>
    <definedName name="Curr9">[3]Maps!$I$35</definedName>
    <definedName name="Entity1">[3]Maps!$H$27</definedName>
    <definedName name="Entity10">[3]Maps!$H$36</definedName>
    <definedName name="Entity11">[3]Maps!$H$37</definedName>
    <definedName name="Entity12">[3]Maps!$H$38</definedName>
    <definedName name="Entity13">[3]Maps!$H$39</definedName>
    <definedName name="Entity14">[3]Maps!$H$40</definedName>
    <definedName name="Entity15">[3]Maps!$H$41</definedName>
    <definedName name="Entity16">[3]Maps!$H$42</definedName>
    <definedName name="Entity2">[3]Maps!$H$28</definedName>
    <definedName name="Entity3">[3]Maps!$H$29</definedName>
    <definedName name="Entity4">[3]Maps!$H$30</definedName>
    <definedName name="Entity5">[3]Maps!$H$31</definedName>
    <definedName name="Entity6">[3]Maps!$H$32</definedName>
    <definedName name="Entity7">[3]Maps!$H$33</definedName>
    <definedName name="Entity8">[3]Maps!$H$34</definedName>
    <definedName name="Entity9">[3]Maps!$H$35</definedName>
    <definedName name="Forecast">[3]Maps!$R$24</definedName>
    <definedName name="FOREX1">[3]Maps!$J$27</definedName>
    <definedName name="Forex10">[3]Maps!$J$36</definedName>
    <definedName name="Forex11">[3]Maps!$J$37</definedName>
    <definedName name="Forex12">[3]Maps!$J$38</definedName>
    <definedName name="Forex13">[3]Maps!$J$39</definedName>
    <definedName name="Forex14">[3]Maps!$J$40</definedName>
    <definedName name="Forex15">[3]Maps!$J$41</definedName>
    <definedName name="Forex16">[3]Maps!$J$42</definedName>
    <definedName name="FOREX2">[3]Maps!$J$28</definedName>
    <definedName name="FOREX3">[3]Maps!$J$29</definedName>
    <definedName name="Forex38">[4]Maps!$J$64</definedName>
    <definedName name="Forex39">[4]Maps!$J$65</definedName>
    <definedName name="FOREX4">[3]Maps!$J$30</definedName>
    <definedName name="FOREX5">[3]Maps!$J$31</definedName>
    <definedName name="FOREX6">[3]Maps!$J$32</definedName>
    <definedName name="FOREX7">[3]Maps!$J$33</definedName>
    <definedName name="Forex8">[3]Maps!$J$34</definedName>
    <definedName name="Forex9">[3]Maps!$J$35</definedName>
    <definedName name="LIFE">[5]Input!$G$3</definedName>
    <definedName name="LoansRepaymentDates">[1]Loans!$F$3:$F$65536</definedName>
    <definedName name="Market">[3]Maps!$E$26</definedName>
    <definedName name="NonCashItemsDates">[1]NonCashItems!$B$3:$B$10000</definedName>
    <definedName name="NonCashItemsSums">[1]NonCashItems!$D$3:$D$10000</definedName>
    <definedName name="Openings">[1]Openings!$B$4:$N$6</definedName>
    <definedName name="PriorForecast">[3]Maps!$R$25</definedName>
    <definedName name="PriorYear">[3]Maps!$Q$26</definedName>
    <definedName name="PYScenario">[3]Maps!$R$26</definedName>
    <definedName name="Rate1">[3]Maps!$L$27</definedName>
    <definedName name="Rate10">[3]Maps!$L$36</definedName>
    <definedName name="Rate11">[3]Maps!$L$37</definedName>
    <definedName name="Rate12">[3]Maps!$L$38</definedName>
    <definedName name="Rate13">[3]Maps!$L$39</definedName>
    <definedName name="Rate14">[3]Maps!$L$40</definedName>
    <definedName name="Rate15">[3]Maps!$L$41</definedName>
    <definedName name="Rate16">[3]Maps!$L$42</definedName>
    <definedName name="Rate2">[3]Maps!$L$28</definedName>
    <definedName name="Rate3">[3]Maps!$L$29</definedName>
    <definedName name="Rate4">[3]Maps!$L$30</definedName>
    <definedName name="Rate5">[3]Maps!$L$31</definedName>
    <definedName name="Rate6">[3]Maps!$L$32</definedName>
    <definedName name="Rate7">[3]Maps!$L$33</definedName>
    <definedName name="Rate8">[3]Maps!$L$34</definedName>
    <definedName name="Rate9">[3]Maps!$L$35</definedName>
    <definedName name="Rollup1">[3]Maps!$F$27</definedName>
    <definedName name="Rollup10">[3]Maps!$F$36</definedName>
    <definedName name="Rollup11">[3]Maps!$F$37</definedName>
    <definedName name="Rollup12">[3]Maps!$F$38</definedName>
    <definedName name="Rollup13">[3]Maps!$F$39</definedName>
    <definedName name="Rollup14">[3]Maps!$F$40</definedName>
    <definedName name="Rollup15">[3]Maps!$F$41</definedName>
    <definedName name="Rollup16">[3]Maps!$F$42</definedName>
    <definedName name="Rollup2">[3]Maps!$F$28</definedName>
    <definedName name="Rollup3">[3]Maps!$F$29</definedName>
    <definedName name="Rollup38">[4]Maps!$F$64</definedName>
    <definedName name="Rollup39">[4]Maps!$F$65</definedName>
    <definedName name="Rollup4">[3]Maps!$F$30</definedName>
    <definedName name="Rollup5">[3]Maps!$F$31</definedName>
    <definedName name="Rollup6">[3]Maps!$F$32</definedName>
    <definedName name="Rollup7">[3]Maps!$F$33</definedName>
    <definedName name="Rollup8">[3]Maps!$F$34</definedName>
    <definedName name="Rollup9">[3]Maps!$F$35</definedName>
    <definedName name="rr">'[6]Russian Segments'!#REF!</definedName>
    <definedName name="RUR">[1]Assumptions!$B$6</definedName>
    <definedName name="StartingLoans">[1]Assumptions!$B$10</definedName>
    <definedName name="SV_">[5]Input!$C$58</definedName>
    <definedName name="Tity1">[7]Maps!$H$27</definedName>
    <definedName name="Tity10">[7]Maps!$H$36</definedName>
    <definedName name="Tity2">[7]Maps!$H$28</definedName>
    <definedName name="Tity3">[7]Maps!$H$29</definedName>
    <definedName name="Tity38">[4]Maps!$H$64</definedName>
    <definedName name="Tity39">[4]Maps!$H$65</definedName>
    <definedName name="Tity4">[7]Maps!$H$30</definedName>
    <definedName name="Tity5">[7]Maps!$H$31</definedName>
    <definedName name="Tity6">[7]Maps!$H$32</definedName>
    <definedName name="Tity7">[7]Maps!$H$33</definedName>
    <definedName name="Tity8">[7]Maps!$H$34</definedName>
    <definedName name="Tity9">[7]Maps!$H$35</definedName>
    <definedName name="Year">[3]Maps!$Q$24</definedName>
    <definedName name="_xlnm.Database">'[6]Russian Segments'!#REF!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8" i="2" l="1"/>
  <c r="L12" i="2"/>
  <c r="L16" i="2"/>
  <c r="L18" i="2"/>
  <c r="L20" i="2"/>
  <c r="L22" i="2"/>
  <c r="L26" i="2"/>
  <c r="K20" i="2"/>
  <c r="J20" i="2"/>
  <c r="J8" i="2"/>
  <c r="F24" i="2" l="1"/>
  <c r="E24" i="4" l="1"/>
  <c r="K16" i="2" l="1"/>
  <c r="J16" i="2"/>
  <c r="K26" i="2"/>
  <c r="J26" i="2"/>
  <c r="K22" i="2"/>
  <c r="J22" i="2"/>
  <c r="K8" i="2"/>
  <c r="F28" i="2" l="1"/>
</calcChain>
</file>

<file path=xl/sharedStrings.xml><?xml version="1.0" encoding="utf-8"?>
<sst xmlns="http://schemas.openxmlformats.org/spreadsheetml/2006/main" count="126" uniqueCount="66">
  <si>
    <t>SBT</t>
  </si>
  <si>
    <t>BT</t>
  </si>
  <si>
    <t>OT</t>
  </si>
  <si>
    <t>AT</t>
  </si>
  <si>
    <t>SAT</t>
  </si>
  <si>
    <t>Category</t>
  </si>
  <si>
    <t>KPI</t>
  </si>
  <si>
    <t>Weight</t>
  </si>
  <si>
    <t>People</t>
  </si>
  <si>
    <t>TM Turnover</t>
  </si>
  <si>
    <t>&gt;85</t>
  </si>
  <si>
    <t>&lt;=85&gt;70</t>
  </si>
  <si>
    <t>&lt;=70&gt;55</t>
  </si>
  <si>
    <t>&lt;=55&gt;40</t>
  </si>
  <si>
    <t>&lt;=40</t>
  </si>
  <si>
    <t>Product/Place</t>
  </si>
  <si>
    <t>Pass</t>
  </si>
  <si>
    <t>FS+LS+BS
Pass</t>
  </si>
  <si>
    <t>Promo</t>
  </si>
  <si>
    <t>OSAT
 if integrity index less than 5</t>
  </si>
  <si>
    <t>Sales(act vs budget)*</t>
  </si>
  <si>
    <t>&lt;95%</t>
  </si>
  <si>
    <t>&gt;=95%&lt;100%</t>
  </si>
  <si>
    <t>&gt;=100%&lt;=101%</t>
  </si>
  <si>
    <t>&gt;101%&lt;=105%</t>
  </si>
  <si>
    <t>&gt;105%</t>
  </si>
  <si>
    <t>Profit</t>
  </si>
  <si>
    <t>MC (act vs budget)</t>
  </si>
  <si>
    <t>Store Plan</t>
  </si>
  <si>
    <t xml:space="preserve">&lt; -1,5% </t>
  </si>
  <si>
    <t xml:space="preserve">&gt;= -1,5%  &lt;0% </t>
  </si>
  <si>
    <t xml:space="preserve">&gt;=0%  &lt;1,5% </t>
  </si>
  <si>
    <t xml:space="preserve">&gt;=1,5%  &lt;3%. </t>
  </si>
  <si>
    <t xml:space="preserve">&gt;=3% </t>
  </si>
  <si>
    <t>Overall Score</t>
  </si>
  <si>
    <t>75%- ARGM</t>
  </si>
  <si>
    <t>50%- Shift M</t>
  </si>
  <si>
    <t xml:space="preserve">ROCC
</t>
  </si>
  <si>
    <t>&gt;=90%</t>
  </si>
  <si>
    <t>MC (act vs budget)*</t>
  </si>
  <si>
    <t>% аудитов (оценок) в цели</t>
  </si>
  <si>
    <t>&lt;75</t>
  </si>
  <si>
    <t>ROCC At Standard</t>
  </si>
  <si>
    <t>&gt;=75%&lt;80%</t>
  </si>
  <si>
    <t>&gt;=80%&lt;90%</t>
  </si>
  <si>
    <t>75%*</t>
  </si>
  <si>
    <t>&gt;=65%&lt;75%</t>
  </si>
  <si>
    <t>&lt;65%</t>
  </si>
  <si>
    <t>SPEED IN ROCC</t>
  </si>
  <si>
    <t>SPEED DELIVERY (if YES)</t>
  </si>
  <si>
    <t>PASS</t>
  </si>
  <si>
    <t>&gt;=75%&lt;=80%</t>
  </si>
  <si>
    <t>&gt;80%&lt;=90%</t>
  </si>
  <si>
    <t>&gt;90%</t>
  </si>
  <si>
    <t>&gt;=50%&lt;=60%</t>
  </si>
  <si>
    <t>&gt;60%&lt;=75%</t>
  </si>
  <si>
    <t>&gt;75%</t>
  </si>
  <si>
    <t>&gt;=40%&lt;50%</t>
  </si>
  <si>
    <t>&lt;40%</t>
  </si>
  <si>
    <t>Target</t>
  </si>
  <si>
    <t>&gt;=88</t>
  </si>
  <si>
    <t>&gt;=88&lt;90</t>
  </si>
  <si>
    <t>&gt;=90&lt;91</t>
  </si>
  <si>
    <t>&gt;=91</t>
  </si>
  <si>
    <t>&gt;=75&lt;88</t>
  </si>
  <si>
    <t>50%&lt;5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</si>
</sst>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_р_._-;\-* #,##0_р_._-;_-* &quot;-&quot;??_р_._-;_-@_-"/>
    <numFmt numFmtId="166" formatCode="_-* #,##0.0_р_._-;\-* #,##0.0_р_._-;_-* &quot;-&quot;??_р_._-;_-@_-"/>
  </numFmts>
  <fonts count="12" x14ac:knownFonts="1">
    <font>
      <sz val="11"/>
      <color theme="1"/>
      <name val="Calibri"/>
      <family val="2"/>
      <charset val="204"/>
      <scheme val="minor"/>
    </font>
    <font>
      <sz val="9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9"/>
      <name val="Arial Narrow"/>
      <family val="2"/>
      <charset val="204"/>
    </font>
    <font>
      <b/>
      <sz val="9"/>
      <color theme="0"/>
      <name val="Arial Narrow"/>
      <family val="2"/>
      <charset val="204"/>
    </font>
    <font>
      <sz val="10"/>
      <name val="Arial"/>
      <family val="2"/>
      <charset val="204"/>
    </font>
    <font>
      <sz val="9"/>
      <color theme="1"/>
      <name val="Arial Narrow"/>
      <family val="2"/>
      <charset val="204"/>
    </font>
    <font>
      <sz val="9"/>
      <color theme="0"/>
      <name val="Arial Narrow"/>
      <family val="2"/>
      <charset val="204"/>
    </font>
    <font>
      <sz val="9"/>
      <color rgb="FF000000"/>
      <name val="Arial Narrow"/>
      <family val="2"/>
      <charset val="204"/>
    </font>
    <font>
      <b/>
      <sz val="9"/>
      <color theme="1"/>
      <name val="Arial Narrow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5" fillId="0" borderId="0"/>
    <xf numFmtId="0" fontId="10" fillId="0" borderId="0"/>
    <xf numFmtId="164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0">
    <xf numFmtId="0" fontId="0" fillId="0" borderId="0" xfId="0"/>
    <xf numFmtId="0" fontId="3" fillId="2" borderId="0" xfId="3" applyFont="1" applyFill="1" applyBorder="1"/>
    <xf numFmtId="0" fontId="1" fillId="2" borderId="0" xfId="3" applyFont="1" applyFill="1" applyBorder="1"/>
    <xf numFmtId="0" fontId="3" fillId="2" borderId="0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vertical="center" wrapText="1"/>
    </xf>
    <xf numFmtId="0" fontId="1" fillId="2" borderId="0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1" fillId="2" borderId="0" xfId="3" applyFont="1" applyFill="1" applyAlignment="1">
      <alignment horizontal="center" vertical="center" wrapText="1"/>
    </xf>
    <xf numFmtId="0" fontId="1" fillId="2" borderId="0" xfId="3" applyFont="1" applyFill="1"/>
    <xf numFmtId="0" fontId="3" fillId="0" borderId="0" xfId="3" applyFont="1" applyBorder="1" applyAlignment="1">
      <alignment horizontal="center" vertical="center" wrapText="1"/>
    </xf>
    <xf numFmtId="0" fontId="1" fillId="0" borderId="0" xfId="3" applyFont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4" fillId="4" borderId="5" xfId="3" applyFont="1" applyFill="1" applyBorder="1" applyAlignment="1">
      <alignment horizontal="center" vertical="center" wrapText="1"/>
    </xf>
    <xf numFmtId="9" fontId="4" fillId="4" borderId="6" xfId="3" applyNumberFormat="1" applyFont="1" applyFill="1" applyBorder="1" applyAlignment="1">
      <alignment horizontal="center" vertical="center" wrapText="1"/>
    </xf>
    <xf numFmtId="0" fontId="1" fillId="4" borderId="7" xfId="3" applyFont="1" applyFill="1" applyBorder="1" applyAlignment="1">
      <alignment horizontal="center" vertical="center" wrapText="1"/>
    </xf>
    <xf numFmtId="0" fontId="1" fillId="4" borderId="8" xfId="3" applyFont="1" applyFill="1" applyBorder="1" applyAlignment="1">
      <alignment horizontal="center" vertical="center" wrapText="1"/>
    </xf>
    <xf numFmtId="0" fontId="1" fillId="4" borderId="9" xfId="3" applyFont="1" applyFill="1" applyBorder="1" applyAlignment="1">
      <alignment horizontal="center" vertical="center" wrapText="1"/>
    </xf>
    <xf numFmtId="0" fontId="1" fillId="4" borderId="10" xfId="3" applyFont="1" applyFill="1" applyBorder="1" applyAlignment="1">
      <alignment horizontal="center" vertical="center" wrapText="1"/>
    </xf>
    <xf numFmtId="0" fontId="1" fillId="4" borderId="6" xfId="3" applyFont="1" applyFill="1" applyBorder="1" applyAlignment="1">
      <alignment horizontal="center" vertical="center" wrapText="1"/>
    </xf>
    <xf numFmtId="0" fontId="1" fillId="0" borderId="14" xfId="3" applyFont="1" applyBorder="1" applyAlignment="1">
      <alignment horizontal="center" vertical="center" wrapText="1"/>
    </xf>
    <xf numFmtId="0" fontId="1" fillId="0" borderId="15" xfId="3" applyFont="1" applyBorder="1" applyAlignment="1">
      <alignment horizontal="center" vertical="center" wrapText="1"/>
    </xf>
    <xf numFmtId="0" fontId="1" fillId="0" borderId="16" xfId="3" applyFont="1" applyBorder="1" applyAlignment="1">
      <alignment horizontal="center" vertical="center" wrapText="1"/>
    </xf>
    <xf numFmtId="165" fontId="1" fillId="5" borderId="17" xfId="4" applyNumberFormat="1" applyFont="1" applyFill="1" applyBorder="1" applyAlignment="1">
      <alignment horizontal="center" vertical="center" wrapText="1"/>
    </xf>
    <xf numFmtId="165" fontId="1" fillId="5" borderId="18" xfId="4" applyNumberFormat="1" applyFont="1" applyFill="1" applyBorder="1" applyAlignment="1">
      <alignment horizontal="center" vertical="center" wrapText="1"/>
    </xf>
    <xf numFmtId="165" fontId="6" fillId="5" borderId="19" xfId="4" applyNumberFormat="1" applyFont="1" applyFill="1" applyBorder="1" applyAlignment="1">
      <alignment horizontal="center" vertical="center" wrapText="1"/>
    </xf>
    <xf numFmtId="0" fontId="1" fillId="0" borderId="14" xfId="3" applyFont="1" applyFill="1" applyBorder="1" applyAlignment="1">
      <alignment horizontal="center"/>
    </xf>
    <xf numFmtId="0" fontId="1" fillId="0" borderId="15" xfId="3" applyFont="1" applyFill="1" applyBorder="1" applyAlignment="1">
      <alignment horizontal="center"/>
    </xf>
    <xf numFmtId="0" fontId="1" fillId="0" borderId="16" xfId="3" applyFont="1" applyFill="1" applyBorder="1" applyAlignment="1">
      <alignment horizontal="center" vertical="center" wrapText="1"/>
    </xf>
    <xf numFmtId="0" fontId="7" fillId="4" borderId="7" xfId="3" applyFont="1" applyFill="1" applyBorder="1" applyAlignment="1">
      <alignment horizontal="center" vertical="center" wrapText="1"/>
    </xf>
    <xf numFmtId="0" fontId="7" fillId="4" borderId="8" xfId="3" applyFont="1" applyFill="1" applyBorder="1" applyAlignment="1">
      <alignment horizontal="center" vertical="center" wrapText="1"/>
    </xf>
    <xf numFmtId="0" fontId="7" fillId="4" borderId="9" xfId="3" applyFont="1" applyFill="1" applyBorder="1" applyAlignment="1">
      <alignment horizontal="center" vertical="center" wrapText="1"/>
    </xf>
    <xf numFmtId="0" fontId="7" fillId="4" borderId="10" xfId="3" applyFont="1" applyFill="1" applyBorder="1" applyAlignment="1">
      <alignment horizontal="center" vertical="center" wrapText="1"/>
    </xf>
    <xf numFmtId="0" fontId="7" fillId="4" borderId="6" xfId="3" applyFont="1" applyFill="1" applyBorder="1" applyAlignment="1">
      <alignment horizontal="center" vertical="center" wrapText="1"/>
    </xf>
    <xf numFmtId="0" fontId="8" fillId="0" borderId="20" xfId="3" applyFont="1" applyBorder="1" applyAlignment="1">
      <alignment horizontal="center" vertical="center" wrapText="1" readingOrder="1"/>
    </xf>
    <xf numFmtId="0" fontId="8" fillId="0" borderId="21" xfId="3" applyFont="1" applyBorder="1" applyAlignment="1">
      <alignment horizontal="center" vertical="center" wrapText="1" readingOrder="1"/>
    </xf>
    <xf numFmtId="0" fontId="8" fillId="0" borderId="22" xfId="3" applyFont="1" applyBorder="1" applyAlignment="1">
      <alignment horizontal="center" vertical="center" wrapText="1" readingOrder="1"/>
    </xf>
    <xf numFmtId="0" fontId="4" fillId="4" borderId="14" xfId="3" applyFont="1" applyFill="1" applyBorder="1" applyAlignment="1">
      <alignment horizontal="center"/>
    </xf>
    <xf numFmtId="0" fontId="4" fillId="4" borderId="23" xfId="3" applyFont="1" applyFill="1" applyBorder="1" applyAlignment="1">
      <alignment horizontal="center"/>
    </xf>
    <xf numFmtId="0" fontId="4" fillId="4" borderId="15" xfId="3" applyFont="1" applyFill="1" applyBorder="1" applyAlignment="1">
      <alignment horizontal="center"/>
    </xf>
    <xf numFmtId="0" fontId="4" fillId="4" borderId="16" xfId="3" applyFont="1" applyFill="1" applyBorder="1" applyAlignment="1">
      <alignment horizontal="center"/>
    </xf>
    <xf numFmtId="165" fontId="3" fillId="5" borderId="17" xfId="4" applyNumberFormat="1" applyFont="1" applyFill="1" applyBorder="1" applyAlignment="1">
      <alignment horizontal="center" vertical="center" wrapText="1"/>
    </xf>
    <xf numFmtId="165" fontId="3" fillId="5" borderId="18" xfId="4" applyNumberFormat="1" applyFont="1" applyFill="1" applyBorder="1" applyAlignment="1">
      <alignment horizontal="center" vertical="center" wrapText="1"/>
    </xf>
    <xf numFmtId="165" fontId="9" fillId="5" borderId="19" xfId="4" applyNumberFormat="1" applyFont="1" applyFill="1" applyBorder="1" applyAlignment="1">
      <alignment horizontal="center" vertical="center" wrapText="1"/>
    </xf>
    <xf numFmtId="0" fontId="1" fillId="2" borderId="0" xfId="3" applyFont="1" applyFill="1" applyBorder="1" applyAlignment="1">
      <alignment horizontal="right" vertical="center" wrapText="1"/>
    </xf>
    <xf numFmtId="0" fontId="1" fillId="2" borderId="0" xfId="3" applyFont="1" applyFill="1" applyAlignment="1"/>
    <xf numFmtId="165" fontId="1" fillId="2" borderId="0" xfId="4" applyNumberFormat="1" applyFont="1" applyFill="1"/>
    <xf numFmtId="165" fontId="1" fillId="2" borderId="0" xfId="3" applyNumberFormat="1" applyFont="1" applyFill="1"/>
    <xf numFmtId="166" fontId="1" fillId="2" borderId="0" xfId="3" applyNumberFormat="1" applyFont="1" applyFill="1"/>
    <xf numFmtId="0" fontId="1" fillId="2" borderId="0" xfId="2" applyFont="1" applyFill="1"/>
    <xf numFmtId="0" fontId="1" fillId="2" borderId="0" xfId="3" applyFont="1" applyFill="1" applyBorder="1" applyAlignment="1">
      <alignment horizontal="center" vertical="center"/>
    </xf>
    <xf numFmtId="165" fontId="1" fillId="2" borderId="0" xfId="3" applyNumberFormat="1" applyFont="1" applyFill="1" applyBorder="1" applyAlignment="1">
      <alignment horizontal="center" vertical="center" wrapText="1"/>
    </xf>
    <xf numFmtId="165" fontId="1" fillId="2" borderId="0" xfId="3" applyNumberFormat="1" applyFont="1" applyFill="1" applyAlignment="1">
      <alignment horizontal="center" vertical="center" wrapText="1"/>
    </xf>
    <xf numFmtId="165" fontId="6" fillId="5" borderId="24" xfId="4" applyNumberFormat="1" applyFont="1" applyFill="1" applyBorder="1" applyAlignment="1">
      <alignment horizontal="center" vertical="center" wrapText="1"/>
    </xf>
    <xf numFmtId="165" fontId="9" fillId="5" borderId="24" xfId="4" applyNumberFormat="1" applyFont="1" applyFill="1" applyBorder="1" applyAlignment="1">
      <alignment horizontal="center" vertical="center" wrapText="1"/>
    </xf>
    <xf numFmtId="0" fontId="4" fillId="3" borderId="8" xfId="3" applyFont="1" applyFill="1" applyBorder="1" applyAlignment="1">
      <alignment horizontal="center" vertical="center" wrapText="1"/>
    </xf>
    <xf numFmtId="0" fontId="4" fillId="3" borderId="9" xfId="3" applyFont="1" applyFill="1" applyBorder="1" applyAlignment="1">
      <alignment horizontal="center" vertical="center" wrapText="1"/>
    </xf>
    <xf numFmtId="0" fontId="4" fillId="3" borderId="10" xfId="3" applyFont="1" applyFill="1" applyBorder="1" applyAlignment="1">
      <alignment horizontal="center" vertical="center" wrapText="1"/>
    </xf>
    <xf numFmtId="0" fontId="4" fillId="3" borderId="6" xfId="3" applyFont="1" applyFill="1" applyBorder="1" applyAlignment="1">
      <alignment horizontal="center" vertical="center" wrapText="1"/>
    </xf>
    <xf numFmtId="165" fontId="7" fillId="2" borderId="0" xfId="3" applyNumberFormat="1" applyFont="1" applyFill="1" applyBorder="1" applyAlignment="1">
      <alignment horizontal="center" vertical="center" wrapText="1"/>
    </xf>
    <xf numFmtId="0" fontId="1" fillId="0" borderId="0" xfId="2" applyFont="1" applyFill="1"/>
    <xf numFmtId="0" fontId="3" fillId="0" borderId="0" xfId="2" applyFont="1" applyFill="1"/>
    <xf numFmtId="0" fontId="3" fillId="0" borderId="0" xfId="2" applyFont="1" applyFill="1" applyAlignment="1">
      <alignment horizontal="center"/>
    </xf>
    <xf numFmtId="0" fontId="1" fillId="0" borderId="0" xfId="3" applyFont="1" applyFill="1"/>
    <xf numFmtId="0" fontId="1" fillId="0" borderId="0" xfId="2" applyFont="1"/>
    <xf numFmtId="0" fontId="4" fillId="3" borderId="26" xfId="3" applyFont="1" applyFill="1" applyBorder="1" applyAlignment="1">
      <alignment horizontal="center" vertical="center" wrapText="1"/>
    </xf>
    <xf numFmtId="0" fontId="4" fillId="3" borderId="27" xfId="3" applyFont="1" applyFill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 wrapText="1"/>
    </xf>
    <xf numFmtId="0" fontId="1" fillId="0" borderId="0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4" fillId="6" borderId="5" xfId="2" applyFont="1" applyFill="1" applyBorder="1" applyAlignment="1">
      <alignment horizontal="center" vertical="center" wrapText="1"/>
    </xf>
    <xf numFmtId="9" fontId="4" fillId="6" borderId="6" xfId="2" applyNumberFormat="1" applyFont="1" applyFill="1" applyBorder="1" applyAlignment="1">
      <alignment horizontal="center" vertical="center" wrapText="1"/>
    </xf>
    <xf numFmtId="0" fontId="7" fillId="6" borderId="7" xfId="2" applyFont="1" applyFill="1" applyBorder="1" applyAlignment="1">
      <alignment horizontal="center" vertical="center" wrapText="1"/>
    </xf>
    <xf numFmtId="0" fontId="7" fillId="6" borderId="8" xfId="2" applyFont="1" applyFill="1" applyBorder="1" applyAlignment="1">
      <alignment horizontal="center" vertical="center" wrapText="1"/>
    </xf>
    <xf numFmtId="0" fontId="7" fillId="6" borderId="9" xfId="2" applyFont="1" applyFill="1" applyBorder="1" applyAlignment="1">
      <alignment horizontal="center" vertical="center" wrapText="1"/>
    </xf>
    <xf numFmtId="0" fontId="7" fillId="6" borderId="10" xfId="2" applyFont="1" applyFill="1" applyBorder="1" applyAlignment="1">
      <alignment horizontal="center" vertical="center" wrapText="1"/>
    </xf>
    <xf numFmtId="0" fontId="7" fillId="6" borderId="6" xfId="2" applyFont="1" applyFill="1" applyBorder="1" applyAlignment="1">
      <alignment horizontal="center" vertical="center" wrapText="1"/>
    </xf>
    <xf numFmtId="165" fontId="1" fillId="7" borderId="17" xfId="4" applyNumberFormat="1" applyFont="1" applyFill="1" applyBorder="1" applyAlignment="1">
      <alignment horizontal="center" vertical="center" wrapText="1"/>
    </xf>
    <xf numFmtId="165" fontId="1" fillId="7" borderId="18" xfId="4" applyNumberFormat="1" applyFont="1" applyFill="1" applyBorder="1" applyAlignment="1">
      <alignment horizontal="center" vertical="center" wrapText="1"/>
    </xf>
    <xf numFmtId="165" fontId="6" fillId="7" borderId="19" xfId="4" applyNumberFormat="1" applyFont="1" applyFill="1" applyBorder="1" applyAlignment="1">
      <alignment horizontal="center" vertical="center" wrapText="1"/>
    </xf>
    <xf numFmtId="165" fontId="1" fillId="0" borderId="0" xfId="3" applyNumberFormat="1" applyFont="1" applyFill="1"/>
    <xf numFmtId="0" fontId="9" fillId="0" borderId="0" xfId="2" applyFont="1" applyBorder="1" applyAlignment="1">
      <alignment horizontal="center" vertical="center" wrapText="1"/>
    </xf>
    <xf numFmtId="0" fontId="1" fillId="0" borderId="14" xfId="2" applyFont="1" applyFill="1" applyBorder="1" applyAlignment="1">
      <alignment horizontal="center" vertical="center" wrapText="1"/>
    </xf>
    <xf numFmtId="0" fontId="1" fillId="0" borderId="15" xfId="2" applyFont="1" applyFill="1" applyBorder="1" applyAlignment="1">
      <alignment horizontal="center" vertical="center" wrapText="1"/>
    </xf>
    <xf numFmtId="0" fontId="1" fillId="0" borderId="15" xfId="2" quotePrefix="1" applyFont="1" applyFill="1" applyBorder="1" applyAlignment="1">
      <alignment horizontal="center" vertical="center" wrapText="1"/>
    </xf>
    <xf numFmtId="0" fontId="1" fillId="0" borderId="16" xfId="2" applyFont="1" applyFill="1" applyBorder="1" applyAlignment="1">
      <alignment horizontal="center" vertical="center" wrapText="1"/>
    </xf>
    <xf numFmtId="165" fontId="1" fillId="0" borderId="0" xfId="2" applyNumberFormat="1" applyFont="1" applyFill="1"/>
    <xf numFmtId="0" fontId="1" fillId="0" borderId="14" xfId="2" applyFont="1" applyFill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0" fontId="8" fillId="0" borderId="20" xfId="2" applyFont="1" applyBorder="1" applyAlignment="1">
      <alignment horizontal="center" vertical="center" wrapText="1" readingOrder="1"/>
    </xf>
    <xf numFmtId="0" fontId="8" fillId="0" borderId="21" xfId="2" applyFont="1" applyBorder="1" applyAlignment="1">
      <alignment horizontal="center" vertical="center" wrapText="1" readingOrder="1"/>
    </xf>
    <xf numFmtId="0" fontId="8" fillId="0" borderId="22" xfId="2" applyFont="1" applyBorder="1" applyAlignment="1">
      <alignment horizontal="center" vertical="center" wrapText="1" readingOrder="1"/>
    </xf>
    <xf numFmtId="0" fontId="4" fillId="6" borderId="14" xfId="2" applyFont="1" applyFill="1" applyBorder="1" applyAlignment="1">
      <alignment horizontal="center"/>
    </xf>
    <xf numFmtId="0" fontId="4" fillId="6" borderId="23" xfId="2" applyFont="1" applyFill="1" applyBorder="1" applyAlignment="1">
      <alignment horizontal="center"/>
    </xf>
    <xf numFmtId="0" fontId="4" fillId="6" borderId="15" xfId="2" applyFont="1" applyFill="1" applyBorder="1" applyAlignment="1">
      <alignment horizontal="center"/>
    </xf>
    <xf numFmtId="0" fontId="4" fillId="6" borderId="16" xfId="2" applyFont="1" applyFill="1" applyBorder="1" applyAlignment="1">
      <alignment horizontal="center"/>
    </xf>
    <xf numFmtId="165" fontId="3" fillId="7" borderId="17" xfId="4" applyNumberFormat="1" applyFont="1" applyFill="1" applyBorder="1" applyAlignment="1">
      <alignment horizontal="center" vertical="center" wrapText="1"/>
    </xf>
    <xf numFmtId="165" fontId="3" fillId="7" borderId="18" xfId="4" applyNumberFormat="1" applyFont="1" applyFill="1" applyBorder="1" applyAlignment="1">
      <alignment horizontal="center" vertical="center" wrapText="1"/>
    </xf>
    <xf numFmtId="165" fontId="9" fillId="7" borderId="19" xfId="4" applyNumberFormat="1" applyFont="1" applyFill="1" applyBorder="1" applyAlignment="1">
      <alignment horizontal="center" vertical="center" wrapText="1"/>
    </xf>
    <xf numFmtId="165" fontId="9" fillId="7" borderId="24" xfId="4" applyNumberFormat="1" applyFont="1" applyFill="1" applyBorder="1" applyAlignment="1">
      <alignment horizontal="center" vertical="center" wrapText="1"/>
    </xf>
    <xf numFmtId="0" fontId="1" fillId="0" borderId="28" xfId="3" applyFont="1" applyFill="1" applyBorder="1" applyAlignment="1">
      <alignment horizontal="center"/>
    </xf>
    <xf numFmtId="0" fontId="1" fillId="0" borderId="29" xfId="3" applyFont="1" applyFill="1" applyBorder="1" applyAlignment="1">
      <alignment horizontal="center"/>
    </xf>
    <xf numFmtId="0" fontId="8" fillId="0" borderId="30" xfId="3" applyFont="1" applyBorder="1" applyAlignment="1">
      <alignment horizontal="center" vertical="center" wrapText="1" readingOrder="1"/>
    </xf>
    <xf numFmtId="0" fontId="8" fillId="0" borderId="31" xfId="3" applyFont="1" applyBorder="1" applyAlignment="1">
      <alignment horizontal="center" vertical="center" wrapText="1" readingOrder="1"/>
    </xf>
    <xf numFmtId="165" fontId="1" fillId="5" borderId="32" xfId="4" applyNumberFormat="1" applyFont="1" applyFill="1" applyBorder="1" applyAlignment="1">
      <alignment horizontal="center" vertical="center" wrapText="1"/>
    </xf>
    <xf numFmtId="165" fontId="1" fillId="5" borderId="33" xfId="4" applyNumberFormat="1" applyFont="1" applyFill="1" applyBorder="1" applyAlignment="1">
      <alignment horizontal="center" vertical="center" wrapText="1"/>
    </xf>
    <xf numFmtId="165" fontId="6" fillId="5" borderId="34" xfId="4" applyNumberFormat="1" applyFont="1" applyFill="1" applyBorder="1" applyAlignment="1">
      <alignment horizontal="center" vertical="center" wrapText="1"/>
    </xf>
    <xf numFmtId="165" fontId="6" fillId="5" borderId="35" xfId="4" applyNumberFormat="1" applyFont="1" applyFill="1" applyBorder="1" applyAlignment="1">
      <alignment horizontal="center" vertical="center" wrapText="1"/>
    </xf>
    <xf numFmtId="0" fontId="1" fillId="0" borderId="5" xfId="2" applyFont="1" applyFill="1" applyBorder="1" applyAlignment="1">
      <alignment horizontal="center"/>
    </xf>
    <xf numFmtId="0" fontId="1" fillId="0" borderId="36" xfId="2" applyFont="1" applyFill="1" applyBorder="1" applyAlignment="1">
      <alignment horizontal="center"/>
    </xf>
    <xf numFmtId="165" fontId="1" fillId="5" borderId="2" xfId="4" applyNumberFormat="1" applyFont="1" applyFill="1" applyBorder="1" applyAlignment="1">
      <alignment horizontal="center" vertical="center" wrapText="1"/>
    </xf>
    <xf numFmtId="0" fontId="1" fillId="0" borderId="14" xfId="3" applyFont="1" applyFill="1" applyBorder="1" applyAlignment="1">
      <alignment horizontal="center" vertical="center" wrapText="1"/>
    </xf>
    <xf numFmtId="0" fontId="1" fillId="0" borderId="33" xfId="3" applyFont="1" applyFill="1" applyBorder="1" applyAlignment="1">
      <alignment horizontal="center" vertical="center" wrapText="1"/>
    </xf>
    <xf numFmtId="165" fontId="1" fillId="5" borderId="19" xfId="4" applyNumberFormat="1" applyFont="1" applyFill="1" applyBorder="1" applyAlignment="1">
      <alignment horizontal="center" vertical="center" wrapText="1"/>
    </xf>
    <xf numFmtId="165" fontId="6" fillId="5" borderId="27" xfId="4" applyNumberFormat="1" applyFont="1" applyFill="1" applyBorder="1" applyAlignment="1">
      <alignment horizontal="center" vertical="center" wrapText="1"/>
    </xf>
    <xf numFmtId="0" fontId="1" fillId="0" borderId="15" xfId="3" applyFont="1" applyFill="1" applyBorder="1" applyAlignment="1">
      <alignment horizontal="center" vertical="center" wrapText="1"/>
    </xf>
    <xf numFmtId="0" fontId="1" fillId="0" borderId="37" xfId="3" applyFont="1" applyFill="1" applyBorder="1" applyAlignment="1">
      <alignment horizontal="center" vertical="center" wrapText="1"/>
    </xf>
    <xf numFmtId="0" fontId="1" fillId="0" borderId="12" xfId="3" applyFont="1" applyFill="1" applyBorder="1" applyAlignment="1">
      <alignment horizontal="center" vertical="center" wrapText="1"/>
    </xf>
    <xf numFmtId="9" fontId="1" fillId="0" borderId="13" xfId="3" applyNumberFormat="1" applyFont="1" applyFill="1" applyBorder="1" applyAlignment="1">
      <alignment horizontal="center" vertical="center" wrapText="1"/>
    </xf>
    <xf numFmtId="9" fontId="1" fillId="0" borderId="1" xfId="3" applyNumberFormat="1" applyFont="1" applyFill="1" applyBorder="1" applyAlignment="1">
      <alignment horizontal="center" vertical="center" wrapText="1"/>
    </xf>
    <xf numFmtId="0" fontId="3" fillId="4" borderId="13" xfId="3" applyFont="1" applyFill="1" applyBorder="1" applyAlignment="1">
      <alignment horizontal="center" vertical="center" wrapText="1"/>
    </xf>
    <xf numFmtId="0" fontId="1" fillId="4" borderId="1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 wrapText="1"/>
    </xf>
    <xf numFmtId="0" fontId="1" fillId="4" borderId="17" xfId="3" applyFont="1" applyFill="1" applyBorder="1" applyAlignment="1">
      <alignment horizontal="center" vertical="center" wrapText="1"/>
    </xf>
    <xf numFmtId="9" fontId="4" fillId="4" borderId="16" xfId="3" applyNumberFormat="1" applyFont="1" applyFill="1" applyBorder="1" applyAlignment="1">
      <alignment horizontal="center" vertical="center" wrapText="1"/>
    </xf>
    <xf numFmtId="0" fontId="1" fillId="4" borderId="24" xfId="3" applyFont="1" applyFill="1" applyBorder="1" applyAlignment="1">
      <alignment horizontal="center" vertical="center" wrapText="1"/>
    </xf>
    <xf numFmtId="0" fontId="4" fillId="4" borderId="13" xfId="3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 wrapText="1"/>
    </xf>
    <xf numFmtId="1" fontId="1" fillId="0" borderId="13" xfId="1" applyNumberFormat="1" applyFont="1" applyFill="1" applyBorder="1" applyAlignment="1">
      <alignment horizontal="center" vertical="center" wrapText="1"/>
    </xf>
    <xf numFmtId="1" fontId="1" fillId="0" borderId="1" xfId="1" applyNumberFormat="1" applyFont="1" applyFill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9" fontId="1" fillId="0" borderId="12" xfId="3" applyNumberFormat="1" applyFont="1" applyFill="1" applyBorder="1" applyAlignment="1">
      <alignment horizontal="center" vertical="center" wrapText="1"/>
    </xf>
    <xf numFmtId="9" fontId="1" fillId="0" borderId="3" xfId="3" applyNumberFormat="1" applyFont="1" applyFill="1" applyBorder="1" applyAlignment="1">
      <alignment horizontal="center" vertical="center" wrapText="1"/>
    </xf>
    <xf numFmtId="9" fontId="1" fillId="0" borderId="13" xfId="1" applyNumberFormat="1" applyFont="1" applyFill="1" applyBorder="1" applyAlignment="1">
      <alignment horizontal="center" vertical="center" wrapText="1"/>
    </xf>
    <xf numFmtId="9" fontId="1" fillId="0" borderId="1" xfId="1" applyNumberFormat="1" applyFont="1" applyFill="1" applyBorder="1" applyAlignment="1">
      <alignment horizontal="center" vertical="center" wrapText="1"/>
    </xf>
    <xf numFmtId="9" fontId="3" fillId="0" borderId="12" xfId="5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0" xfId="3" applyFont="1" applyFill="1" applyAlignment="1">
      <alignment horizontal="center" vertical="center" textRotation="90"/>
    </xf>
    <xf numFmtId="0" fontId="4" fillId="4" borderId="4" xfId="3" applyFont="1" applyFill="1" applyBorder="1" applyAlignment="1">
      <alignment horizontal="center" vertical="center" wrapText="1"/>
    </xf>
    <xf numFmtId="0" fontId="4" fillId="4" borderId="11" xfId="3" applyFont="1" applyFill="1" applyBorder="1" applyAlignment="1">
      <alignment horizontal="center" vertical="center" wrapText="1"/>
    </xf>
    <xf numFmtId="0" fontId="4" fillId="4" borderId="13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/>
    </xf>
    <xf numFmtId="0" fontId="3" fillId="0" borderId="5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9" fontId="1" fillId="0" borderId="12" xfId="2" applyNumberFormat="1" applyFont="1" applyFill="1" applyBorder="1" applyAlignment="1">
      <alignment horizontal="center" vertical="center" wrapText="1"/>
    </xf>
    <xf numFmtId="9" fontId="1" fillId="0" borderId="3" xfId="2" applyNumberFormat="1" applyFont="1" applyFill="1" applyBorder="1" applyAlignment="1">
      <alignment horizontal="center" vertical="center" wrapText="1"/>
    </xf>
    <xf numFmtId="0" fontId="1" fillId="0" borderId="1" xfId="3" applyFont="1" applyFill="1" applyBorder="1" applyAlignment="1">
      <alignment horizontal="center" vertical="center" wrapText="1"/>
    </xf>
    <xf numFmtId="0" fontId="2" fillId="2" borderId="0" xfId="3" applyFont="1" applyFill="1" applyAlignment="1">
      <alignment horizontal="center"/>
    </xf>
    <xf numFmtId="9" fontId="1" fillId="0" borderId="13" xfId="3" applyNumberFormat="1" applyFont="1" applyBorder="1" applyAlignment="1">
      <alignment horizontal="center" vertical="center" wrapText="1"/>
    </xf>
    <xf numFmtId="9" fontId="1" fillId="0" borderId="1" xfId="3" applyNumberFormat="1" applyFont="1" applyBorder="1" applyAlignment="1">
      <alignment horizontal="center" vertical="center" wrapText="1"/>
    </xf>
    <xf numFmtId="0" fontId="2" fillId="0" borderId="0" xfId="2" applyFont="1" applyFill="1" applyAlignment="1">
      <alignment horizontal="center"/>
    </xf>
    <xf numFmtId="0" fontId="1" fillId="0" borderId="0" xfId="2" applyFont="1" applyFill="1" applyAlignment="1">
      <alignment horizontal="center" vertical="center" textRotation="90"/>
    </xf>
    <xf numFmtId="0" fontId="4" fillId="6" borderId="4" xfId="2" applyFont="1" applyFill="1" applyBorder="1" applyAlignment="1">
      <alignment horizontal="center" vertical="center" wrapText="1"/>
    </xf>
    <xf numFmtId="0" fontId="4" fillId="6" borderId="11" xfId="2" applyFont="1" applyFill="1" applyBorder="1" applyAlignment="1">
      <alignment horizontal="center" vertical="center" wrapText="1"/>
    </xf>
    <xf numFmtId="9" fontId="1" fillId="0" borderId="13" xfId="2" applyNumberFormat="1" applyFont="1" applyBorder="1" applyAlignment="1">
      <alignment horizontal="center" vertical="center" wrapText="1"/>
    </xf>
    <xf numFmtId="9" fontId="1" fillId="0" borderId="1" xfId="2" applyNumberFormat="1" applyFont="1" applyBorder="1" applyAlignment="1">
      <alignment horizontal="center" vertical="center" wrapText="1"/>
    </xf>
    <xf numFmtId="9" fontId="1" fillId="0" borderId="13" xfId="2" applyNumberFormat="1" applyFont="1" applyFill="1" applyBorder="1" applyAlignment="1">
      <alignment horizontal="center" vertical="center" wrapText="1"/>
    </xf>
    <xf numFmtId="9" fontId="1" fillId="0" borderId="1" xfId="2" applyNumberFormat="1" applyFont="1" applyFill="1" applyBorder="1" applyAlignment="1">
      <alignment horizontal="center" vertical="center" wrapText="1"/>
    </xf>
    <xf numFmtId="9" fontId="1" fillId="8" borderId="13" xfId="1" applyNumberFormat="1" applyFont="1" applyFill="1" applyBorder="1" applyAlignment="1">
      <alignment horizontal="center" vertical="center" wrapText="1"/>
    </xf>
    <xf numFmtId="9" fontId="1" fillId="8" borderId="1" xfId="1" applyNumberFormat="1" applyFont="1" applyFill="1" applyBorder="1" applyAlignment="1">
      <alignment horizontal="center" vertical="center" wrapText="1"/>
    </xf>
    <xf numFmtId="0" fontId="4" fillId="6" borderId="13" xfId="2" applyFont="1" applyFill="1" applyBorder="1" applyAlignment="1">
      <alignment horizontal="center" vertical="center" wrapText="1"/>
    </xf>
    <xf numFmtId="0" fontId="7" fillId="6" borderId="1" xfId="2" applyFont="1" applyFill="1" applyBorder="1" applyAlignment="1">
      <alignment horizontal="center" vertical="center" wrapText="1"/>
    </xf>
    <xf numFmtId="0" fontId="4" fillId="6" borderId="14" xfId="2" applyFont="1" applyFill="1" applyBorder="1" applyAlignment="1">
      <alignment horizontal="center" vertical="center" wrapText="1"/>
    </xf>
    <xf numFmtId="0" fontId="7" fillId="6" borderId="17" xfId="2" applyFont="1" applyFill="1" applyBorder="1" applyAlignment="1">
      <alignment horizontal="center" vertical="center" wrapText="1"/>
    </xf>
    <xf numFmtId="9" fontId="4" fillId="6" borderId="16" xfId="2" applyNumberFormat="1" applyFont="1" applyFill="1" applyBorder="1" applyAlignment="1">
      <alignment horizontal="center" vertical="center" wrapText="1"/>
    </xf>
    <xf numFmtId="0" fontId="7" fillId="6" borderId="24" xfId="2" applyFont="1" applyFill="1" applyBorder="1" applyAlignment="1">
      <alignment horizontal="center" vertical="center" wrapText="1"/>
    </xf>
    <xf numFmtId="0" fontId="4" fillId="6" borderId="13" xfId="2" applyFont="1" applyFill="1" applyBorder="1" applyAlignment="1">
      <alignment horizontal="center"/>
    </xf>
    <xf numFmtId="0" fontId="4" fillId="6" borderId="1" xfId="2" applyFont="1" applyFill="1" applyBorder="1" applyAlignment="1">
      <alignment horizontal="center"/>
    </xf>
  </cellXfs>
  <cellStyles count="6">
    <cellStyle name="Comma 2" xfId="4" xr:uid="{00000000-0005-0000-0000-000000000000}"/>
    <cellStyle name="Normal 2" xfId="2" xr:uid="{00000000-0005-0000-0000-000001000000}"/>
    <cellStyle name="Normal 3" xfId="3" xr:uid="{00000000-0005-0000-0000-000002000000}"/>
    <cellStyle name="Percent 2" xfId="1" xr:uid="{00000000-0005-0000-0000-000003000000}"/>
    <cellStyle name="Обычный" xfId="0" builtinId="0"/>
    <cellStyle name="Процентный" xfId="5" builtinId="5"/>
  </cellStyles>
  <dxfs count="63"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Documents%20and%20Settings\polin\Local%20Settings\Temporary%20Internet%20Files\Content.IE5\W5IHWPEH\Cash%20Flow%20Outlook%20040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ce\subsidiaries\RoServis\Fixed%20Assets\Fixed%20assets%2031%20Dec%209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xk9387\Local%20Settings\Temporary%20Internet%20Files\Content.Outlook\F13W2T6M\Russia_RV_P6%20with%20link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xm8523\Desktop\Q3F%20Outbox\Canada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WINNT\Profiles\sxs5242\Local%20Settings\Temporary%20Internet%20Files\OLK47A\Revised%20CAPEX%20v2.xl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ERNST98\SPREN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2012%20Actual%20Financials\Q0F\Upload%20template\Russia\final%20upload%20file%20-%20values\Russ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Lines"/>
      <sheetName val="Loans"/>
      <sheetName val="NonBankLoans"/>
      <sheetName val="Transfers"/>
      <sheetName val="Investments"/>
      <sheetName val="Interests"/>
      <sheetName val="Income"/>
      <sheetName val="CapEx"/>
      <sheetName val="NonCashItems"/>
      <sheetName val="Openings"/>
      <sheetName val="WorkingCapital"/>
      <sheetName val="Assumptions"/>
      <sheetName val="Banks"/>
      <sheetName val="RI Oper"/>
      <sheetName val="RRL Debt"/>
    </sheetNames>
    <sheetDataSet>
      <sheetData sheetId="0"/>
      <sheetData sheetId="1" refreshError="1">
        <row r="3">
          <cell r="A3" t="str">
            <v>Гута-банк</v>
          </cell>
          <cell r="B3" t="str">
            <v>Лимит</v>
          </cell>
          <cell r="C3">
            <v>974.70750172057808</v>
          </cell>
          <cell r="D3" t="str">
            <v>USD</v>
          </cell>
          <cell r="E3">
            <v>4.4999999999999998E-2</v>
          </cell>
          <cell r="F3">
            <v>37966</v>
          </cell>
          <cell r="G3">
            <v>38331</v>
          </cell>
        </row>
        <row r="4">
          <cell r="A4" t="str">
            <v>Ситибанк</v>
          </cell>
          <cell r="B4" t="str">
            <v>Лимит</v>
          </cell>
          <cell r="C4">
            <v>90000</v>
          </cell>
          <cell r="D4" t="str">
            <v>RUR</v>
          </cell>
          <cell r="F4">
            <v>37281</v>
          </cell>
        </row>
        <row r="5">
          <cell r="A5" t="str">
            <v>Сбербанк России</v>
          </cell>
          <cell r="B5" t="str">
            <v>Линия</v>
          </cell>
          <cell r="C5">
            <v>30000</v>
          </cell>
          <cell r="D5" t="str">
            <v>RUR</v>
          </cell>
          <cell r="E5">
            <v>0.1</v>
          </cell>
          <cell r="F5">
            <v>38134</v>
          </cell>
          <cell r="G5">
            <v>38226</v>
          </cell>
        </row>
        <row r="6">
          <cell r="A6" t="str">
            <v>Альфа-банк</v>
          </cell>
          <cell r="B6" t="str">
            <v>Лимит</v>
          </cell>
          <cell r="C6">
            <v>3000</v>
          </cell>
          <cell r="D6" t="str">
            <v>USD</v>
          </cell>
          <cell r="E6">
            <v>0.13500000000000001</v>
          </cell>
          <cell r="F6">
            <v>38118</v>
          </cell>
          <cell r="G6">
            <v>38492</v>
          </cell>
        </row>
        <row r="7">
          <cell r="A7" t="str">
            <v>ММБ</v>
          </cell>
          <cell r="B7" t="str">
            <v>Линия</v>
          </cell>
          <cell r="C7">
            <v>4800</v>
          </cell>
          <cell r="D7" t="str">
            <v>USD</v>
          </cell>
          <cell r="E7">
            <v>8.3437499999999998E-2</v>
          </cell>
          <cell r="F7">
            <v>38119</v>
          </cell>
          <cell r="G7">
            <v>39214</v>
          </cell>
        </row>
        <row r="8">
          <cell r="A8" t="str">
            <v>Сбербанк России</v>
          </cell>
          <cell r="B8" t="str">
            <v>Линия</v>
          </cell>
          <cell r="C8">
            <v>30000</v>
          </cell>
          <cell r="D8" t="str">
            <v>RUR</v>
          </cell>
          <cell r="E8">
            <v>0.1</v>
          </cell>
          <cell r="F8">
            <v>38163</v>
          </cell>
          <cell r="G8">
            <v>38252</v>
          </cell>
        </row>
        <row r="9">
          <cell r="A9" t="str">
            <v>Сбербанк России</v>
          </cell>
          <cell r="B9" t="str">
            <v>Линия</v>
          </cell>
          <cell r="C9">
            <v>60000</v>
          </cell>
          <cell r="D9" t="str">
            <v>RUR</v>
          </cell>
          <cell r="E9">
            <v>0.1</v>
          </cell>
          <cell r="F9">
            <v>38173</v>
          </cell>
          <cell r="G9">
            <v>38264</v>
          </cell>
        </row>
        <row r="10">
          <cell r="A10" t="str">
            <v>Сбербанк России</v>
          </cell>
          <cell r="B10" t="str">
            <v>Линия</v>
          </cell>
          <cell r="C10">
            <v>40000</v>
          </cell>
          <cell r="D10" t="str">
            <v>RUR</v>
          </cell>
          <cell r="E10">
            <v>0.1</v>
          </cell>
          <cell r="F10">
            <v>38188</v>
          </cell>
          <cell r="G10">
            <v>38279</v>
          </cell>
        </row>
        <row r="11">
          <cell r="A11" t="str">
            <v>Сбербанк России</v>
          </cell>
          <cell r="B11" t="str">
            <v>Линия</v>
          </cell>
          <cell r="C11">
            <v>80000</v>
          </cell>
          <cell r="D11" t="str">
            <v>RUR</v>
          </cell>
          <cell r="E11">
            <v>0.125</v>
          </cell>
          <cell r="F11">
            <v>38202</v>
          </cell>
          <cell r="G11">
            <v>38373</v>
          </cell>
        </row>
        <row r="12">
          <cell r="A12" t="str">
            <v>Сбербанк России</v>
          </cell>
          <cell r="B12" t="str">
            <v>Линия</v>
          </cell>
          <cell r="C12">
            <v>70000</v>
          </cell>
          <cell r="D12" t="str">
            <v>RUR</v>
          </cell>
          <cell r="E12">
            <v>0.125</v>
          </cell>
          <cell r="F12">
            <v>38229</v>
          </cell>
          <cell r="G12">
            <v>38408</v>
          </cell>
        </row>
      </sheetData>
      <sheetData sheetId="2" refreshError="1">
        <row r="3">
          <cell r="F3" t="str">
            <v>погашения</v>
          </cell>
        </row>
        <row r="4">
          <cell r="A4" t="str">
            <v>Гута-банк</v>
          </cell>
          <cell r="B4">
            <v>974.70750172057808</v>
          </cell>
          <cell r="C4" t="str">
            <v>USD</v>
          </cell>
          <cell r="D4">
            <v>4.4999999999999998E-2</v>
          </cell>
          <cell r="E4">
            <v>37966</v>
          </cell>
          <cell r="F4">
            <v>38331</v>
          </cell>
          <cell r="G4">
            <v>37966</v>
          </cell>
          <cell r="H4" t="str">
            <v>Ежемесячно</v>
          </cell>
        </row>
        <row r="5">
          <cell r="A5" t="str">
            <v>Гута-банк</v>
          </cell>
          <cell r="B5">
            <v>275.29249827942192</v>
          </cell>
          <cell r="C5" t="str">
            <v>USD</v>
          </cell>
          <cell r="D5">
            <v>4.4999999999999998E-2</v>
          </cell>
          <cell r="E5">
            <v>37966</v>
          </cell>
          <cell r="F5">
            <v>38175</v>
          </cell>
          <cell r="G5">
            <v>37966</v>
          </cell>
          <cell r="H5" t="str">
            <v>Ежемесячно</v>
          </cell>
        </row>
        <row r="6">
          <cell r="A6" t="str">
            <v>Ситибанк</v>
          </cell>
          <cell r="B6">
            <v>62500</v>
          </cell>
          <cell r="C6" t="str">
            <v>RUR</v>
          </cell>
          <cell r="D6">
            <v>0.09</v>
          </cell>
          <cell r="E6">
            <v>37998</v>
          </cell>
          <cell r="F6">
            <v>38180</v>
          </cell>
          <cell r="G6">
            <v>37277</v>
          </cell>
          <cell r="H6">
            <v>38180</v>
          </cell>
        </row>
        <row r="7">
          <cell r="A7" t="str">
            <v>Ситибанк</v>
          </cell>
          <cell r="B7">
            <v>7500</v>
          </cell>
          <cell r="C7" t="str">
            <v>RUR</v>
          </cell>
          <cell r="D7">
            <v>8.9499999999999996E-2</v>
          </cell>
          <cell r="E7">
            <v>38082</v>
          </cell>
          <cell r="F7">
            <v>38260</v>
          </cell>
          <cell r="G7">
            <v>38082</v>
          </cell>
          <cell r="H7">
            <v>38321</v>
          </cell>
        </row>
        <row r="8">
          <cell r="A8" t="str">
            <v>Ситибанк</v>
          </cell>
          <cell r="B8">
            <v>20000</v>
          </cell>
          <cell r="C8" t="str">
            <v>RUR</v>
          </cell>
          <cell r="D8">
            <v>8.9499999999999996E-2</v>
          </cell>
          <cell r="E8">
            <v>38082</v>
          </cell>
          <cell r="F8">
            <v>38321</v>
          </cell>
          <cell r="G8">
            <v>38082</v>
          </cell>
          <cell r="H8">
            <v>38321</v>
          </cell>
        </row>
        <row r="9">
          <cell r="A9" t="str">
            <v>Сбербанк России</v>
          </cell>
          <cell r="B9">
            <v>70000</v>
          </cell>
          <cell r="C9" t="str">
            <v>RUR</v>
          </cell>
          <cell r="D9">
            <v>0.1</v>
          </cell>
          <cell r="E9">
            <v>38065</v>
          </cell>
          <cell r="F9">
            <v>38154</v>
          </cell>
          <cell r="G9">
            <v>38065</v>
          </cell>
          <cell r="H9" t="str">
            <v>Ежемесячно</v>
          </cell>
        </row>
        <row r="10">
          <cell r="A10" t="str">
            <v>Сбербанк России</v>
          </cell>
          <cell r="B10">
            <v>30000</v>
          </cell>
          <cell r="C10" t="str">
            <v>RUR</v>
          </cell>
          <cell r="D10">
            <v>0.1</v>
          </cell>
          <cell r="E10">
            <v>38082</v>
          </cell>
          <cell r="F10">
            <v>38170</v>
          </cell>
          <cell r="G10">
            <v>38082</v>
          </cell>
          <cell r="H10" t="str">
            <v>Ежемесячно</v>
          </cell>
        </row>
        <row r="11">
          <cell r="A11" t="str">
            <v>Сбербанк России</v>
          </cell>
          <cell r="B11">
            <v>20000</v>
          </cell>
          <cell r="C11" t="str">
            <v>RUR</v>
          </cell>
          <cell r="D11">
            <v>0.1</v>
          </cell>
          <cell r="E11">
            <v>38118</v>
          </cell>
          <cell r="F11">
            <v>38205</v>
          </cell>
          <cell r="G11">
            <v>38118</v>
          </cell>
          <cell r="H11" t="str">
            <v>Ежемесячно</v>
          </cell>
        </row>
        <row r="12">
          <cell r="A12" t="str">
            <v>Сбербанк России</v>
          </cell>
          <cell r="B12">
            <v>30000</v>
          </cell>
          <cell r="C12" t="str">
            <v>RUR</v>
          </cell>
          <cell r="D12">
            <v>0.1</v>
          </cell>
          <cell r="E12">
            <v>38134</v>
          </cell>
          <cell r="F12">
            <v>38223</v>
          </cell>
          <cell r="G12">
            <v>38118</v>
          </cell>
          <cell r="H12" t="str">
            <v>Ежемесячно</v>
          </cell>
        </row>
        <row r="13">
          <cell r="A13" t="str">
            <v>ММБ</v>
          </cell>
          <cell r="B13">
            <v>420</v>
          </cell>
          <cell r="C13" t="str">
            <v>USD</v>
          </cell>
          <cell r="D13">
            <v>8.3437510000000006E-2</v>
          </cell>
          <cell r="E13">
            <v>38135</v>
          </cell>
          <cell r="F13">
            <v>39169</v>
          </cell>
          <cell r="G13">
            <v>38119</v>
          </cell>
          <cell r="H13" t="str">
            <v>Ежемесячно</v>
          </cell>
        </row>
        <row r="14">
          <cell r="A14" t="str">
            <v>ММБ</v>
          </cell>
          <cell r="B14">
            <v>700</v>
          </cell>
          <cell r="C14" t="str">
            <v>USD</v>
          </cell>
          <cell r="D14">
            <v>8.3437510000000006E-2</v>
          </cell>
          <cell r="E14">
            <v>38139</v>
          </cell>
          <cell r="F14">
            <v>39169</v>
          </cell>
          <cell r="G14">
            <v>38119</v>
          </cell>
          <cell r="H14" t="str">
            <v>Ежемесячно</v>
          </cell>
        </row>
        <row r="15">
          <cell r="A15" t="str">
            <v>ММБ</v>
          </cell>
          <cell r="B15">
            <v>400</v>
          </cell>
          <cell r="C15" t="str">
            <v>USD</v>
          </cell>
          <cell r="D15">
            <v>8.3437510000000006E-2</v>
          </cell>
          <cell r="E15">
            <v>38142</v>
          </cell>
          <cell r="F15">
            <v>39169</v>
          </cell>
          <cell r="G15">
            <v>38119</v>
          </cell>
          <cell r="H15" t="str">
            <v>Ежемесячно</v>
          </cell>
        </row>
        <row r="16">
          <cell r="A16" t="str">
            <v>ММБ</v>
          </cell>
          <cell r="B16">
            <v>80</v>
          </cell>
          <cell r="C16" t="str">
            <v>USD</v>
          </cell>
          <cell r="D16">
            <v>8.3437510000000006E-2</v>
          </cell>
          <cell r="E16">
            <v>38147</v>
          </cell>
          <cell r="F16">
            <v>39169</v>
          </cell>
          <cell r="G16">
            <v>38119</v>
          </cell>
          <cell r="H16" t="str">
            <v>Ежемесячно</v>
          </cell>
        </row>
        <row r="17">
          <cell r="A17" t="str">
            <v>ММБ</v>
          </cell>
          <cell r="B17">
            <v>20</v>
          </cell>
          <cell r="C17" t="str">
            <v>USD</v>
          </cell>
          <cell r="D17">
            <v>8.3437510000000006E-2</v>
          </cell>
          <cell r="E17">
            <v>38147</v>
          </cell>
          <cell r="F17">
            <v>39200</v>
          </cell>
          <cell r="G17">
            <v>38119</v>
          </cell>
          <cell r="H17" t="str">
            <v>Ежемесячно</v>
          </cell>
        </row>
        <row r="18">
          <cell r="A18" t="str">
            <v>ММБ</v>
          </cell>
          <cell r="B18">
            <v>200</v>
          </cell>
          <cell r="C18" t="str">
            <v>USD</v>
          </cell>
          <cell r="D18">
            <v>8.3437510000000006E-2</v>
          </cell>
          <cell r="E18">
            <v>38148</v>
          </cell>
          <cell r="F18">
            <v>39200</v>
          </cell>
          <cell r="G18">
            <v>38119</v>
          </cell>
          <cell r="H18" t="str">
            <v>Ежемесячно</v>
          </cell>
        </row>
        <row r="19">
          <cell r="A19" t="str">
            <v>ММБ</v>
          </cell>
          <cell r="B19">
            <v>1380</v>
          </cell>
          <cell r="C19" t="str">
            <v>USD</v>
          </cell>
          <cell r="D19">
            <v>8.3437510000000006E-2</v>
          </cell>
          <cell r="E19">
            <v>38154</v>
          </cell>
          <cell r="F19">
            <v>39200</v>
          </cell>
          <cell r="G19">
            <v>38119</v>
          </cell>
          <cell r="H19" t="str">
            <v>Ежемесячно</v>
          </cell>
        </row>
        <row r="20">
          <cell r="A20" t="str">
            <v>ММБ</v>
          </cell>
          <cell r="B20">
            <v>1600</v>
          </cell>
          <cell r="C20" t="str">
            <v>USD</v>
          </cell>
          <cell r="D20">
            <v>8.3437510000000006E-2</v>
          </cell>
          <cell r="E20">
            <v>38154</v>
          </cell>
          <cell r="F20">
            <v>39214</v>
          </cell>
          <cell r="G20">
            <v>38119</v>
          </cell>
          <cell r="H20" t="str">
            <v>Ежемесячно</v>
          </cell>
        </row>
        <row r="21">
          <cell r="A21" t="str">
            <v>Сбербанк России</v>
          </cell>
          <cell r="B21">
            <v>30000</v>
          </cell>
          <cell r="C21" t="str">
            <v>RUR</v>
          </cell>
          <cell r="D21">
            <v>0.1</v>
          </cell>
          <cell r="E21">
            <v>38163</v>
          </cell>
          <cell r="F21">
            <v>38252</v>
          </cell>
          <cell r="G21">
            <v>38163</v>
          </cell>
          <cell r="H21" t="str">
            <v>Ежемесячно</v>
          </cell>
        </row>
        <row r="22">
          <cell r="A22" t="str">
            <v>Сбербанк России</v>
          </cell>
          <cell r="B22">
            <v>60000</v>
          </cell>
          <cell r="C22" t="str">
            <v>RUR</v>
          </cell>
          <cell r="D22">
            <v>0.1</v>
          </cell>
          <cell r="E22">
            <v>38173</v>
          </cell>
          <cell r="F22">
            <v>38264</v>
          </cell>
          <cell r="G22">
            <v>38163</v>
          </cell>
          <cell r="H22" t="str">
            <v>Ежемесячно</v>
          </cell>
        </row>
        <row r="23">
          <cell r="A23" t="str">
            <v>Сбербанк России</v>
          </cell>
          <cell r="B23">
            <v>40000</v>
          </cell>
          <cell r="C23" t="str">
            <v>RUR</v>
          </cell>
          <cell r="D23">
            <v>0.1</v>
          </cell>
          <cell r="E23">
            <v>38188</v>
          </cell>
          <cell r="F23">
            <v>38279</v>
          </cell>
          <cell r="G23">
            <v>38163</v>
          </cell>
          <cell r="H23" t="str">
            <v>Ежемесячно</v>
          </cell>
        </row>
        <row r="24">
          <cell r="A24" t="str">
            <v>Ситибанк</v>
          </cell>
          <cell r="B24">
            <v>0</v>
          </cell>
          <cell r="C24" t="str">
            <v>RUR</v>
          </cell>
          <cell r="D24">
            <v>0.1</v>
          </cell>
          <cell r="E24">
            <v>38181</v>
          </cell>
          <cell r="F24">
            <v>38333</v>
          </cell>
          <cell r="G24">
            <v>37277</v>
          </cell>
          <cell r="H24">
            <v>38333</v>
          </cell>
        </row>
        <row r="25">
          <cell r="A25" t="str">
            <v>Сбербанк России</v>
          </cell>
          <cell r="B25">
            <v>80000</v>
          </cell>
          <cell r="C25" t="str">
            <v>RUR</v>
          </cell>
          <cell r="D25">
            <v>0.125</v>
          </cell>
          <cell r="E25">
            <v>38202</v>
          </cell>
          <cell r="F25">
            <v>38373</v>
          </cell>
          <cell r="G25">
            <v>38196</v>
          </cell>
          <cell r="H25" t="str">
            <v>Ежемесячно</v>
          </cell>
        </row>
        <row r="26">
          <cell r="A26" t="str">
            <v>Альфа-банк</v>
          </cell>
          <cell r="B26">
            <v>1000</v>
          </cell>
          <cell r="C26" t="str">
            <v>USD</v>
          </cell>
          <cell r="D26">
            <v>0.13750000000000001</v>
          </cell>
          <cell r="E26">
            <v>38215</v>
          </cell>
          <cell r="F26">
            <v>38492</v>
          </cell>
          <cell r="G26">
            <v>38118</v>
          </cell>
          <cell r="H26" t="str">
            <v>Ежемесячно</v>
          </cell>
        </row>
        <row r="27">
          <cell r="A27" t="str">
            <v>Альфа-банк</v>
          </cell>
          <cell r="B27">
            <v>1000</v>
          </cell>
          <cell r="C27" t="str">
            <v>USD</v>
          </cell>
          <cell r="D27">
            <v>0.13750000000000001</v>
          </cell>
          <cell r="E27">
            <v>38216</v>
          </cell>
          <cell r="F27">
            <v>38492</v>
          </cell>
          <cell r="G27">
            <v>38118</v>
          </cell>
          <cell r="H27" t="str">
            <v>Ежемесячно</v>
          </cell>
        </row>
        <row r="28">
          <cell r="A28" t="str">
            <v>Альфа-банк</v>
          </cell>
          <cell r="B28">
            <v>1000</v>
          </cell>
          <cell r="C28" t="str">
            <v>USD</v>
          </cell>
          <cell r="D28">
            <v>0.13750000000000001</v>
          </cell>
          <cell r="E28">
            <v>38217</v>
          </cell>
          <cell r="F28">
            <v>38492</v>
          </cell>
          <cell r="G28">
            <v>38118</v>
          </cell>
          <cell r="H28" t="str">
            <v>Ежемесячно</v>
          </cell>
        </row>
        <row r="29">
          <cell r="A29" t="str">
            <v>Ситибанк</v>
          </cell>
          <cell r="B29">
            <v>7000</v>
          </cell>
          <cell r="C29" t="str">
            <v>RUR</v>
          </cell>
          <cell r="D29">
            <v>0.115</v>
          </cell>
          <cell r="E29">
            <v>38217</v>
          </cell>
          <cell r="F29">
            <v>38411</v>
          </cell>
          <cell r="G29">
            <v>38217</v>
          </cell>
          <cell r="H29">
            <v>38411</v>
          </cell>
        </row>
        <row r="30">
          <cell r="A30" t="str">
            <v>Ситибанк</v>
          </cell>
          <cell r="B30">
            <v>18000</v>
          </cell>
          <cell r="C30" t="str">
            <v>RUR</v>
          </cell>
          <cell r="D30">
            <v>0.115</v>
          </cell>
          <cell r="E30">
            <v>38217</v>
          </cell>
          <cell r="F30">
            <v>38471</v>
          </cell>
          <cell r="G30">
            <v>38217</v>
          </cell>
          <cell r="H30">
            <v>38471</v>
          </cell>
        </row>
        <row r="31">
          <cell r="A31" t="str">
            <v>Ситибанк</v>
          </cell>
          <cell r="B31">
            <v>10500</v>
          </cell>
          <cell r="C31" t="str">
            <v>RUR</v>
          </cell>
          <cell r="D31">
            <v>0.115</v>
          </cell>
          <cell r="E31">
            <v>38219</v>
          </cell>
          <cell r="F31">
            <v>38401</v>
          </cell>
          <cell r="G31">
            <v>38217</v>
          </cell>
          <cell r="H31">
            <v>38401</v>
          </cell>
        </row>
        <row r="32">
          <cell r="A32" t="str">
            <v>Ситибанк</v>
          </cell>
          <cell r="B32">
            <v>27000</v>
          </cell>
          <cell r="C32" t="str">
            <v>RUR</v>
          </cell>
          <cell r="D32">
            <v>0.115</v>
          </cell>
          <cell r="E32">
            <v>38219</v>
          </cell>
          <cell r="F32">
            <v>38492</v>
          </cell>
          <cell r="G32">
            <v>38217</v>
          </cell>
          <cell r="H32">
            <v>38492</v>
          </cell>
        </row>
        <row r="33">
          <cell r="A33" t="str">
            <v>Сбербанк России</v>
          </cell>
          <cell r="B33">
            <v>70000</v>
          </cell>
          <cell r="C33" t="str">
            <v>RUR</v>
          </cell>
          <cell r="D33">
            <v>0.125</v>
          </cell>
          <cell r="E33">
            <v>38229</v>
          </cell>
          <cell r="F33">
            <v>38408</v>
          </cell>
          <cell r="G33">
            <v>38229</v>
          </cell>
          <cell r="H33" t="str">
            <v>Ежемесячно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">
          <cell r="B4">
            <v>1</v>
          </cell>
          <cell r="H4">
            <v>1</v>
          </cell>
          <cell r="I4">
            <v>7</v>
          </cell>
          <cell r="J4">
            <v>2</v>
          </cell>
          <cell r="K4">
            <v>15</v>
          </cell>
          <cell r="L4">
            <v>4</v>
          </cell>
          <cell r="M4">
            <v>4</v>
          </cell>
          <cell r="N4">
            <v>6</v>
          </cell>
        </row>
        <row r="5">
          <cell r="B5">
            <v>2</v>
          </cell>
          <cell r="H5">
            <v>1</v>
          </cell>
        </row>
        <row r="6">
          <cell r="B6">
            <v>3</v>
          </cell>
          <cell r="I6">
            <v>3</v>
          </cell>
          <cell r="K6">
            <v>3</v>
          </cell>
          <cell r="L6">
            <v>1</v>
          </cell>
          <cell r="M6">
            <v>1</v>
          </cell>
          <cell r="N6">
            <v>1</v>
          </cell>
        </row>
      </sheetData>
      <sheetData sheetId="11"/>
      <sheetData sheetId="12" refreshError="1">
        <row r="5">
          <cell r="B5">
            <v>38230</v>
          </cell>
        </row>
        <row r="6">
          <cell r="B6">
            <v>29.2</v>
          </cell>
        </row>
        <row r="10">
          <cell r="B10">
            <v>39195.593905897738</v>
          </cell>
        </row>
      </sheetData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wk"/>
      <sheetName val="Timing Diff"/>
      <sheetName val="nadya"/>
      <sheetName val="Sheet2"/>
      <sheetName val="By categories"/>
      <sheetName val="LSE_Trading Data"/>
    </sheetNames>
    <sheetDataSet>
      <sheetData sheetId="0" refreshError="1"/>
      <sheetData sheetId="1" refreshError="1">
        <row r="3">
          <cell r="AP3">
            <v>35430</v>
          </cell>
          <cell r="AS3">
            <v>35064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YRI2"/>
      <sheetName val="YRI3"/>
      <sheetName val="YRI4"/>
      <sheetName val="YRI5"/>
      <sheetName val="YRI6"/>
      <sheetName val="YRI7"/>
      <sheetName val="YRI8"/>
      <sheetName val="YRI9"/>
      <sheetName val="YRI10"/>
      <sheetName val="YRI11"/>
      <sheetName val="YRIG1"/>
      <sheetName val="YRIG2"/>
      <sheetName val="YRIG3"/>
      <sheetName val="YRIG4"/>
      <sheetName val="YRIG5"/>
      <sheetName val="BMU Summary"/>
      <sheetName val="Memo"/>
      <sheetName val="Profit Walk"/>
      <sheetName val="G&amp;A Walk"/>
      <sheetName val="Margin Walk"/>
      <sheetName val="SSSG"/>
      <sheetName val="Development"/>
    </sheetNames>
    <sheetDataSet>
      <sheetData sheetId="0">
        <row r="24">
          <cell r="Q24">
            <v>2012</v>
          </cell>
          <cell r="R24" t="str">
            <v>Q2F</v>
          </cell>
        </row>
        <row r="25">
          <cell r="R25" t="str">
            <v>Q1F</v>
          </cell>
        </row>
        <row r="26">
          <cell r="E26" t="str">
            <v>Russia_MKT</v>
          </cell>
          <cell r="Q26">
            <v>2011</v>
          </cell>
          <cell r="R26" t="str">
            <v>Actual</v>
          </cell>
        </row>
        <row r="27">
          <cell r="F27" t="str">
            <v>Armenia</v>
          </cell>
          <cell r="G27">
            <v>74001</v>
          </cell>
          <cell r="H27" t="str">
            <v>RUSSIA$_TOTEQ.RUSSIA_EQ_LC</v>
          </cell>
          <cell r="I27" t="str">
            <v>RUB</v>
          </cell>
          <cell r="J27" t="str">
            <v>RUB</v>
          </cell>
          <cell r="L27" t="str">
            <v>AVGRATE</v>
          </cell>
        </row>
        <row r="28">
          <cell r="F28" t="str">
            <v>Kazakhstan</v>
          </cell>
          <cell r="G28">
            <v>74001</v>
          </cell>
          <cell r="H28" t="str">
            <v>RUSSIA$_TOTEQ.RUSSIA_EQ_LC</v>
          </cell>
          <cell r="I28" t="str">
            <v>RUB</v>
          </cell>
          <cell r="J28" t="str">
            <v>RUB</v>
          </cell>
          <cell r="L28" t="str">
            <v>AVGRATE</v>
          </cell>
        </row>
        <row r="29">
          <cell r="F29" t="str">
            <v>Azerbaijan</v>
          </cell>
          <cell r="G29">
            <v>74001</v>
          </cell>
          <cell r="H29" t="str">
            <v>RUSSIA$_TOTEQ.RUSSIA_EQ_LC</v>
          </cell>
          <cell r="I29" t="str">
            <v>RUB</v>
          </cell>
          <cell r="J29" t="str">
            <v>RUB</v>
          </cell>
          <cell r="L29" t="str">
            <v>AVGRATE</v>
          </cell>
        </row>
        <row r="30">
          <cell r="F30" t="str">
            <v>Russia</v>
          </cell>
          <cell r="G30">
            <v>74001</v>
          </cell>
          <cell r="H30" t="str">
            <v>RUSSIA$_TOTEQ.RUSSIA_EQ_LC</v>
          </cell>
          <cell r="I30" t="str">
            <v>RUB</v>
          </cell>
          <cell r="J30" t="str">
            <v>RUB</v>
          </cell>
          <cell r="L30" t="str">
            <v>AVGRATE</v>
          </cell>
        </row>
        <row r="31">
          <cell r="F31" t="str">
            <v>NoCountry</v>
          </cell>
          <cell r="G31">
            <v>0</v>
          </cell>
          <cell r="H31" t="str">
            <v>RUSSIA$_TOTEQ.RUSSIA_EQ_LC</v>
          </cell>
          <cell r="I31" t="str">
            <v>USD</v>
          </cell>
          <cell r="J31" t="str">
            <v>USD</v>
          </cell>
          <cell r="L31" t="str">
            <v>AVGRATE</v>
          </cell>
        </row>
        <row r="32">
          <cell r="F32" t="str">
            <v>NoCountry</v>
          </cell>
          <cell r="G32">
            <v>0</v>
          </cell>
          <cell r="H32" t="str">
            <v>RUSSIA$_TOTEQ.RUSSIA_EQ_LC</v>
          </cell>
          <cell r="I32" t="str">
            <v>USD</v>
          </cell>
          <cell r="J32" t="str">
            <v>USD</v>
          </cell>
          <cell r="L32" t="str">
            <v>AVGRATE</v>
          </cell>
        </row>
        <row r="33">
          <cell r="F33" t="str">
            <v>NoCountry</v>
          </cell>
          <cell r="G33">
            <v>0</v>
          </cell>
          <cell r="H33" t="str">
            <v>RUSSIA$_TOTEQ.RUSSIA_EQ_LC</v>
          </cell>
          <cell r="I33" t="str">
            <v>USD</v>
          </cell>
          <cell r="J33" t="str">
            <v>USD</v>
          </cell>
          <cell r="L33" t="str">
            <v>AVGRATE</v>
          </cell>
        </row>
        <row r="34">
          <cell r="F34" t="str">
            <v>NoCountry</v>
          </cell>
          <cell r="G34">
            <v>0</v>
          </cell>
          <cell r="H34" t="str">
            <v>RUSSIA$_TOTEQ.RUSSIA_EQ_LC</v>
          </cell>
          <cell r="I34" t="str">
            <v>USD</v>
          </cell>
          <cell r="J34" t="str">
            <v>USD</v>
          </cell>
          <cell r="L34" t="str">
            <v>AVGRATE</v>
          </cell>
        </row>
        <row r="35">
          <cell r="F35" t="str">
            <v>NoCountry</v>
          </cell>
          <cell r="G35">
            <v>0</v>
          </cell>
          <cell r="H35" t="str">
            <v>RUSSIA$_TOTEQ.RUSSIA_EQ_LC</v>
          </cell>
          <cell r="I35" t="str">
            <v>USD</v>
          </cell>
          <cell r="J35" t="str">
            <v>USD</v>
          </cell>
          <cell r="L35" t="str">
            <v>AVGRATE</v>
          </cell>
        </row>
        <row r="36">
          <cell r="F36" t="str">
            <v>NoCountry</v>
          </cell>
          <cell r="G36">
            <v>0</v>
          </cell>
          <cell r="H36" t="str">
            <v>RUSSIA$_TOTEQ.RUSSIA_EQ_LC</v>
          </cell>
          <cell r="I36" t="str">
            <v>USD</v>
          </cell>
          <cell r="J36" t="str">
            <v>USD</v>
          </cell>
          <cell r="L36" t="str">
            <v>AVGRATE</v>
          </cell>
        </row>
        <row r="37">
          <cell r="F37" t="str">
            <v>NoCountry</v>
          </cell>
          <cell r="G37">
            <v>0</v>
          </cell>
          <cell r="H37" t="str">
            <v>RUSSIA$_TOTEQ.RUSSIA_EQ_LC</v>
          </cell>
          <cell r="I37" t="str">
            <v>USD</v>
          </cell>
          <cell r="J37" t="str">
            <v>USD</v>
          </cell>
          <cell r="L37" t="str">
            <v>AVGRATE</v>
          </cell>
        </row>
        <row r="38">
          <cell r="F38" t="str">
            <v>[none]</v>
          </cell>
          <cell r="G38">
            <v>74001</v>
          </cell>
          <cell r="H38" t="str">
            <v>RUSSIA$_TOTEQ.RUSSIA_EQ_LC</v>
          </cell>
          <cell r="I38" t="str">
            <v>RUB</v>
          </cell>
          <cell r="J38" t="str">
            <v>RUB</v>
          </cell>
          <cell r="L38" t="str">
            <v>AVGRATE</v>
          </cell>
        </row>
        <row r="39">
          <cell r="F39" t="str">
            <v>[none]</v>
          </cell>
          <cell r="G39">
            <v>51406852</v>
          </cell>
          <cell r="H39" t="str">
            <v>RUSSIA$_OTH.RUSSIA$_GA</v>
          </cell>
          <cell r="I39" t="str">
            <v>USD</v>
          </cell>
          <cell r="J39" t="str">
            <v>RUB</v>
          </cell>
          <cell r="L39" t="str">
            <v>AVGRATE</v>
          </cell>
        </row>
        <row r="40">
          <cell r="F40" t="str">
            <v>[none]</v>
          </cell>
          <cell r="G40">
            <v>51517481</v>
          </cell>
          <cell r="H40" t="str">
            <v>RUSSIA$_OTH.RUSSIA$_FRAN</v>
          </cell>
          <cell r="I40" t="str">
            <v>USD</v>
          </cell>
          <cell r="J40" t="str">
            <v>RUB</v>
          </cell>
          <cell r="L40" t="str">
            <v>AVGRATE</v>
          </cell>
        </row>
        <row r="41">
          <cell r="F41" t="str">
            <v>NoCountry</v>
          </cell>
          <cell r="G41">
            <v>0</v>
          </cell>
          <cell r="H41" t="str">
            <v>RUSSIA$_TOTEQ.RUSSIA_EQ_LC</v>
          </cell>
          <cell r="I41" t="str">
            <v>USD</v>
          </cell>
          <cell r="J41" t="str">
            <v>USD</v>
          </cell>
          <cell r="L41" t="str">
            <v>AVGRATE</v>
          </cell>
        </row>
        <row r="42">
          <cell r="F42" t="str">
            <v>NoCountry</v>
          </cell>
          <cell r="G42">
            <v>0</v>
          </cell>
          <cell r="H42" t="str">
            <v>RUSSIA$_TOTEQ.RUSSIA_EQ_LC</v>
          </cell>
          <cell r="I42" t="str">
            <v>USD</v>
          </cell>
          <cell r="J42" t="str">
            <v>USD</v>
          </cell>
          <cell r="L42" t="str">
            <v>AVGRATE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1">
          <cell r="Q31">
            <v>-12026.272225169931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G&amp;A1"/>
      <sheetName val="G&amp;A2"/>
      <sheetName val="BMU Summary"/>
      <sheetName val="Memo"/>
      <sheetName val="Profit Walk"/>
      <sheetName val="G&amp;A Walk"/>
      <sheetName val="SSSG"/>
    </sheetNames>
    <sheetDataSet>
      <sheetData sheetId="0">
        <row r="64">
          <cell r="F64" t="str">
            <v>[none]</v>
          </cell>
          <cell r="G64">
            <v>53073</v>
          </cell>
          <cell r="H64" t="str">
            <v>CANADA$_RPT.CANADA_LC</v>
          </cell>
          <cell r="I64" t="str">
            <v>CAD</v>
          </cell>
          <cell r="J64" t="str">
            <v>CAD</v>
          </cell>
        </row>
        <row r="65">
          <cell r="F65" t="str">
            <v>[none]</v>
          </cell>
          <cell r="G65">
            <v>50110010</v>
          </cell>
          <cell r="H65" t="str">
            <v>CANADA_MKT.CANADA$_OTHER</v>
          </cell>
          <cell r="I65" t="str">
            <v>USD</v>
          </cell>
          <cell r="J65" t="str">
            <v>USD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Issues"/>
      <sheetName val="Model Assumptions"/>
      <sheetName val="Template"/>
      <sheetName val="Input"/>
      <sheetName val="Summ"/>
      <sheetName val="Lease_buy"/>
      <sheetName val="CAR"/>
      <sheetName val="Book"/>
      <sheetName val="CashFlow"/>
      <sheetName val="Sensitiv"/>
      <sheetName val="Calc"/>
      <sheetName val="Sales"/>
      <sheetName val="Capacity"/>
      <sheetName val="Macro"/>
      <sheetName val="NPV Adj"/>
      <sheetName val="Financial highlights"/>
      <sheetName val="Model Notes"/>
      <sheetName val="ModelExport"/>
      <sheetName val="CA Lite"/>
      <sheetName val="Rev"/>
      <sheetName val="COGS"/>
    </sheetNames>
    <sheetDataSet>
      <sheetData sheetId="0" refreshError="1"/>
      <sheetData sheetId="1" refreshError="1"/>
      <sheetData sheetId="2" refreshError="1"/>
      <sheetData sheetId="3" refreshError="1">
        <row r="3">
          <cell r="G3">
            <v>20</v>
          </cell>
        </row>
        <row r="58">
          <cell r="C58">
            <v>8.2000000000000003E-2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ssian Segments"/>
      <sheetName val="GAAP Segments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YRI2"/>
      <sheetName val="YRI3"/>
      <sheetName val="YRI4"/>
      <sheetName val="YRI5"/>
      <sheetName val="YRI6"/>
      <sheetName val="YRI7"/>
      <sheetName val="YRI8"/>
      <sheetName val="YRI9"/>
      <sheetName val="YRI10"/>
      <sheetName val="BMU Summary"/>
      <sheetName val="Memo"/>
      <sheetName val="Profit Walk"/>
      <sheetName val="G&amp;A Walk"/>
      <sheetName val="Margin Walk"/>
      <sheetName val="SSSG"/>
    </sheetNames>
    <sheetDataSet>
      <sheetData sheetId="0">
        <row r="26">
          <cell r="E26" t="str">
            <v>Russia_MKT</v>
          </cell>
        </row>
        <row r="27">
          <cell r="H27" t="str">
            <v>RUSSIA$_OTH.RUSSIA$_FRAN</v>
          </cell>
        </row>
        <row r="28">
          <cell r="H28" t="str">
            <v>RUSSIA$_OTH.RUSSIA$_FRAN</v>
          </cell>
        </row>
        <row r="29">
          <cell r="H29" t="str">
            <v>RUSSIA$_TOTEQ.RUSSIA_EQ_LC</v>
          </cell>
        </row>
        <row r="30">
          <cell r="H30" t="str">
            <v>RUSSIA$_OTH.RUSSIA$_FRAN</v>
          </cell>
        </row>
        <row r="31">
          <cell r="H31" t="str">
            <v>RUSSIA$_TOTEQ.RUSSIA_EQ_$</v>
          </cell>
        </row>
        <row r="32">
          <cell r="H32" t="str">
            <v>RUSSIA$_TOTEQ.RUSSIA_EQ_LC</v>
          </cell>
        </row>
        <row r="33">
          <cell r="H33" t="str">
            <v>RUSSIA$_OTH.RUSSIA$_GA</v>
          </cell>
        </row>
        <row r="34">
          <cell r="H34" t="str">
            <v>RUSSIA$_OTH.RUSSIA$_FRAN</v>
          </cell>
        </row>
        <row r="35">
          <cell r="H35" t="str">
            <v>RUSSIA$_OTH.RUSSIA$_FRAN</v>
          </cell>
        </row>
        <row r="36">
          <cell r="H36" t="str">
            <v>RUSSIA$_OTH.RUSSIA$_FRAN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1">
          <cell r="Q31">
            <v>-14093.632529808252</v>
          </cell>
        </row>
      </sheetData>
      <sheetData sheetId="13">
        <row r="1">
          <cell r="C1" t="str">
            <v>Russia_MKT</v>
          </cell>
        </row>
      </sheetData>
      <sheetData sheetId="14">
        <row r="2">
          <cell r="L2" t="str">
            <v>Actual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S34"/>
  <sheetViews>
    <sheetView topLeftCell="A16" zoomScaleNormal="100" workbookViewId="0">
      <selection activeCell="F13" sqref="F13"/>
    </sheetView>
  </sheetViews>
  <sheetFormatPr defaultColWidth="9.1796875" defaultRowHeight="11.5" x14ac:dyDescent="0.25"/>
  <cols>
    <col min="1" max="1" width="2.453125" style="9" customWidth="1"/>
    <col min="2" max="2" width="1.1796875" style="9" customWidth="1"/>
    <col min="3" max="3" width="10.1796875" style="9" bestFit="1" customWidth="1"/>
    <col min="4" max="4" width="0.54296875" style="9" customWidth="1"/>
    <col min="5" max="5" width="20.453125" style="9" customWidth="1"/>
    <col min="6" max="6" width="10.1796875" style="9" customWidth="1"/>
    <col min="7" max="7" width="8.54296875" style="9" bestFit="1" customWidth="1"/>
    <col min="8" max="12" width="10.26953125" style="9" customWidth="1"/>
    <col min="13" max="13" width="2.453125" style="9" customWidth="1"/>
    <col min="14" max="16384" width="9.1796875" style="9"/>
  </cols>
  <sheetData>
    <row r="1" spans="1:16" x14ac:dyDescent="0.25">
      <c r="C1" s="149"/>
      <c r="D1" s="149"/>
      <c r="E1" s="149"/>
      <c r="F1" s="149"/>
      <c r="G1" s="149"/>
      <c r="H1" s="149"/>
      <c r="I1" s="149"/>
      <c r="J1" s="149"/>
      <c r="K1" s="149"/>
      <c r="L1" s="149"/>
    </row>
    <row r="2" spans="1:16" x14ac:dyDescent="0.25">
      <c r="E2" s="45"/>
      <c r="F2" s="45"/>
      <c r="G2" s="45"/>
      <c r="H2" s="45"/>
      <c r="I2" s="45"/>
      <c r="J2" s="45"/>
      <c r="K2" s="45"/>
      <c r="L2" s="45"/>
    </row>
    <row r="3" spans="1:16" ht="12" thickBot="1" x14ac:dyDescent="0.3">
      <c r="C3" s="1"/>
      <c r="D3" s="2"/>
      <c r="E3" s="2"/>
      <c r="F3" s="2"/>
      <c r="G3" s="3"/>
      <c r="H3" s="3" t="s">
        <v>0</v>
      </c>
      <c r="I3" s="3" t="s">
        <v>1</v>
      </c>
      <c r="J3" s="3" t="s">
        <v>2</v>
      </c>
      <c r="K3" s="3" t="s">
        <v>3</v>
      </c>
      <c r="L3" s="3" t="s">
        <v>4</v>
      </c>
    </row>
    <row r="4" spans="1:16" ht="12" thickBot="1" x14ac:dyDescent="0.3">
      <c r="C4" s="4" t="s">
        <v>5</v>
      </c>
      <c r="D4" s="5"/>
      <c r="E4" s="6" t="s">
        <v>6</v>
      </c>
      <c r="F4" s="7" t="s">
        <v>7</v>
      </c>
      <c r="G4" s="4" t="s">
        <v>59</v>
      </c>
      <c r="H4" s="55">
        <v>1</v>
      </c>
      <c r="I4" s="56">
        <v>2</v>
      </c>
      <c r="J4" s="57">
        <v>3</v>
      </c>
      <c r="K4" s="57">
        <v>4</v>
      </c>
      <c r="L4" s="58">
        <v>5</v>
      </c>
      <c r="M4" s="8"/>
    </row>
    <row r="5" spans="1:16" ht="3.65" customHeight="1" thickBot="1" x14ac:dyDescent="0.3">
      <c r="C5" s="10"/>
      <c r="D5" s="5"/>
      <c r="E5" s="11"/>
      <c r="F5" s="11"/>
      <c r="G5" s="12"/>
      <c r="H5" s="11"/>
      <c r="I5" s="11"/>
      <c r="J5" s="11"/>
      <c r="K5" s="12"/>
      <c r="L5" s="12"/>
      <c r="M5" s="8"/>
    </row>
    <row r="6" spans="1:16" ht="12" thickBot="1" x14ac:dyDescent="0.3">
      <c r="A6" s="138"/>
      <c r="C6" s="139" t="s">
        <v>8</v>
      </c>
      <c r="D6" s="5"/>
      <c r="E6" s="13"/>
      <c r="F6" s="14">
        <v>0.1</v>
      </c>
      <c r="G6" s="15"/>
      <c r="H6" s="16"/>
      <c r="I6" s="17"/>
      <c r="J6" s="18"/>
      <c r="K6" s="18"/>
      <c r="L6" s="19"/>
      <c r="M6" s="8"/>
    </row>
    <row r="7" spans="1:16" ht="9.65" customHeight="1" x14ac:dyDescent="0.25">
      <c r="A7" s="138"/>
      <c r="C7" s="140"/>
      <c r="D7" s="5"/>
      <c r="E7" s="130" t="s">
        <v>9</v>
      </c>
      <c r="F7" s="132">
        <v>0.1</v>
      </c>
      <c r="G7" s="150">
        <v>0.7</v>
      </c>
      <c r="H7" s="20" t="s">
        <v>10</v>
      </c>
      <c r="I7" s="21" t="s">
        <v>11</v>
      </c>
      <c r="J7" s="21" t="s">
        <v>12</v>
      </c>
      <c r="K7" s="21" t="s">
        <v>13</v>
      </c>
      <c r="L7" s="22" t="s">
        <v>14</v>
      </c>
      <c r="M7" s="8"/>
      <c r="P7" s="46"/>
    </row>
    <row r="8" spans="1:16" ht="13.4" customHeight="1" thickBot="1" x14ac:dyDescent="0.3">
      <c r="A8" s="138"/>
      <c r="C8" s="140"/>
      <c r="D8" s="5"/>
      <c r="E8" s="131"/>
      <c r="F8" s="133"/>
      <c r="G8" s="151"/>
      <c r="H8" s="23"/>
      <c r="I8" s="24"/>
      <c r="J8" s="25">
        <f>J$31*$F7</f>
        <v>3500</v>
      </c>
      <c r="K8" s="25">
        <f>K$31*$F7</f>
        <v>4250</v>
      </c>
      <c r="L8" s="53">
        <f>L$31*$F7</f>
        <v>5000</v>
      </c>
      <c r="M8" s="8"/>
      <c r="O8" s="47"/>
    </row>
    <row r="9" spans="1:16" ht="5.5" customHeight="1" thickBot="1" x14ac:dyDescent="0.3">
      <c r="C9" s="10"/>
      <c r="D9" s="5"/>
      <c r="E9" s="10"/>
      <c r="F9" s="11"/>
      <c r="G9" s="12"/>
      <c r="H9" s="11"/>
      <c r="I9" s="11"/>
      <c r="J9" s="11"/>
      <c r="K9" s="11"/>
      <c r="L9" s="12"/>
      <c r="M9" s="8"/>
    </row>
    <row r="10" spans="1:16" ht="12" thickBot="1" x14ac:dyDescent="0.3">
      <c r="A10" s="138"/>
      <c r="C10" s="141" t="s">
        <v>15</v>
      </c>
      <c r="D10" s="5"/>
      <c r="E10" s="13"/>
      <c r="F10" s="14">
        <v>0.15</v>
      </c>
      <c r="G10" s="15"/>
      <c r="H10" s="16"/>
      <c r="I10" s="17"/>
      <c r="J10" s="18"/>
      <c r="K10" s="18"/>
      <c r="L10" s="19"/>
      <c r="M10" s="8"/>
    </row>
    <row r="11" spans="1:16" ht="25.4" customHeight="1" x14ac:dyDescent="0.25">
      <c r="A11" s="138"/>
      <c r="C11" s="142"/>
      <c r="D11" s="5"/>
      <c r="E11" s="130" t="s">
        <v>37</v>
      </c>
      <c r="F11" s="132">
        <v>0.15</v>
      </c>
      <c r="G11" s="118" t="s">
        <v>16</v>
      </c>
      <c r="H11" s="111"/>
      <c r="I11" s="112"/>
      <c r="J11" s="115"/>
      <c r="K11" s="116"/>
      <c r="L11" s="117" t="s">
        <v>17</v>
      </c>
      <c r="M11" s="8"/>
    </row>
    <row r="12" spans="1:16" ht="12" thickBot="1" x14ac:dyDescent="0.3">
      <c r="A12" s="138"/>
      <c r="C12" s="143"/>
      <c r="D12" s="5"/>
      <c r="E12" s="131"/>
      <c r="F12" s="133"/>
      <c r="G12" s="148"/>
      <c r="H12" s="110"/>
      <c r="I12" s="113"/>
      <c r="J12" s="114"/>
      <c r="K12" s="25"/>
      <c r="L12" s="53">
        <f>L$31*$F11</f>
        <v>7500</v>
      </c>
      <c r="M12" s="8"/>
      <c r="O12" s="47"/>
      <c r="P12" s="47"/>
    </row>
    <row r="13" spans="1:16" ht="5.5" customHeight="1" thickBot="1" x14ac:dyDescent="0.3">
      <c r="C13" s="10"/>
      <c r="D13" s="5"/>
      <c r="E13" s="10"/>
      <c r="F13" s="11"/>
      <c r="G13" s="12"/>
      <c r="H13" s="11"/>
      <c r="I13" s="11"/>
      <c r="J13" s="11"/>
      <c r="K13" s="11"/>
      <c r="L13" s="12"/>
      <c r="M13" s="8"/>
      <c r="O13" s="47"/>
      <c r="P13" s="47"/>
    </row>
    <row r="14" spans="1:16" ht="12" thickBot="1" x14ac:dyDescent="0.3">
      <c r="A14" s="138"/>
      <c r="C14" s="139" t="s">
        <v>18</v>
      </c>
      <c r="D14" s="5"/>
      <c r="E14" s="13"/>
      <c r="F14" s="14">
        <v>0.55000000000000004</v>
      </c>
      <c r="G14" s="15"/>
      <c r="H14" s="16"/>
      <c r="I14" s="17"/>
      <c r="J14" s="18"/>
      <c r="K14" s="18"/>
      <c r="L14" s="19"/>
      <c r="M14" s="8"/>
    </row>
    <row r="15" spans="1:16" x14ac:dyDescent="0.25">
      <c r="A15" s="138"/>
      <c r="C15" s="140"/>
      <c r="D15" s="5"/>
      <c r="E15" s="130" t="s">
        <v>19</v>
      </c>
      <c r="F15" s="132">
        <v>0.1</v>
      </c>
      <c r="G15" s="128" t="s">
        <v>60</v>
      </c>
      <c r="H15" s="26" t="s">
        <v>41</v>
      </c>
      <c r="I15" s="27" t="s">
        <v>64</v>
      </c>
      <c r="J15" s="27" t="s">
        <v>61</v>
      </c>
      <c r="K15" s="27" t="s">
        <v>62</v>
      </c>
      <c r="L15" s="28" t="s">
        <v>63</v>
      </c>
      <c r="M15" s="8"/>
    </row>
    <row r="16" spans="1:16" ht="12" thickBot="1" x14ac:dyDescent="0.3">
      <c r="A16" s="138"/>
      <c r="C16" s="140"/>
      <c r="D16" s="5"/>
      <c r="E16" s="131"/>
      <c r="F16" s="133"/>
      <c r="G16" s="129"/>
      <c r="H16" s="104"/>
      <c r="I16" s="105"/>
      <c r="J16" s="106">
        <f>J31*$F$15</f>
        <v>3500</v>
      </c>
      <c r="K16" s="106">
        <f>K31*$F$15</f>
        <v>4250</v>
      </c>
      <c r="L16" s="107">
        <f>L31*$F$15</f>
        <v>5000</v>
      </c>
      <c r="M16" s="8"/>
      <c r="O16" s="47"/>
    </row>
    <row r="17" spans="1:19" ht="28.4" customHeight="1" x14ac:dyDescent="0.25">
      <c r="A17" s="138"/>
      <c r="C17" s="140"/>
      <c r="D17" s="5"/>
      <c r="E17" s="144" t="s">
        <v>48</v>
      </c>
      <c r="F17" s="146">
        <v>0.05</v>
      </c>
      <c r="G17" s="134" t="s">
        <v>50</v>
      </c>
      <c r="H17" s="108"/>
      <c r="I17" s="109"/>
      <c r="J17" s="109"/>
      <c r="K17" s="109"/>
      <c r="L17" s="28" t="s">
        <v>16</v>
      </c>
      <c r="M17" s="8"/>
      <c r="O17" s="47"/>
    </row>
    <row r="18" spans="1:19" ht="12" thickBot="1" x14ac:dyDescent="0.3">
      <c r="A18" s="138"/>
      <c r="C18" s="140"/>
      <c r="D18" s="5"/>
      <c r="E18" s="145"/>
      <c r="F18" s="147"/>
      <c r="G18" s="135"/>
      <c r="H18" s="23"/>
      <c r="I18" s="24"/>
      <c r="J18" s="25"/>
      <c r="K18" s="25"/>
      <c r="L18" s="53">
        <f>L31*$F$17</f>
        <v>2500</v>
      </c>
      <c r="M18" s="8"/>
      <c r="O18" s="47"/>
    </row>
    <row r="19" spans="1:19" ht="13.4" customHeight="1" x14ac:dyDescent="0.25">
      <c r="A19" s="138"/>
      <c r="C19" s="140"/>
      <c r="D19" s="5"/>
      <c r="E19" s="144" t="s">
        <v>49</v>
      </c>
      <c r="F19" s="146">
        <v>0.05</v>
      </c>
      <c r="G19" s="136" t="s">
        <v>65</v>
      </c>
      <c r="H19" s="87" t="s">
        <v>58</v>
      </c>
      <c r="I19" s="88" t="s">
        <v>57</v>
      </c>
      <c r="J19" s="88" t="s">
        <v>54</v>
      </c>
      <c r="K19" s="88" t="s">
        <v>55</v>
      </c>
      <c r="L19" s="85" t="s">
        <v>56</v>
      </c>
      <c r="M19" s="8"/>
      <c r="O19" s="47"/>
    </row>
    <row r="20" spans="1:19" ht="13.75" customHeight="1" thickBot="1" x14ac:dyDescent="0.3">
      <c r="A20" s="138"/>
      <c r="C20" s="140"/>
      <c r="D20" s="5"/>
      <c r="E20" s="145"/>
      <c r="F20" s="147"/>
      <c r="G20" s="137"/>
      <c r="H20" s="23"/>
      <c r="I20" s="24"/>
      <c r="J20" s="25">
        <f>J$31*$F19</f>
        <v>1750</v>
      </c>
      <c r="K20" s="25">
        <f>K$31*$F19</f>
        <v>2125</v>
      </c>
      <c r="L20" s="53">
        <f>L$31*$F19</f>
        <v>2500</v>
      </c>
      <c r="M20" s="8"/>
      <c r="O20" s="47"/>
    </row>
    <row r="21" spans="1:19" ht="23" x14ac:dyDescent="0.25">
      <c r="A21" s="138"/>
      <c r="C21" s="140"/>
      <c r="D21" s="5"/>
      <c r="E21" s="130" t="s">
        <v>20</v>
      </c>
      <c r="F21" s="132">
        <v>0.35</v>
      </c>
      <c r="G21" s="134">
        <v>1</v>
      </c>
      <c r="H21" s="100" t="s">
        <v>21</v>
      </c>
      <c r="I21" s="101" t="s">
        <v>22</v>
      </c>
      <c r="J21" s="102" t="s">
        <v>23</v>
      </c>
      <c r="K21" s="102" t="s">
        <v>24</v>
      </c>
      <c r="L21" s="103" t="s">
        <v>25</v>
      </c>
      <c r="M21" s="8"/>
    </row>
    <row r="22" spans="1:19" ht="12" thickBot="1" x14ac:dyDescent="0.3">
      <c r="A22" s="138"/>
      <c r="C22" s="140"/>
      <c r="D22" s="5"/>
      <c r="E22" s="131"/>
      <c r="F22" s="133"/>
      <c r="G22" s="135"/>
      <c r="H22" s="23"/>
      <c r="I22" s="24"/>
      <c r="J22" s="25">
        <f>J$31*$F21</f>
        <v>12250</v>
      </c>
      <c r="K22" s="25">
        <f>K$31*$F21</f>
        <v>14874.999999999998</v>
      </c>
      <c r="L22" s="53">
        <f>L$31*$F21</f>
        <v>17500</v>
      </c>
      <c r="M22" s="8"/>
      <c r="O22" s="47"/>
    </row>
    <row r="23" spans="1:19" ht="4.75" customHeight="1" thickBot="1" x14ac:dyDescent="0.3">
      <c r="C23" s="10"/>
      <c r="D23" s="5"/>
      <c r="E23" s="10"/>
      <c r="F23" s="11"/>
      <c r="G23" s="12"/>
      <c r="H23" s="11"/>
      <c r="I23" s="11"/>
      <c r="J23" s="11"/>
      <c r="K23" s="11"/>
      <c r="L23" s="12"/>
      <c r="M23" s="8"/>
    </row>
    <row r="24" spans="1:19" ht="12" thickBot="1" x14ac:dyDescent="0.3">
      <c r="A24" s="138"/>
      <c r="C24" s="139" t="s">
        <v>26</v>
      </c>
      <c r="D24" s="5"/>
      <c r="E24" s="13"/>
      <c r="F24" s="14">
        <f>F25</f>
        <v>0.2</v>
      </c>
      <c r="G24" s="29"/>
      <c r="H24" s="30"/>
      <c r="I24" s="31"/>
      <c r="J24" s="32"/>
      <c r="K24" s="32"/>
      <c r="L24" s="33"/>
      <c r="M24" s="8"/>
      <c r="Q24" s="25"/>
      <c r="R24" s="25"/>
      <c r="S24" s="53"/>
    </row>
    <row r="25" spans="1:19" x14ac:dyDescent="0.25">
      <c r="A25" s="138"/>
      <c r="C25" s="140"/>
      <c r="D25" s="5"/>
      <c r="E25" s="130" t="s">
        <v>27</v>
      </c>
      <c r="F25" s="132">
        <v>0.2</v>
      </c>
      <c r="G25" s="118" t="s">
        <v>28</v>
      </c>
      <c r="H25" s="34" t="s">
        <v>29</v>
      </c>
      <c r="I25" s="35" t="s">
        <v>30</v>
      </c>
      <c r="J25" s="35" t="s">
        <v>31</v>
      </c>
      <c r="K25" s="35" t="s">
        <v>32</v>
      </c>
      <c r="L25" s="36" t="s">
        <v>33</v>
      </c>
      <c r="M25" s="8"/>
      <c r="O25" s="47"/>
      <c r="P25" s="47"/>
    </row>
    <row r="26" spans="1:19" ht="12" thickBot="1" x14ac:dyDescent="0.3">
      <c r="A26" s="138"/>
      <c r="C26" s="140"/>
      <c r="D26" s="5"/>
      <c r="E26" s="131"/>
      <c r="F26" s="133"/>
      <c r="G26" s="119"/>
      <c r="H26" s="23"/>
      <c r="I26" s="24"/>
      <c r="J26" s="25">
        <f>J$31*$F25</f>
        <v>7000</v>
      </c>
      <c r="K26" s="25">
        <f>K$31*$F25</f>
        <v>8500</v>
      </c>
      <c r="L26" s="25">
        <f>L$31*$F25</f>
        <v>10000</v>
      </c>
      <c r="M26" s="8"/>
      <c r="O26" s="48"/>
      <c r="P26" s="48"/>
    </row>
    <row r="27" spans="1:19" ht="3.65" customHeight="1" thickBot="1" x14ac:dyDescent="0.3">
      <c r="C27" s="10"/>
      <c r="D27" s="5"/>
      <c r="E27" s="11"/>
      <c r="F27" s="11"/>
      <c r="G27" s="12"/>
      <c r="H27" s="11"/>
      <c r="I27" s="11"/>
      <c r="J27" s="11"/>
      <c r="K27" s="12"/>
      <c r="L27" s="12"/>
      <c r="M27" s="8"/>
    </row>
    <row r="28" spans="1:19" ht="13.4" customHeight="1" x14ac:dyDescent="0.25">
      <c r="C28" s="120"/>
      <c r="D28" s="5"/>
      <c r="E28" s="122" t="s">
        <v>34</v>
      </c>
      <c r="F28" s="124">
        <f>F6+F10+F14+F24</f>
        <v>1</v>
      </c>
      <c r="G28" s="126"/>
      <c r="H28" s="37" t="s">
        <v>0</v>
      </c>
      <c r="I28" s="38" t="s">
        <v>1</v>
      </c>
      <c r="J28" s="39" t="s">
        <v>2</v>
      </c>
      <c r="K28" s="39" t="s">
        <v>3</v>
      </c>
      <c r="L28" s="40" t="s">
        <v>4</v>
      </c>
      <c r="M28" s="8"/>
    </row>
    <row r="29" spans="1:19" ht="11.5" customHeight="1" thickBot="1" x14ac:dyDescent="0.3">
      <c r="C29" s="121"/>
      <c r="D29" s="5"/>
      <c r="E29" s="123"/>
      <c r="F29" s="125"/>
      <c r="G29" s="127"/>
      <c r="H29" s="41"/>
      <c r="I29" s="42"/>
      <c r="J29" s="43"/>
      <c r="K29" s="43"/>
      <c r="L29" s="54"/>
      <c r="M29" s="8"/>
    </row>
    <row r="30" spans="1:19" x14ac:dyDescent="0.25">
      <c r="C30" s="5"/>
      <c r="D30" s="5"/>
      <c r="E30" s="5"/>
      <c r="F30" s="5"/>
      <c r="G30" s="8"/>
      <c r="H30" s="8"/>
      <c r="I30" s="8"/>
      <c r="J30" s="52"/>
      <c r="K30" s="8"/>
      <c r="L30" s="8"/>
      <c r="M30" s="8"/>
    </row>
    <row r="31" spans="1:19" x14ac:dyDescent="0.25">
      <c r="C31" s="5"/>
      <c r="D31" s="5"/>
      <c r="E31" s="50"/>
      <c r="F31" s="5"/>
      <c r="G31" s="8"/>
      <c r="H31" s="5"/>
      <c r="I31" s="5"/>
      <c r="J31" s="59">
        <v>35000</v>
      </c>
      <c r="K31" s="59">
        <v>42500</v>
      </c>
      <c r="L31" s="59">
        <v>50000</v>
      </c>
      <c r="M31" s="8"/>
    </row>
    <row r="32" spans="1:19" x14ac:dyDescent="0.25">
      <c r="C32" s="44"/>
      <c r="D32" s="5"/>
      <c r="E32" s="9" t="s">
        <v>35</v>
      </c>
      <c r="F32" s="5"/>
      <c r="G32" s="8"/>
      <c r="H32" s="5"/>
      <c r="I32" s="5"/>
      <c r="J32" s="51"/>
      <c r="K32" s="51"/>
      <c r="L32" s="51"/>
      <c r="M32" s="8"/>
      <c r="N32" s="49"/>
    </row>
    <row r="33" spans="3:13" x14ac:dyDescent="0.25">
      <c r="C33" s="8"/>
      <c r="D33" s="8"/>
      <c r="E33" s="9" t="s">
        <v>36</v>
      </c>
      <c r="F33" s="5"/>
      <c r="G33" s="8"/>
      <c r="H33" s="8"/>
      <c r="I33" s="8"/>
      <c r="J33" s="52"/>
      <c r="K33" s="52"/>
      <c r="L33" s="52"/>
      <c r="M33" s="52"/>
    </row>
    <row r="34" spans="3:13" x14ac:dyDescent="0.25">
      <c r="F34" s="2"/>
    </row>
  </sheetData>
  <mergeCells count="34">
    <mergeCell ref="G11:G12"/>
    <mergeCell ref="C1:L1"/>
    <mergeCell ref="A6:A8"/>
    <mergeCell ref="C6:C8"/>
    <mergeCell ref="E7:E8"/>
    <mergeCell ref="F7:F8"/>
    <mergeCell ref="G7:G8"/>
    <mergeCell ref="A24:A26"/>
    <mergeCell ref="C24:C26"/>
    <mergeCell ref="E25:E26"/>
    <mergeCell ref="F25:F26"/>
    <mergeCell ref="A10:A12"/>
    <mergeCell ref="C10:C12"/>
    <mergeCell ref="E11:E12"/>
    <mergeCell ref="F11:F12"/>
    <mergeCell ref="E17:E18"/>
    <mergeCell ref="F17:F18"/>
    <mergeCell ref="E19:E20"/>
    <mergeCell ref="F19:F20"/>
    <mergeCell ref="A14:A22"/>
    <mergeCell ref="C14:C22"/>
    <mergeCell ref="E15:E16"/>
    <mergeCell ref="F15:F16"/>
    <mergeCell ref="G15:G16"/>
    <mergeCell ref="E21:E22"/>
    <mergeCell ref="F21:F22"/>
    <mergeCell ref="G21:G22"/>
    <mergeCell ref="G17:G18"/>
    <mergeCell ref="G19:G20"/>
    <mergeCell ref="G25:G26"/>
    <mergeCell ref="C28:C29"/>
    <mergeCell ref="E28:E29"/>
    <mergeCell ref="F28:F29"/>
    <mergeCell ref="G28:G29"/>
  </mergeCells>
  <conditionalFormatting sqref="G28:L28 C28 E28:F29 C14 E14:L14 C10 E10:L10 C6 E6:L6 C4 E4:L4 E24:L24 C24">
    <cfRule type="expression" dxfId="62" priority="108">
      <formula>$C$3="RGM"</formula>
    </cfRule>
  </conditionalFormatting>
  <conditionalFormatting sqref="G28:L28 C28:C29 E28:F29 E14:L14 E10:L10 E6:L6 C4 E4:L4 E24:L24 C6:C8 C10 C14:C22 C24:C26">
    <cfRule type="expression" dxfId="61" priority="107">
      <formula>$C$3="Total"</formula>
    </cfRule>
  </conditionalFormatting>
  <conditionalFormatting sqref="C28:C29 G28:L28 E28:F29 E14:L14 E10:L10 E6:L6 C4 E4:L4 E24:L24 C6:C8 C10 C14:C22 C24:C26">
    <cfRule type="expression" dxfId="60" priority="106">
      <formula>$C$3="AC"</formula>
    </cfRule>
  </conditionalFormatting>
  <conditionalFormatting sqref="H8:L8">
    <cfRule type="expression" dxfId="59" priority="105">
      <formula>$C$3="RGM"</formula>
    </cfRule>
  </conditionalFormatting>
  <conditionalFormatting sqref="H8:L8">
    <cfRule type="expression" dxfId="58" priority="104">
      <formula>$C$3="Total"</formula>
    </cfRule>
  </conditionalFormatting>
  <conditionalFormatting sqref="H16:L16">
    <cfRule type="expression" dxfId="57" priority="103">
      <formula>$C$3="RGM"</formula>
    </cfRule>
  </conditionalFormatting>
  <conditionalFormatting sqref="H16:L16">
    <cfRule type="expression" dxfId="56" priority="102">
      <formula>$C$3="Total"</formula>
    </cfRule>
  </conditionalFormatting>
  <conditionalFormatting sqref="H22:I22">
    <cfRule type="expression" dxfId="55" priority="101">
      <formula>$C$3="RGM"</formula>
    </cfRule>
  </conditionalFormatting>
  <conditionalFormatting sqref="H22:I22">
    <cfRule type="expression" dxfId="54" priority="100">
      <formula>$C$3="Total"</formula>
    </cfRule>
  </conditionalFormatting>
  <conditionalFormatting sqref="H26:I26">
    <cfRule type="expression" dxfId="53" priority="99">
      <formula>$C$3="RGM"</formula>
    </cfRule>
  </conditionalFormatting>
  <conditionalFormatting sqref="H26:I26">
    <cfRule type="expression" dxfId="52" priority="98">
      <formula>$C$3="Total"</formula>
    </cfRule>
  </conditionalFormatting>
  <conditionalFormatting sqref="H29:I29">
    <cfRule type="expression" dxfId="51" priority="97">
      <formula>$C$3="RGM"</formula>
    </cfRule>
  </conditionalFormatting>
  <conditionalFormatting sqref="H29:I29">
    <cfRule type="expression" dxfId="50" priority="96">
      <formula>$C$3="Total"</formula>
    </cfRule>
  </conditionalFormatting>
  <conditionalFormatting sqref="H11:L11">
    <cfRule type="expression" dxfId="49" priority="95">
      <formula>$C$3="RGM"</formula>
    </cfRule>
  </conditionalFormatting>
  <conditionalFormatting sqref="H11:L11">
    <cfRule type="expression" dxfId="48" priority="94">
      <formula>$C$3="Total"</formula>
    </cfRule>
  </conditionalFormatting>
  <conditionalFormatting sqref="G15">
    <cfRule type="expression" dxfId="47" priority="91">
      <formula>$C$3="RGM"</formula>
    </cfRule>
  </conditionalFormatting>
  <conditionalFormatting sqref="G15">
    <cfRule type="expression" dxfId="46" priority="90">
      <formula>$C$3="Total"</formula>
    </cfRule>
  </conditionalFormatting>
  <conditionalFormatting sqref="J29:L29">
    <cfRule type="expression" dxfId="45" priority="89">
      <formula>$C$3="RGM"</formula>
    </cfRule>
  </conditionalFormatting>
  <conditionalFormatting sqref="J29:L29">
    <cfRule type="expression" dxfId="44" priority="88">
      <formula>$C$3="Total"</formula>
    </cfRule>
  </conditionalFormatting>
  <conditionalFormatting sqref="J22:L22">
    <cfRule type="expression" dxfId="43" priority="22">
      <formula>$C$3="RGM"</formula>
    </cfRule>
  </conditionalFormatting>
  <conditionalFormatting sqref="J22:L22">
    <cfRule type="expression" dxfId="42" priority="21">
      <formula>$C$3="Total"</formula>
    </cfRule>
  </conditionalFormatting>
  <conditionalFormatting sqref="J26:L26">
    <cfRule type="expression" dxfId="41" priority="20">
      <formula>$C$3="RGM"</formula>
    </cfRule>
  </conditionalFormatting>
  <conditionalFormatting sqref="J26:L26">
    <cfRule type="expression" dxfId="40" priority="19">
      <formula>$C$3="Total"</formula>
    </cfRule>
  </conditionalFormatting>
  <conditionalFormatting sqref="Q24:S24">
    <cfRule type="expression" dxfId="39" priority="17">
      <formula>$C$3="Total"</formula>
    </cfRule>
  </conditionalFormatting>
  <conditionalFormatting sqref="Q24:S24">
    <cfRule type="expression" dxfId="38" priority="18">
      <formula>$C$3="RGM"</formula>
    </cfRule>
  </conditionalFormatting>
  <conditionalFormatting sqref="L17">
    <cfRule type="expression" dxfId="37" priority="16">
      <formula>$C$3="RGM"</formula>
    </cfRule>
  </conditionalFormatting>
  <conditionalFormatting sqref="L17">
    <cfRule type="expression" dxfId="36" priority="15">
      <formula>$C$3="Total"</formula>
    </cfRule>
  </conditionalFormatting>
  <conditionalFormatting sqref="H18:L18">
    <cfRule type="expression" dxfId="35" priority="6">
      <formula>$C$3="RGM"</formula>
    </cfRule>
  </conditionalFormatting>
  <conditionalFormatting sqref="H18:L18">
    <cfRule type="expression" dxfId="34" priority="5">
      <formula>$C$3="Total"</formula>
    </cfRule>
  </conditionalFormatting>
  <conditionalFormatting sqref="H12:L12">
    <cfRule type="expression" dxfId="33" priority="4">
      <formula>$C$3="RGM"</formula>
    </cfRule>
  </conditionalFormatting>
  <conditionalFormatting sqref="H12:L12">
    <cfRule type="expression" dxfId="32" priority="3">
      <formula>$C$3="Total"</formula>
    </cfRule>
  </conditionalFormatting>
  <conditionalFormatting sqref="H20:L20">
    <cfRule type="expression" dxfId="31" priority="2">
      <formula>$C$3="RGM"</formula>
    </cfRule>
  </conditionalFormatting>
  <conditionalFormatting sqref="H20:L20">
    <cfRule type="expression" dxfId="30" priority="1">
      <formula>$C$3="Total"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35"/>
  <sheetViews>
    <sheetView tabSelected="1" zoomScaleNormal="100" workbookViewId="0">
      <selection activeCell="F21" sqref="F21:F22"/>
    </sheetView>
  </sheetViews>
  <sheetFormatPr defaultColWidth="8.81640625" defaultRowHeight="11.5" x14ac:dyDescent="0.25"/>
  <cols>
    <col min="1" max="1" width="6.453125" style="60" customWidth="1"/>
    <col min="2" max="2" width="0.453125" style="60" customWidth="1"/>
    <col min="3" max="3" width="10.1796875" style="60" bestFit="1" customWidth="1"/>
    <col min="4" max="4" width="19.81640625" style="60" bestFit="1" customWidth="1"/>
    <col min="5" max="5" width="6.1796875" style="60" bestFit="1" customWidth="1"/>
    <col min="6" max="6" width="8.54296875" style="60" customWidth="1"/>
    <col min="7" max="7" width="8.08984375" style="60" customWidth="1"/>
    <col min="8" max="8" width="9.453125" style="60" bestFit="1" customWidth="1"/>
    <col min="9" max="9" width="11" style="60" bestFit="1" customWidth="1"/>
    <col min="10" max="10" width="10.1796875" style="60" bestFit="1" customWidth="1"/>
    <col min="11" max="11" width="7.1796875" style="60" bestFit="1" customWidth="1"/>
    <col min="12" max="13" width="8.81640625" style="60"/>
    <col min="14" max="14" width="9.453125" style="60" bestFit="1" customWidth="1"/>
    <col min="15" max="16384" width="8.81640625" style="60"/>
  </cols>
  <sheetData>
    <row r="1" spans="1:15" x14ac:dyDescent="0.25">
      <c r="C1" s="152"/>
      <c r="D1" s="152"/>
      <c r="E1" s="152"/>
      <c r="F1" s="152"/>
      <c r="G1" s="152"/>
      <c r="H1" s="152"/>
      <c r="I1" s="152"/>
      <c r="J1" s="152"/>
      <c r="K1" s="152"/>
    </row>
    <row r="3" spans="1:15" x14ac:dyDescent="0.25">
      <c r="C3" s="61"/>
      <c r="F3" s="62"/>
      <c r="G3" s="62" t="s">
        <v>0</v>
      </c>
      <c r="H3" s="62" t="s">
        <v>1</v>
      </c>
      <c r="I3" s="62" t="s">
        <v>2</v>
      </c>
      <c r="J3" s="62" t="s">
        <v>3</v>
      </c>
      <c r="K3" s="62" t="s">
        <v>4</v>
      </c>
      <c r="N3" s="63"/>
    </row>
    <row r="4" spans="1:15" s="64" customFormat="1" ht="12" thickBot="1" x14ac:dyDescent="0.3">
      <c r="A4" s="60"/>
      <c r="C4" s="4" t="s">
        <v>5</v>
      </c>
      <c r="D4" s="6" t="s">
        <v>6</v>
      </c>
      <c r="E4" s="7" t="s">
        <v>7</v>
      </c>
      <c r="F4" s="4" t="s">
        <v>59</v>
      </c>
      <c r="G4" s="6">
        <v>1</v>
      </c>
      <c r="H4" s="65">
        <v>2</v>
      </c>
      <c r="I4" s="66">
        <v>3</v>
      </c>
      <c r="J4" s="66">
        <v>4</v>
      </c>
      <c r="K4" s="7">
        <v>5</v>
      </c>
      <c r="L4" s="60"/>
      <c r="M4" s="60"/>
      <c r="N4" s="63"/>
      <c r="O4" s="60"/>
    </row>
    <row r="5" spans="1:15" s="64" customFormat="1" ht="7.4" customHeight="1" thickBot="1" x14ac:dyDescent="0.3">
      <c r="A5" s="60"/>
      <c r="C5" s="67"/>
      <c r="D5" s="68"/>
      <c r="E5" s="68"/>
      <c r="F5" s="69"/>
      <c r="G5" s="68"/>
      <c r="H5" s="68"/>
      <c r="I5" s="68"/>
      <c r="J5" s="69"/>
      <c r="K5" s="69"/>
      <c r="L5" s="60"/>
      <c r="M5" s="60"/>
      <c r="N5" s="63"/>
      <c r="O5" s="60"/>
    </row>
    <row r="6" spans="1:15" ht="12" thickBot="1" x14ac:dyDescent="0.3">
      <c r="A6" s="153"/>
      <c r="B6" s="64"/>
      <c r="C6" s="154" t="s">
        <v>8</v>
      </c>
      <c r="D6" s="70"/>
      <c r="E6" s="71">
        <v>0.1</v>
      </c>
      <c r="F6" s="72"/>
      <c r="G6" s="73"/>
      <c r="H6" s="74"/>
      <c r="I6" s="75"/>
      <c r="J6" s="75"/>
      <c r="K6" s="76"/>
      <c r="N6" s="63"/>
    </row>
    <row r="7" spans="1:15" x14ac:dyDescent="0.25">
      <c r="A7" s="153"/>
      <c r="B7" s="64"/>
      <c r="C7" s="155"/>
      <c r="D7" s="144" t="s">
        <v>9</v>
      </c>
      <c r="E7" s="146">
        <v>0.1</v>
      </c>
      <c r="F7" s="156">
        <v>0.7</v>
      </c>
      <c r="G7" s="20" t="s">
        <v>10</v>
      </c>
      <c r="H7" s="21" t="s">
        <v>11</v>
      </c>
      <c r="I7" s="21" t="s">
        <v>12</v>
      </c>
      <c r="J7" s="21" t="s">
        <v>13</v>
      </c>
      <c r="K7" s="22" t="s">
        <v>14</v>
      </c>
      <c r="N7" s="63"/>
    </row>
    <row r="8" spans="1:15" ht="12" thickBot="1" x14ac:dyDescent="0.3">
      <c r="A8" s="153"/>
      <c r="B8" s="64"/>
      <c r="C8" s="155"/>
      <c r="D8" s="145"/>
      <c r="E8" s="147"/>
      <c r="F8" s="157"/>
      <c r="G8" s="77"/>
      <c r="H8" s="78"/>
      <c r="I8" s="79"/>
      <c r="J8" s="79"/>
      <c r="K8" s="79"/>
      <c r="N8" s="80"/>
    </row>
    <row r="9" spans="1:15" ht="8.15" customHeight="1" thickBot="1" x14ac:dyDescent="0.3">
      <c r="B9" s="64"/>
      <c r="C9" s="81"/>
      <c r="D9" s="67"/>
      <c r="E9" s="68"/>
      <c r="F9" s="69"/>
      <c r="G9" s="68"/>
      <c r="H9" s="68"/>
      <c r="I9" s="68"/>
      <c r="J9" s="68"/>
      <c r="K9" s="69"/>
      <c r="N9" s="63"/>
    </row>
    <row r="10" spans="1:15" ht="12" thickBot="1" x14ac:dyDescent="0.3">
      <c r="A10" s="153"/>
      <c r="B10" s="64"/>
      <c r="C10" s="154" t="s">
        <v>15</v>
      </c>
      <c r="D10" s="70"/>
      <c r="E10" s="71">
        <v>0.15</v>
      </c>
      <c r="F10" s="72"/>
      <c r="G10" s="73"/>
      <c r="H10" s="74"/>
      <c r="I10" s="75"/>
      <c r="J10" s="75"/>
      <c r="K10" s="76"/>
      <c r="N10" s="63"/>
    </row>
    <row r="11" spans="1:15" x14ac:dyDescent="0.25">
      <c r="A11" s="153"/>
      <c r="B11" s="64"/>
      <c r="C11" s="155"/>
      <c r="D11" s="130" t="s">
        <v>42</v>
      </c>
      <c r="E11" s="146">
        <v>0.15</v>
      </c>
      <c r="F11" s="158" t="s">
        <v>45</v>
      </c>
      <c r="G11" s="82" t="s">
        <v>47</v>
      </c>
      <c r="H11" s="83" t="s">
        <v>46</v>
      </c>
      <c r="I11" s="84" t="s">
        <v>43</v>
      </c>
      <c r="J11" s="83" t="s">
        <v>44</v>
      </c>
      <c r="K11" s="85" t="s">
        <v>38</v>
      </c>
      <c r="N11" s="63"/>
    </row>
    <row r="12" spans="1:15" ht="12" thickBot="1" x14ac:dyDescent="0.3">
      <c r="A12" s="153"/>
      <c r="B12" s="64"/>
      <c r="C12" s="155"/>
      <c r="D12" s="131"/>
      <c r="E12" s="147"/>
      <c r="F12" s="159"/>
      <c r="G12" s="77"/>
      <c r="H12" s="78"/>
      <c r="I12" s="78"/>
      <c r="J12" s="78"/>
      <c r="K12" s="78"/>
      <c r="N12" s="63"/>
      <c r="O12" s="86"/>
    </row>
    <row r="13" spans="1:15" ht="6.65" customHeight="1" thickBot="1" x14ac:dyDescent="0.3">
      <c r="B13" s="64"/>
      <c r="C13" s="81"/>
      <c r="D13" s="67"/>
      <c r="E13" s="68"/>
      <c r="F13" s="69"/>
      <c r="G13" s="68"/>
      <c r="H13" s="68"/>
      <c r="I13" s="68"/>
      <c r="J13" s="68"/>
      <c r="K13" s="69"/>
    </row>
    <row r="14" spans="1:15" ht="12" thickBot="1" x14ac:dyDescent="0.3">
      <c r="A14" s="153"/>
      <c r="B14" s="64"/>
      <c r="C14" s="154" t="s">
        <v>18</v>
      </c>
      <c r="D14" s="70"/>
      <c r="E14" s="71">
        <v>0.55000000000000004</v>
      </c>
      <c r="F14" s="72"/>
      <c r="G14" s="73"/>
      <c r="H14" s="74"/>
      <c r="I14" s="75"/>
      <c r="J14" s="75"/>
      <c r="K14" s="76"/>
      <c r="N14" s="63"/>
      <c r="O14" s="86"/>
    </row>
    <row r="15" spans="1:15" x14ac:dyDescent="0.25">
      <c r="A15" s="153"/>
      <c r="B15" s="64"/>
      <c r="C15" s="155"/>
      <c r="D15" s="130" t="s">
        <v>19</v>
      </c>
      <c r="E15" s="146">
        <v>0.1</v>
      </c>
      <c r="F15" s="128" t="s">
        <v>60</v>
      </c>
      <c r="G15" s="26" t="s">
        <v>41</v>
      </c>
      <c r="H15" s="27" t="s">
        <v>64</v>
      </c>
      <c r="I15" s="27" t="s">
        <v>61</v>
      </c>
      <c r="J15" s="27" t="s">
        <v>62</v>
      </c>
      <c r="K15" s="28" t="s">
        <v>63</v>
      </c>
      <c r="N15" s="63"/>
    </row>
    <row r="16" spans="1:15" ht="12" thickBot="1" x14ac:dyDescent="0.3">
      <c r="A16" s="153"/>
      <c r="B16" s="64"/>
      <c r="C16" s="155"/>
      <c r="D16" s="131"/>
      <c r="E16" s="147"/>
      <c r="F16" s="129"/>
      <c r="G16" s="77"/>
      <c r="H16" s="78"/>
      <c r="I16" s="79"/>
      <c r="J16" s="79"/>
      <c r="K16" s="79"/>
      <c r="N16" s="80"/>
    </row>
    <row r="17" spans="1:14" x14ac:dyDescent="0.25">
      <c r="A17" s="153"/>
      <c r="B17" s="64"/>
      <c r="C17" s="155"/>
      <c r="D17" s="144" t="s">
        <v>48</v>
      </c>
      <c r="E17" s="146">
        <v>0.05</v>
      </c>
      <c r="F17" s="134" t="s">
        <v>45</v>
      </c>
      <c r="G17" s="87" t="s">
        <v>47</v>
      </c>
      <c r="H17" s="88" t="s">
        <v>46</v>
      </c>
      <c r="I17" s="88" t="s">
        <v>51</v>
      </c>
      <c r="J17" s="88" t="s">
        <v>52</v>
      </c>
      <c r="K17" s="85" t="s">
        <v>53</v>
      </c>
    </row>
    <row r="18" spans="1:14" ht="12" thickBot="1" x14ac:dyDescent="0.3">
      <c r="A18" s="153"/>
      <c r="B18" s="64"/>
      <c r="C18" s="155"/>
      <c r="D18" s="145"/>
      <c r="E18" s="147"/>
      <c r="F18" s="135"/>
      <c r="G18" s="77"/>
      <c r="H18" s="78"/>
      <c r="I18" s="79"/>
      <c r="J18" s="79"/>
      <c r="K18" s="79"/>
      <c r="N18" s="80"/>
    </row>
    <row r="19" spans="1:14" x14ac:dyDescent="0.25">
      <c r="A19" s="153"/>
      <c r="B19" s="64"/>
      <c r="C19" s="155"/>
      <c r="D19" s="144" t="s">
        <v>49</v>
      </c>
      <c r="E19" s="146">
        <v>0.05</v>
      </c>
      <c r="F19" s="160"/>
      <c r="G19" s="87" t="s">
        <v>58</v>
      </c>
      <c r="H19" s="88" t="s">
        <v>57</v>
      </c>
      <c r="I19" s="88" t="s">
        <v>54</v>
      </c>
      <c r="J19" s="88" t="s">
        <v>55</v>
      </c>
      <c r="K19" s="85" t="s">
        <v>56</v>
      </c>
    </row>
    <row r="20" spans="1:14" ht="12" thickBot="1" x14ac:dyDescent="0.3">
      <c r="A20" s="153"/>
      <c r="B20" s="64"/>
      <c r="C20" s="155"/>
      <c r="D20" s="145"/>
      <c r="E20" s="147"/>
      <c r="F20" s="161"/>
      <c r="G20" s="77"/>
      <c r="H20" s="78"/>
      <c r="I20" s="79"/>
      <c r="J20" s="79"/>
      <c r="K20" s="79"/>
      <c r="N20" s="80"/>
    </row>
    <row r="21" spans="1:14" x14ac:dyDescent="0.25">
      <c r="A21" s="153"/>
      <c r="B21" s="64"/>
      <c r="C21" s="155"/>
      <c r="D21" s="144" t="s">
        <v>20</v>
      </c>
      <c r="E21" s="146">
        <v>0.35</v>
      </c>
      <c r="F21" s="134">
        <v>1</v>
      </c>
      <c r="G21" s="87" t="s">
        <v>21</v>
      </c>
      <c r="H21" s="88" t="s">
        <v>22</v>
      </c>
      <c r="I21" s="88" t="s">
        <v>23</v>
      </c>
      <c r="J21" s="88" t="s">
        <v>24</v>
      </c>
      <c r="K21" s="85" t="s">
        <v>25</v>
      </c>
    </row>
    <row r="22" spans="1:14" ht="12" thickBot="1" x14ac:dyDescent="0.3">
      <c r="A22" s="153"/>
      <c r="B22" s="64"/>
      <c r="C22" s="155"/>
      <c r="D22" s="145"/>
      <c r="E22" s="147"/>
      <c r="F22" s="135"/>
      <c r="G22" s="77"/>
      <c r="H22" s="78"/>
      <c r="I22" s="79"/>
      <c r="J22" s="79"/>
      <c r="K22" s="79"/>
      <c r="N22" s="80"/>
    </row>
    <row r="23" spans="1:14" ht="6.65" customHeight="1" thickBot="1" x14ac:dyDescent="0.3">
      <c r="B23" s="64"/>
      <c r="C23" s="81"/>
      <c r="D23" s="67"/>
      <c r="E23" s="68"/>
      <c r="F23" s="69"/>
      <c r="G23" s="68"/>
      <c r="H23" s="68"/>
      <c r="I23" s="68"/>
      <c r="J23" s="68"/>
      <c r="K23" s="69"/>
    </row>
    <row r="24" spans="1:14" ht="12" thickBot="1" x14ac:dyDescent="0.3">
      <c r="A24" s="153"/>
      <c r="B24" s="64"/>
      <c r="C24" s="154" t="s">
        <v>26</v>
      </c>
      <c r="D24" s="70"/>
      <c r="E24" s="71">
        <f>E25</f>
        <v>0.2</v>
      </c>
      <c r="F24" s="72"/>
      <c r="G24" s="73"/>
      <c r="H24" s="74"/>
      <c r="I24" s="75"/>
      <c r="J24" s="75"/>
      <c r="K24" s="76"/>
      <c r="N24" s="63"/>
    </row>
    <row r="25" spans="1:14" x14ac:dyDescent="0.25">
      <c r="A25" s="153"/>
      <c r="B25" s="64"/>
      <c r="C25" s="155"/>
      <c r="D25" s="144" t="s">
        <v>39</v>
      </c>
      <c r="E25" s="146">
        <v>0.2</v>
      </c>
      <c r="F25" s="158" t="s">
        <v>28</v>
      </c>
      <c r="G25" s="89" t="s">
        <v>29</v>
      </c>
      <c r="H25" s="90" t="s">
        <v>30</v>
      </c>
      <c r="I25" s="90" t="s">
        <v>31</v>
      </c>
      <c r="J25" s="90" t="s">
        <v>32</v>
      </c>
      <c r="K25" s="91" t="s">
        <v>33</v>
      </c>
    </row>
    <row r="26" spans="1:14" ht="12" thickBot="1" x14ac:dyDescent="0.3">
      <c r="A26" s="153"/>
      <c r="B26" s="64"/>
      <c r="C26" s="155"/>
      <c r="D26" s="145"/>
      <c r="E26" s="147"/>
      <c r="F26" s="159"/>
      <c r="G26" s="77"/>
      <c r="H26" s="78"/>
      <c r="I26" s="79"/>
      <c r="J26" s="79"/>
      <c r="K26" s="79"/>
      <c r="N26" s="80"/>
    </row>
    <row r="27" spans="1:14" ht="6.65" customHeight="1" thickBot="1" x14ac:dyDescent="0.3">
      <c r="B27" s="64"/>
      <c r="C27" s="81"/>
      <c r="D27" s="67"/>
      <c r="E27" s="68"/>
      <c r="F27" s="69"/>
      <c r="G27" s="68"/>
      <c r="H27" s="68"/>
      <c r="I27" s="68"/>
      <c r="J27" s="68"/>
      <c r="K27" s="69"/>
    </row>
    <row r="28" spans="1:14" x14ac:dyDescent="0.25">
      <c r="B28" s="64"/>
      <c r="C28" s="162"/>
      <c r="D28" s="164" t="s">
        <v>34</v>
      </c>
      <c r="E28" s="166">
        <v>1</v>
      </c>
      <c r="F28" s="168"/>
      <c r="G28" s="92" t="s">
        <v>0</v>
      </c>
      <c r="H28" s="93" t="s">
        <v>1</v>
      </c>
      <c r="I28" s="94" t="s">
        <v>2</v>
      </c>
      <c r="J28" s="94" t="s">
        <v>3</v>
      </c>
      <c r="K28" s="95" t="s">
        <v>4</v>
      </c>
    </row>
    <row r="29" spans="1:14" ht="12" thickBot="1" x14ac:dyDescent="0.3">
      <c r="B29" s="64"/>
      <c r="C29" s="163"/>
      <c r="D29" s="165"/>
      <c r="E29" s="167"/>
      <c r="F29" s="169"/>
      <c r="G29" s="96"/>
      <c r="H29" s="97"/>
      <c r="I29" s="98"/>
      <c r="J29" s="98"/>
      <c r="K29" s="99"/>
    </row>
    <row r="31" spans="1:14" x14ac:dyDescent="0.25">
      <c r="I31" s="86"/>
      <c r="J31" s="86"/>
      <c r="K31" s="86"/>
    </row>
    <row r="32" spans="1:14" x14ac:dyDescent="0.25">
      <c r="D32" s="60" t="s">
        <v>40</v>
      </c>
      <c r="I32" s="86"/>
    </row>
    <row r="33" spans="10:11" x14ac:dyDescent="0.25">
      <c r="J33" s="86"/>
      <c r="K33" s="86"/>
    </row>
    <row r="35" spans="10:11" x14ac:dyDescent="0.25">
      <c r="J35" s="86"/>
      <c r="K35" s="86"/>
    </row>
  </sheetData>
  <mergeCells count="34">
    <mergeCell ref="C28:C29"/>
    <mergeCell ref="D28:D29"/>
    <mergeCell ref="E28:E29"/>
    <mergeCell ref="F28:F29"/>
    <mergeCell ref="A24:A26"/>
    <mergeCell ref="C24:C26"/>
    <mergeCell ref="D25:D26"/>
    <mergeCell ref="E25:E26"/>
    <mergeCell ref="F25:F26"/>
    <mergeCell ref="D21:D22"/>
    <mergeCell ref="E21:E22"/>
    <mergeCell ref="F21:F22"/>
    <mergeCell ref="A14:A22"/>
    <mergeCell ref="C14:C22"/>
    <mergeCell ref="D15:D16"/>
    <mergeCell ref="E15:E16"/>
    <mergeCell ref="F15:F16"/>
    <mergeCell ref="D17:D18"/>
    <mergeCell ref="E17:E18"/>
    <mergeCell ref="F17:F18"/>
    <mergeCell ref="D19:D20"/>
    <mergeCell ref="E19:E20"/>
    <mergeCell ref="F19:F20"/>
    <mergeCell ref="A10:A12"/>
    <mergeCell ref="C10:C12"/>
    <mergeCell ref="D11:D12"/>
    <mergeCell ref="E11:E12"/>
    <mergeCell ref="F11:F12"/>
    <mergeCell ref="C1:K1"/>
    <mergeCell ref="A6:A8"/>
    <mergeCell ref="C6:C8"/>
    <mergeCell ref="D7:D8"/>
    <mergeCell ref="E7:E8"/>
    <mergeCell ref="F7:F8"/>
  </mergeCells>
  <conditionalFormatting sqref="F28:K28 C28 D28:E29 C14:K14 C10:K10 C6:K6 C24:K24">
    <cfRule type="expression" dxfId="29" priority="32">
      <formula>$C$3="RGM"</formula>
    </cfRule>
  </conditionalFormatting>
  <conditionalFormatting sqref="F28:K28 C28:E29 D14:K14 D10:K10 D6:K6 D24:K24 C10:C12 C6:C8 C14:C16 C24:C26 C21:C22">
    <cfRule type="expression" dxfId="28" priority="31">
      <formula>$C$3="Total"</formula>
    </cfRule>
  </conditionalFormatting>
  <conditionalFormatting sqref="F28:K28 C28:E29 D14:K14 D10:K10 D6:K6 D24:K24 C10:C12 C6:C8 C14:C16 C24:C26 C21:C22">
    <cfRule type="expression" dxfId="27" priority="30">
      <formula>$C$3="AC"</formula>
    </cfRule>
  </conditionalFormatting>
  <conditionalFormatting sqref="G8:K8">
    <cfRule type="expression" dxfId="26" priority="29">
      <formula>$C$3="RGM"</formula>
    </cfRule>
  </conditionalFormatting>
  <conditionalFormatting sqref="G8:K8">
    <cfRule type="expression" dxfId="25" priority="28">
      <formula>$C$3="Total"</formula>
    </cfRule>
  </conditionalFormatting>
  <conditionalFormatting sqref="G16:K16">
    <cfRule type="expression" dxfId="24" priority="25">
      <formula>$C$3="RGM"</formula>
    </cfRule>
  </conditionalFormatting>
  <conditionalFormatting sqref="G16:K16">
    <cfRule type="expression" dxfId="23" priority="24">
      <formula>$C$3="Total"</formula>
    </cfRule>
  </conditionalFormatting>
  <conditionalFormatting sqref="G22:K22">
    <cfRule type="expression" dxfId="22" priority="23">
      <formula>$C$3="RGM"</formula>
    </cfRule>
  </conditionalFormatting>
  <conditionalFormatting sqref="G22:K22">
    <cfRule type="expression" dxfId="21" priority="22">
      <formula>$C$3="Total"</formula>
    </cfRule>
  </conditionalFormatting>
  <conditionalFormatting sqref="G26:K26">
    <cfRule type="expression" dxfId="20" priority="21">
      <formula>$C$3="RGM"</formula>
    </cfRule>
  </conditionalFormatting>
  <conditionalFormatting sqref="G26:K26">
    <cfRule type="expression" dxfId="19" priority="20">
      <formula>$C$3="Total"</formula>
    </cfRule>
  </conditionalFormatting>
  <conditionalFormatting sqref="G29:H29">
    <cfRule type="expression" dxfId="18" priority="19">
      <formula>$C$3="RGM"</formula>
    </cfRule>
  </conditionalFormatting>
  <conditionalFormatting sqref="G29:H29">
    <cfRule type="expression" dxfId="17" priority="18">
      <formula>$C$3="Total"</formula>
    </cfRule>
  </conditionalFormatting>
  <conditionalFormatting sqref="G12:K12">
    <cfRule type="expression" dxfId="16" priority="17">
      <formula>$C$3="RGM"</formula>
    </cfRule>
  </conditionalFormatting>
  <conditionalFormatting sqref="G12:K12">
    <cfRule type="expression" dxfId="15" priority="16">
      <formula>$C$3="Total"</formula>
    </cfRule>
  </conditionalFormatting>
  <conditionalFormatting sqref="I29:K29">
    <cfRule type="expression" dxfId="14" priority="15">
      <formula>$C$3="RGM"</formula>
    </cfRule>
  </conditionalFormatting>
  <conditionalFormatting sqref="I29:K29">
    <cfRule type="expression" dxfId="13" priority="14">
      <formula>$C$3="Total"</formula>
    </cfRule>
  </conditionalFormatting>
  <conditionalFormatting sqref="F15">
    <cfRule type="expression" dxfId="12" priority="13">
      <formula>$C$3="RGM"</formula>
    </cfRule>
  </conditionalFormatting>
  <conditionalFormatting sqref="F15">
    <cfRule type="expression" dxfId="11" priority="12">
      <formula>$C$3="Total"</formula>
    </cfRule>
  </conditionalFormatting>
  <conditionalFormatting sqref="C4:K4">
    <cfRule type="expression" dxfId="10" priority="11">
      <formula>$C$3="RGM"</formula>
    </cfRule>
  </conditionalFormatting>
  <conditionalFormatting sqref="C4:K4">
    <cfRule type="expression" dxfId="9" priority="10">
      <formula>$C$3="Total"</formula>
    </cfRule>
  </conditionalFormatting>
  <conditionalFormatting sqref="C4:K4">
    <cfRule type="expression" dxfId="8" priority="9">
      <formula>$C$3="AC"</formula>
    </cfRule>
  </conditionalFormatting>
  <conditionalFormatting sqref="C19:C20">
    <cfRule type="expression" dxfId="7" priority="8">
      <formula>$C$3="Total"</formula>
    </cfRule>
  </conditionalFormatting>
  <conditionalFormatting sqref="C19:C20">
    <cfRule type="expression" dxfId="6" priority="7">
      <formula>$C$3="AC"</formula>
    </cfRule>
  </conditionalFormatting>
  <conditionalFormatting sqref="G20:K20">
    <cfRule type="expression" dxfId="5" priority="6">
      <formula>$C$3="RGM"</formula>
    </cfRule>
  </conditionalFormatting>
  <conditionalFormatting sqref="G20:K20">
    <cfRule type="expression" dxfId="4" priority="5">
      <formula>$C$3="Total"</formula>
    </cfRule>
  </conditionalFormatting>
  <conditionalFormatting sqref="C17:C18">
    <cfRule type="expression" dxfId="3" priority="4">
      <formula>$C$3="Total"</formula>
    </cfRule>
  </conditionalFormatting>
  <conditionalFormatting sqref="C17:C18">
    <cfRule type="expression" dxfId="2" priority="3">
      <formula>$C$3="AC"</formula>
    </cfRule>
  </conditionalFormatting>
  <conditionalFormatting sqref="G18:K18">
    <cfRule type="expression" dxfId="1" priority="2">
      <formula>$C$3="RGM"</formula>
    </cfRule>
  </conditionalFormatting>
  <conditionalFormatting sqref="G18:K18">
    <cfRule type="expression" dxfId="0" priority="1">
      <formula>$C$3="Total"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RGM 2020 Q1_Q2</vt:lpstr>
      <vt:lpstr>AC 2020 Q1-Q2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Vasileva, Irina</dc:creator>
  <cp:lastModifiedBy>Paershina, Yliya</cp:lastModifiedBy>
  <dcterms:created xsi:type="dcterms:W3CDTF">2017-11-02T13:31:30Z</dcterms:created>
  <dcterms:modified xsi:type="dcterms:W3CDTF">2020-05-26T11:13:34Z</dcterms:modified>
</cp:coreProperties>
</file>