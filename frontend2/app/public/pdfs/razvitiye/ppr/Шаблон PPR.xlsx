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codeName="ЭтаКнига" defaultThemeVersion="124226"/>
  <mc:AlternateContent xmlns:mc="http://schemas.openxmlformats.org/markup-compatibility/2006">
    <mc:Choice Requires="x15">
      <x15ac:absPath xmlns:x15ac="http://schemas.microsoft.com/office/spreadsheetml/2010/11/ac" url="C:\Users\EVZ5251\Desktop\"/>
    </mc:Choice>
  </mc:AlternateContent>
  <xr:revisionPtr revIDLastSave="0" documentId="8_{BB7B276B-C2EB-418E-8870-86D8159C2641}" xr6:coauthVersionLast="45" xr6:coauthVersionMax="45" xr10:uidLastSave="{00000000-0000-0000-0000-000000000000}"/>
  <workbookProtection workbookAlgorithmName="SHA-512" workbookHashValue="MeuE2Izfdl5wXq15VsXrGM/GxpWAX5gB+vpKgtmjmEnqSpCWfU1sfeLasJj37BQtABJNLEr5tmD4u6wt5cM4Ww==" workbookSaltValue="p333+snbEbMafcphPgrJkA==" workbookSpinCount="100000" lockStructure="1"/>
  <bookViews>
    <workbookView xWindow="-110" yWindow="-110" windowWidth="19420" windowHeight="10420" activeTab="1" xr2:uid="{00000000-000D-0000-FFFF-FFFF00000000}"/>
  </bookViews>
  <sheets>
    <sheet name="Инструкция" sheetId="2" r:id="rId1"/>
    <sheet name="Структура ресторана"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F167" i="1" l="1"/>
  <c r="AG167" i="1"/>
  <c r="AH167" i="1"/>
  <c r="AI167" i="1"/>
  <c r="AJ167" i="1"/>
  <c r="AK167" i="1"/>
  <c r="AL167" i="1"/>
  <c r="AM167" i="1"/>
  <c r="AN167" i="1"/>
  <c r="AF168" i="1"/>
  <c r="AG168" i="1"/>
  <c r="AH168" i="1"/>
  <c r="AI168" i="1"/>
  <c r="AJ168" i="1"/>
  <c r="AK168" i="1"/>
  <c r="AL168" i="1"/>
  <c r="AM168" i="1"/>
  <c r="AN168" i="1"/>
  <c r="AF169" i="1"/>
  <c r="AG169" i="1"/>
  <c r="AH169" i="1"/>
  <c r="AI169" i="1"/>
  <c r="AJ169" i="1"/>
  <c r="AK169" i="1"/>
  <c r="AL169" i="1"/>
  <c r="AM169" i="1"/>
  <c r="AN169" i="1"/>
  <c r="AF170" i="1"/>
  <c r="AG170" i="1"/>
  <c r="AH170" i="1"/>
  <c r="AI170" i="1"/>
  <c r="AJ170" i="1"/>
  <c r="AK170" i="1"/>
  <c r="AL170" i="1"/>
  <c r="AM170" i="1"/>
  <c r="AN170" i="1"/>
  <c r="AF171" i="1"/>
  <c r="AG171" i="1"/>
  <c r="AH171" i="1"/>
  <c r="AI171" i="1"/>
  <c r="AJ171" i="1"/>
  <c r="AK171" i="1"/>
  <c r="AL171" i="1"/>
  <c r="AM171" i="1"/>
  <c r="AN171" i="1"/>
  <c r="AF172" i="1"/>
  <c r="AG172" i="1"/>
  <c r="AH172" i="1"/>
  <c r="AI172" i="1"/>
  <c r="AJ172" i="1"/>
  <c r="AK172" i="1"/>
  <c r="AL172" i="1"/>
  <c r="AM172" i="1"/>
  <c r="AN172" i="1"/>
  <c r="AF173" i="1"/>
  <c r="AG173" i="1"/>
  <c r="AH173" i="1"/>
  <c r="AI173" i="1"/>
  <c r="AJ173" i="1"/>
  <c r="AK173" i="1"/>
  <c r="AL173" i="1"/>
  <c r="AM173" i="1"/>
  <c r="AN173" i="1"/>
  <c r="AF174" i="1"/>
  <c r="AG174" i="1"/>
  <c r="AH174" i="1"/>
  <c r="AI174" i="1"/>
  <c r="AJ174" i="1"/>
  <c r="AK174" i="1"/>
  <c r="AL174" i="1"/>
  <c r="AM174" i="1"/>
  <c r="AN174" i="1"/>
  <c r="AF175" i="1"/>
  <c r="AG175" i="1"/>
  <c r="AH175" i="1"/>
  <c r="AI175" i="1"/>
  <c r="AJ175" i="1"/>
  <c r="AK175" i="1"/>
  <c r="AL175" i="1"/>
  <c r="AM175" i="1"/>
  <c r="AN175" i="1"/>
  <c r="AF176" i="1"/>
  <c r="AG176" i="1"/>
  <c r="AH176" i="1"/>
  <c r="AI176" i="1"/>
  <c r="AJ176" i="1"/>
  <c r="AK176" i="1"/>
  <c r="AL176" i="1"/>
  <c r="AM176" i="1"/>
  <c r="AN176" i="1"/>
  <c r="AF177" i="1"/>
  <c r="AG177" i="1"/>
  <c r="AH177" i="1"/>
  <c r="AI177" i="1"/>
  <c r="AJ177" i="1"/>
  <c r="AK177" i="1"/>
  <c r="AL177" i="1"/>
  <c r="AM177" i="1"/>
  <c r="AN177" i="1"/>
  <c r="AF178" i="1"/>
  <c r="AG178" i="1"/>
  <c r="AH178" i="1"/>
  <c r="AI178" i="1"/>
  <c r="AJ178" i="1"/>
  <c r="AK178" i="1"/>
  <c r="AL178" i="1"/>
  <c r="AM178" i="1"/>
  <c r="AN178" i="1"/>
  <c r="AF179" i="1"/>
  <c r="AG179" i="1"/>
  <c r="AH179" i="1"/>
  <c r="AI179" i="1"/>
  <c r="AJ179" i="1"/>
  <c r="AK179" i="1"/>
  <c r="AL179" i="1"/>
  <c r="AM179" i="1"/>
  <c r="AN179" i="1"/>
  <c r="AF180" i="1"/>
  <c r="AG180" i="1"/>
  <c r="AH180" i="1"/>
  <c r="AI180" i="1"/>
  <c r="AJ180" i="1"/>
  <c r="AK180" i="1"/>
  <c r="AL180" i="1"/>
  <c r="AM180" i="1"/>
  <c r="AN180" i="1"/>
  <c r="AF181" i="1"/>
  <c r="AG181" i="1"/>
  <c r="AH181" i="1"/>
  <c r="AI181" i="1"/>
  <c r="AJ181" i="1"/>
  <c r="AK181" i="1"/>
  <c r="AL181" i="1"/>
  <c r="AM181" i="1"/>
  <c r="AN181" i="1"/>
  <c r="AF182" i="1"/>
  <c r="AG182" i="1"/>
  <c r="AH182" i="1"/>
  <c r="AI182" i="1"/>
  <c r="AJ182" i="1"/>
  <c r="AK182" i="1"/>
  <c r="AL182" i="1"/>
  <c r="AM182" i="1"/>
  <c r="AN182" i="1"/>
  <c r="AF183" i="1"/>
  <c r="AG183" i="1"/>
  <c r="AH183" i="1"/>
  <c r="AI183" i="1"/>
  <c r="AJ183" i="1"/>
  <c r="AK183" i="1"/>
  <c r="AL183" i="1"/>
  <c r="AM183" i="1"/>
  <c r="AN183" i="1"/>
  <c r="AF184" i="1"/>
  <c r="AG184" i="1"/>
  <c r="AH184" i="1"/>
  <c r="AI184" i="1"/>
  <c r="AJ184" i="1"/>
  <c r="AK184" i="1"/>
  <c r="AL184" i="1"/>
  <c r="AM184" i="1"/>
  <c r="AN184" i="1"/>
  <c r="AF185" i="1"/>
  <c r="AG185" i="1"/>
  <c r="AH185" i="1"/>
  <c r="AI185" i="1"/>
  <c r="AJ185" i="1"/>
  <c r="AK185" i="1"/>
  <c r="AL185" i="1"/>
  <c r="AM185" i="1"/>
  <c r="AN185" i="1"/>
  <c r="AF186" i="1"/>
  <c r="AG186" i="1"/>
  <c r="AH186" i="1"/>
  <c r="AI186" i="1"/>
  <c r="AJ186" i="1"/>
  <c r="AK186" i="1"/>
  <c r="AL186" i="1"/>
  <c r="AM186" i="1"/>
  <c r="AN186" i="1"/>
  <c r="AF187" i="1"/>
  <c r="AG187" i="1"/>
  <c r="AH187" i="1"/>
  <c r="AI187" i="1"/>
  <c r="AJ187" i="1"/>
  <c r="AK187" i="1"/>
  <c r="AL187" i="1"/>
  <c r="AM187" i="1"/>
  <c r="AN187" i="1"/>
  <c r="AF188" i="1"/>
  <c r="AG188" i="1"/>
  <c r="AH188" i="1"/>
  <c r="AI188" i="1"/>
  <c r="AJ188" i="1"/>
  <c r="AK188" i="1"/>
  <c r="AL188" i="1"/>
  <c r="AM188" i="1"/>
  <c r="AN188" i="1"/>
  <c r="AF189" i="1"/>
  <c r="AG189" i="1"/>
  <c r="AH189" i="1"/>
  <c r="AI189" i="1"/>
  <c r="AJ189" i="1"/>
  <c r="AK189" i="1"/>
  <c r="AL189" i="1"/>
  <c r="AM189" i="1"/>
  <c r="AN189" i="1"/>
  <c r="AF190" i="1"/>
  <c r="AG190" i="1"/>
  <c r="AH190" i="1"/>
  <c r="AI190" i="1"/>
  <c r="AJ190" i="1"/>
  <c r="AK190" i="1"/>
  <c r="AL190" i="1"/>
  <c r="AM190" i="1"/>
  <c r="AN190" i="1"/>
  <c r="AF191" i="1"/>
  <c r="AG191" i="1"/>
  <c r="AH191" i="1"/>
  <c r="AI191" i="1"/>
  <c r="AJ191" i="1"/>
  <c r="AK191" i="1"/>
  <c r="AL191" i="1"/>
  <c r="AM191" i="1"/>
  <c r="AN191" i="1"/>
  <c r="AF192" i="1"/>
  <c r="AG192" i="1"/>
  <c r="AH192" i="1"/>
  <c r="AI192" i="1"/>
  <c r="AJ192" i="1"/>
  <c r="AK192" i="1"/>
  <c r="AL192" i="1"/>
  <c r="AM192" i="1"/>
  <c r="AN192" i="1"/>
  <c r="AF193" i="1"/>
  <c r="AG193" i="1"/>
  <c r="AH193" i="1"/>
  <c r="AI193" i="1"/>
  <c r="AJ193" i="1"/>
  <c r="AK193" i="1"/>
  <c r="AL193" i="1"/>
  <c r="AM193" i="1"/>
  <c r="AN193" i="1"/>
  <c r="AF194" i="1"/>
  <c r="AG194" i="1"/>
  <c r="AH194" i="1"/>
  <c r="AI194" i="1"/>
  <c r="AJ194" i="1"/>
  <c r="AK194" i="1"/>
  <c r="AL194" i="1"/>
  <c r="AM194" i="1"/>
  <c r="AN194" i="1"/>
  <c r="AF195" i="1"/>
  <c r="AG195" i="1"/>
  <c r="AH195" i="1"/>
  <c r="AI195" i="1"/>
  <c r="AJ195" i="1"/>
  <c r="AK195" i="1"/>
  <c r="AL195" i="1"/>
  <c r="AM195" i="1"/>
  <c r="AN195" i="1"/>
  <c r="AF196" i="1"/>
  <c r="AG196" i="1"/>
  <c r="AH196" i="1"/>
  <c r="AI196" i="1"/>
  <c r="AJ196" i="1"/>
  <c r="AK196" i="1"/>
  <c r="AL196" i="1"/>
  <c r="AM196" i="1"/>
  <c r="AN196" i="1"/>
  <c r="AF197" i="1"/>
  <c r="AG197" i="1"/>
  <c r="AH197" i="1"/>
  <c r="AI197" i="1"/>
  <c r="AJ197" i="1"/>
  <c r="AK197" i="1"/>
  <c r="AL197" i="1"/>
  <c r="AM197" i="1"/>
  <c r="AN197" i="1"/>
  <c r="AF198" i="1"/>
  <c r="AG198" i="1"/>
  <c r="AH198" i="1"/>
  <c r="AI198" i="1"/>
  <c r="AJ198" i="1"/>
  <c r="AK198" i="1"/>
  <c r="AL198" i="1"/>
  <c r="AM198" i="1"/>
  <c r="AN198" i="1"/>
  <c r="AF199" i="1"/>
  <c r="AG199" i="1"/>
  <c r="AH199" i="1"/>
  <c r="AI199" i="1"/>
  <c r="AJ199" i="1"/>
  <c r="AK199" i="1"/>
  <c r="AL199" i="1"/>
  <c r="AM199" i="1"/>
  <c r="AN199" i="1"/>
  <c r="AF200" i="1"/>
  <c r="AG200" i="1"/>
  <c r="AH200" i="1"/>
  <c r="AI200" i="1"/>
  <c r="AJ200" i="1"/>
  <c r="AK200" i="1"/>
  <c r="AL200" i="1"/>
  <c r="AM200" i="1"/>
  <c r="AN200" i="1"/>
  <c r="AF201" i="1"/>
  <c r="AG201" i="1"/>
  <c r="AH201" i="1"/>
  <c r="AI201" i="1"/>
  <c r="AJ201" i="1"/>
  <c r="AK201" i="1"/>
  <c r="AL201" i="1"/>
  <c r="AM201" i="1"/>
  <c r="AN201" i="1"/>
  <c r="AF202" i="1"/>
  <c r="AG202" i="1"/>
  <c r="AH202" i="1"/>
  <c r="AI202" i="1"/>
  <c r="AJ202" i="1"/>
  <c r="AK202" i="1"/>
  <c r="AL202" i="1"/>
  <c r="AM202" i="1"/>
  <c r="AN202" i="1"/>
  <c r="AF203" i="1"/>
  <c r="AG203" i="1"/>
  <c r="AH203" i="1"/>
  <c r="AI203" i="1"/>
  <c r="AJ203" i="1"/>
  <c r="AK203" i="1"/>
  <c r="AL203" i="1"/>
  <c r="AM203" i="1"/>
  <c r="AN203" i="1"/>
  <c r="AF204" i="1"/>
  <c r="AG204" i="1"/>
  <c r="AH204" i="1"/>
  <c r="AI204" i="1"/>
  <c r="AJ204" i="1"/>
  <c r="AK204" i="1"/>
  <c r="AL204" i="1"/>
  <c r="AM204" i="1"/>
  <c r="AN204" i="1"/>
  <c r="AF205" i="1"/>
  <c r="AG205" i="1"/>
  <c r="AH205" i="1"/>
  <c r="AI205" i="1"/>
  <c r="AJ205" i="1"/>
  <c r="AK205" i="1"/>
  <c r="AL205" i="1"/>
  <c r="AM205" i="1"/>
  <c r="AN205" i="1"/>
  <c r="AF206" i="1"/>
  <c r="AG206" i="1"/>
  <c r="AH206" i="1"/>
  <c r="AI206" i="1"/>
  <c r="AJ206" i="1"/>
  <c r="AK206" i="1"/>
  <c r="AL206" i="1"/>
  <c r="AM206" i="1"/>
  <c r="AN206" i="1"/>
  <c r="AF207" i="1"/>
  <c r="AG207" i="1"/>
  <c r="AH207" i="1"/>
  <c r="AI207" i="1"/>
  <c r="AJ207" i="1"/>
  <c r="AK207" i="1"/>
  <c r="AL207" i="1"/>
  <c r="AM207" i="1"/>
  <c r="AN207" i="1"/>
  <c r="AF208" i="1"/>
  <c r="AG208" i="1"/>
  <c r="AH208" i="1"/>
  <c r="AI208" i="1"/>
  <c r="AJ208" i="1"/>
  <c r="AK208" i="1"/>
  <c r="AL208" i="1"/>
  <c r="AM208" i="1"/>
  <c r="AN208" i="1"/>
  <c r="AF209" i="1"/>
  <c r="AG209" i="1"/>
  <c r="AH209" i="1"/>
  <c r="AI209" i="1"/>
  <c r="AJ209" i="1"/>
  <c r="AK209" i="1"/>
  <c r="AL209" i="1"/>
  <c r="AM209" i="1"/>
  <c r="AN209" i="1"/>
  <c r="AF210" i="1"/>
  <c r="AG210" i="1"/>
  <c r="AH210" i="1"/>
  <c r="AI210" i="1"/>
  <c r="AJ210" i="1"/>
  <c r="AK210" i="1"/>
  <c r="AL210" i="1"/>
  <c r="AM210" i="1"/>
  <c r="AN210" i="1"/>
  <c r="AF211" i="1"/>
  <c r="AG211" i="1"/>
  <c r="AH211" i="1"/>
  <c r="AI211" i="1"/>
  <c r="AJ211" i="1"/>
  <c r="AK211" i="1"/>
  <c r="AL211" i="1"/>
  <c r="AM211" i="1"/>
  <c r="AN211" i="1"/>
  <c r="AF212" i="1"/>
  <c r="AG212" i="1"/>
  <c r="AH212" i="1"/>
  <c r="AI212" i="1"/>
  <c r="AJ212" i="1"/>
  <c r="AK212" i="1"/>
  <c r="AL212" i="1"/>
  <c r="AM212" i="1"/>
  <c r="AN212" i="1"/>
  <c r="AF213" i="1"/>
  <c r="AG213" i="1"/>
  <c r="AH213" i="1"/>
  <c r="AI213" i="1"/>
  <c r="AJ213" i="1"/>
  <c r="AK213" i="1"/>
  <c r="AL213" i="1"/>
  <c r="AM213" i="1"/>
  <c r="AN213" i="1"/>
  <c r="AF214" i="1"/>
  <c r="AG214" i="1"/>
  <c r="AH214" i="1"/>
  <c r="AI214" i="1"/>
  <c r="AJ214" i="1"/>
  <c r="AK214" i="1"/>
  <c r="AL214" i="1"/>
  <c r="AM214" i="1"/>
  <c r="AN214" i="1"/>
  <c r="AF215" i="1"/>
  <c r="AG215" i="1"/>
  <c r="AH215" i="1"/>
  <c r="AI215" i="1"/>
  <c r="AJ215" i="1"/>
  <c r="AK215" i="1"/>
  <c r="AL215" i="1"/>
  <c r="AM215" i="1"/>
  <c r="AN215" i="1"/>
  <c r="AF216" i="1"/>
  <c r="AG216" i="1"/>
  <c r="AH216" i="1"/>
  <c r="AI216" i="1"/>
  <c r="AJ216" i="1"/>
  <c r="AK216" i="1"/>
  <c r="AL216" i="1"/>
  <c r="AM216" i="1"/>
  <c r="AN216" i="1"/>
  <c r="AF217" i="1"/>
  <c r="AG217" i="1"/>
  <c r="AH217" i="1"/>
  <c r="AI217" i="1"/>
  <c r="AJ217" i="1"/>
  <c r="AK217" i="1"/>
  <c r="AL217" i="1"/>
  <c r="AM217" i="1"/>
  <c r="AN217" i="1"/>
  <c r="AF218" i="1"/>
  <c r="AG218" i="1"/>
  <c r="AH218" i="1"/>
  <c r="AI218" i="1"/>
  <c r="AJ218" i="1"/>
  <c r="AK218" i="1"/>
  <c r="AL218" i="1"/>
  <c r="AM218" i="1"/>
  <c r="AN218" i="1"/>
  <c r="AF219" i="1"/>
  <c r="AG219" i="1"/>
  <c r="AH219" i="1"/>
  <c r="AI219" i="1"/>
  <c r="AJ219" i="1"/>
  <c r="AK219" i="1"/>
  <c r="AL219" i="1"/>
  <c r="AM219" i="1"/>
  <c r="AN219" i="1"/>
  <c r="AF220" i="1"/>
  <c r="AG220" i="1"/>
  <c r="AH220" i="1"/>
  <c r="AI220" i="1"/>
  <c r="AJ220" i="1"/>
  <c r="AK220" i="1"/>
  <c r="AL220" i="1"/>
  <c r="AM220" i="1"/>
  <c r="AN220" i="1"/>
  <c r="AF221" i="1"/>
  <c r="AG221" i="1"/>
  <c r="AH221" i="1"/>
  <c r="AI221" i="1"/>
  <c r="AJ221" i="1"/>
  <c r="AK221" i="1"/>
  <c r="AL221" i="1"/>
  <c r="AM221" i="1"/>
  <c r="AN221" i="1"/>
  <c r="AF222" i="1"/>
  <c r="AG222" i="1"/>
  <c r="AH222" i="1"/>
  <c r="AI222" i="1"/>
  <c r="AJ222" i="1"/>
  <c r="AK222" i="1"/>
  <c r="AL222" i="1"/>
  <c r="AM222" i="1"/>
  <c r="AN222" i="1"/>
  <c r="AF223" i="1"/>
  <c r="AG223" i="1"/>
  <c r="AH223" i="1"/>
  <c r="AI223" i="1"/>
  <c r="AJ223" i="1"/>
  <c r="AK223" i="1"/>
  <c r="AL223" i="1"/>
  <c r="AM223" i="1"/>
  <c r="AN223" i="1"/>
  <c r="AF224" i="1"/>
  <c r="AG224" i="1"/>
  <c r="AH224" i="1"/>
  <c r="AI224" i="1"/>
  <c r="AJ224" i="1"/>
  <c r="AK224" i="1"/>
  <c r="AL224" i="1"/>
  <c r="AM224" i="1"/>
  <c r="AN224" i="1"/>
  <c r="AF225" i="1"/>
  <c r="AG225" i="1"/>
  <c r="AH225" i="1"/>
  <c r="AI225" i="1"/>
  <c r="AJ225" i="1"/>
  <c r="AK225" i="1"/>
  <c r="AL225" i="1"/>
  <c r="AM225" i="1"/>
  <c r="AN225" i="1"/>
  <c r="AF226" i="1"/>
  <c r="AG226" i="1"/>
  <c r="AH226" i="1"/>
  <c r="AI226" i="1"/>
  <c r="AJ226" i="1"/>
  <c r="AK226" i="1"/>
  <c r="AL226" i="1"/>
  <c r="AM226" i="1"/>
  <c r="AN226" i="1"/>
  <c r="AF227" i="1"/>
  <c r="AG227" i="1"/>
  <c r="AH227" i="1"/>
  <c r="AI227" i="1"/>
  <c r="AJ227" i="1"/>
  <c r="AK227" i="1"/>
  <c r="AL227" i="1"/>
  <c r="AM227" i="1"/>
  <c r="AN227" i="1"/>
  <c r="AF228" i="1"/>
  <c r="AG228" i="1"/>
  <c r="AH228" i="1"/>
  <c r="AI228" i="1"/>
  <c r="AJ228" i="1"/>
  <c r="AK228" i="1"/>
  <c r="AL228" i="1"/>
  <c r="AM228" i="1"/>
  <c r="AN228" i="1"/>
  <c r="AF229" i="1"/>
  <c r="AG229" i="1"/>
  <c r="AH229" i="1"/>
  <c r="AI229" i="1"/>
  <c r="AJ229" i="1"/>
  <c r="AK229" i="1"/>
  <c r="AL229" i="1"/>
  <c r="AM229" i="1"/>
  <c r="AN229" i="1"/>
  <c r="AF230" i="1"/>
  <c r="AG230" i="1"/>
  <c r="AH230" i="1"/>
  <c r="AI230" i="1"/>
  <c r="AJ230" i="1"/>
  <c r="AK230" i="1"/>
  <c r="AL230" i="1"/>
  <c r="AM230" i="1"/>
  <c r="AN230" i="1"/>
  <c r="AF231" i="1"/>
  <c r="AG231" i="1"/>
  <c r="AH231" i="1"/>
  <c r="AI231" i="1"/>
  <c r="AJ231" i="1"/>
  <c r="AK231" i="1"/>
  <c r="AL231" i="1"/>
  <c r="AM231" i="1"/>
  <c r="AN231" i="1"/>
  <c r="AF232" i="1"/>
  <c r="AG232" i="1"/>
  <c r="AH232" i="1"/>
  <c r="AI232" i="1"/>
  <c r="AJ232" i="1"/>
  <c r="AK232" i="1"/>
  <c r="AL232" i="1"/>
  <c r="AM232" i="1"/>
  <c r="AN232" i="1"/>
  <c r="AF233" i="1"/>
  <c r="AG233" i="1"/>
  <c r="AH233" i="1"/>
  <c r="AI233" i="1"/>
  <c r="AJ233" i="1"/>
  <c r="AK233" i="1"/>
  <c r="AL233" i="1"/>
  <c r="AM233" i="1"/>
  <c r="AN233" i="1"/>
  <c r="AF234" i="1"/>
  <c r="AG234" i="1"/>
  <c r="AH234" i="1"/>
  <c r="AI234" i="1"/>
  <c r="AJ234" i="1"/>
  <c r="AK234" i="1"/>
  <c r="AL234" i="1"/>
  <c r="AM234" i="1"/>
  <c r="AN234" i="1"/>
  <c r="AF235" i="1"/>
  <c r="AG235" i="1"/>
  <c r="AH235" i="1"/>
  <c r="AI235" i="1"/>
  <c r="AJ235" i="1"/>
  <c r="AK235" i="1"/>
  <c r="AL235" i="1"/>
  <c r="AM235" i="1"/>
  <c r="AN235" i="1"/>
  <c r="AF236" i="1"/>
  <c r="AG236" i="1"/>
  <c r="AH236" i="1"/>
  <c r="AI236" i="1"/>
  <c r="AJ236" i="1"/>
  <c r="AK236" i="1"/>
  <c r="AL236" i="1"/>
  <c r="AM236" i="1"/>
  <c r="AN236" i="1"/>
  <c r="AF237" i="1"/>
  <c r="AG237" i="1"/>
  <c r="AH237" i="1"/>
  <c r="AI237" i="1"/>
  <c r="AJ237" i="1"/>
  <c r="AK237" i="1"/>
  <c r="AL237" i="1"/>
  <c r="AM237" i="1"/>
  <c r="AN237" i="1"/>
  <c r="AF238" i="1"/>
  <c r="AG238" i="1"/>
  <c r="AH238" i="1"/>
  <c r="AI238" i="1"/>
  <c r="AJ238" i="1"/>
  <c r="AK238" i="1"/>
  <c r="AL238" i="1"/>
  <c r="AM238" i="1"/>
  <c r="AN238" i="1"/>
  <c r="AF239" i="1"/>
  <c r="AG239" i="1"/>
  <c r="AH239" i="1"/>
  <c r="AI239" i="1"/>
  <c r="AJ239" i="1"/>
  <c r="AK239" i="1"/>
  <c r="AL239" i="1"/>
  <c r="AM239" i="1"/>
  <c r="AN239" i="1"/>
  <c r="AF240" i="1"/>
  <c r="AG240" i="1"/>
  <c r="AH240" i="1"/>
  <c r="AI240" i="1"/>
  <c r="AJ240" i="1"/>
  <c r="AK240" i="1"/>
  <c r="AL240" i="1"/>
  <c r="AM240" i="1"/>
  <c r="AN240" i="1"/>
  <c r="AF241" i="1"/>
  <c r="AG241" i="1"/>
  <c r="AH241" i="1"/>
  <c r="AI241" i="1"/>
  <c r="AJ241" i="1"/>
  <c r="AK241" i="1"/>
  <c r="AL241" i="1"/>
  <c r="AM241" i="1"/>
  <c r="AN241" i="1"/>
  <c r="AF242" i="1"/>
  <c r="AG242" i="1"/>
  <c r="AH242" i="1"/>
  <c r="AI242" i="1"/>
  <c r="AJ242" i="1"/>
  <c r="AK242" i="1"/>
  <c r="AL242" i="1"/>
  <c r="AM242" i="1"/>
  <c r="AN242" i="1"/>
  <c r="AF243" i="1"/>
  <c r="AG243" i="1"/>
  <c r="AH243" i="1"/>
  <c r="AI243" i="1"/>
  <c r="AJ243" i="1"/>
  <c r="AK243" i="1"/>
  <c r="AL243" i="1"/>
  <c r="AM243" i="1"/>
  <c r="AN243" i="1"/>
  <c r="AF244" i="1"/>
  <c r="AG244" i="1"/>
  <c r="AH244" i="1"/>
  <c r="AI244" i="1"/>
  <c r="AJ244" i="1"/>
  <c r="AK244" i="1"/>
  <c r="AL244" i="1"/>
  <c r="AM244" i="1"/>
  <c r="AN244" i="1"/>
  <c r="AF245" i="1"/>
  <c r="AG245" i="1"/>
  <c r="AH245" i="1"/>
  <c r="AI245" i="1"/>
  <c r="AJ245" i="1"/>
  <c r="AK245" i="1"/>
  <c r="AL245" i="1"/>
  <c r="AM245" i="1"/>
  <c r="AN245" i="1"/>
  <c r="AF246" i="1"/>
  <c r="AG246" i="1"/>
  <c r="AH246" i="1"/>
  <c r="AI246" i="1"/>
  <c r="AJ246" i="1"/>
  <c r="AK246" i="1"/>
  <c r="AL246" i="1"/>
  <c r="AM246" i="1"/>
  <c r="AN246" i="1"/>
  <c r="AF247" i="1"/>
  <c r="AG247" i="1"/>
  <c r="AH247" i="1"/>
  <c r="AI247" i="1"/>
  <c r="AJ247" i="1"/>
  <c r="AK247" i="1"/>
  <c r="AL247" i="1"/>
  <c r="AM247" i="1"/>
  <c r="AN247" i="1"/>
  <c r="AF248" i="1"/>
  <c r="AG248" i="1"/>
  <c r="AH248" i="1"/>
  <c r="AI248" i="1"/>
  <c r="AJ248" i="1"/>
  <c r="AK248" i="1"/>
  <c r="AL248" i="1"/>
  <c r="AM248" i="1"/>
  <c r="AN248" i="1"/>
  <c r="AF249" i="1"/>
  <c r="AG249" i="1"/>
  <c r="AH249" i="1"/>
  <c r="AI249" i="1"/>
  <c r="AJ249" i="1"/>
  <c r="AK249" i="1"/>
  <c r="AL249" i="1"/>
  <c r="AM249" i="1"/>
  <c r="AN249" i="1"/>
  <c r="AF250" i="1"/>
  <c r="AG250" i="1"/>
  <c r="AH250" i="1"/>
  <c r="AI250" i="1"/>
  <c r="AJ250" i="1"/>
  <c r="AK250" i="1"/>
  <c r="AL250" i="1"/>
  <c r="AM250" i="1"/>
  <c r="AN250" i="1"/>
  <c r="AF251" i="1"/>
  <c r="AG251" i="1"/>
  <c r="AH251" i="1"/>
  <c r="AI251" i="1"/>
  <c r="AJ251" i="1"/>
  <c r="AK251" i="1"/>
  <c r="AL251" i="1"/>
  <c r="AM251" i="1"/>
  <c r="AN251" i="1"/>
  <c r="AF252" i="1"/>
  <c r="AG252" i="1"/>
  <c r="AH252" i="1"/>
  <c r="AI252" i="1"/>
  <c r="AJ252" i="1"/>
  <c r="AK252" i="1"/>
  <c r="AL252" i="1"/>
  <c r="AM252" i="1"/>
  <c r="AN252" i="1"/>
  <c r="AF253" i="1"/>
  <c r="AG253" i="1"/>
  <c r="AH253" i="1"/>
  <c r="AI253" i="1"/>
  <c r="AJ253" i="1"/>
  <c r="AK253" i="1"/>
  <c r="AL253" i="1"/>
  <c r="AM253" i="1"/>
  <c r="AN253" i="1"/>
  <c r="AF254" i="1"/>
  <c r="AG254" i="1"/>
  <c r="AH254" i="1"/>
  <c r="AI254" i="1"/>
  <c r="AJ254" i="1"/>
  <c r="AK254" i="1"/>
  <c r="AL254" i="1"/>
  <c r="AM254" i="1"/>
  <c r="AN254" i="1"/>
  <c r="AF255" i="1"/>
  <c r="AG255" i="1"/>
  <c r="AH255" i="1"/>
  <c r="AI255" i="1"/>
  <c r="AJ255" i="1"/>
  <c r="AK255" i="1"/>
  <c r="AL255" i="1"/>
  <c r="AM255" i="1"/>
  <c r="AN255" i="1"/>
  <c r="AF256" i="1"/>
  <c r="AG256" i="1"/>
  <c r="AH256" i="1"/>
  <c r="AI256" i="1"/>
  <c r="AJ256" i="1"/>
  <c r="AK256" i="1"/>
  <c r="AL256" i="1"/>
  <c r="AM256" i="1"/>
  <c r="AN256" i="1"/>
  <c r="AF257" i="1"/>
  <c r="AG257" i="1"/>
  <c r="AH257" i="1"/>
  <c r="AI257" i="1"/>
  <c r="AJ257" i="1"/>
  <c r="AK257" i="1"/>
  <c r="AL257" i="1"/>
  <c r="AM257" i="1"/>
  <c r="AN257" i="1"/>
  <c r="AF258" i="1"/>
  <c r="AG258" i="1"/>
  <c r="AH258" i="1"/>
  <c r="AI258" i="1"/>
  <c r="AJ258" i="1"/>
  <c r="AK258" i="1"/>
  <c r="AL258" i="1"/>
  <c r="AM258" i="1"/>
  <c r="AN258" i="1"/>
  <c r="AF259" i="1"/>
  <c r="AG259" i="1"/>
  <c r="AH259" i="1"/>
  <c r="AI259" i="1"/>
  <c r="AJ259" i="1"/>
  <c r="AK259" i="1"/>
  <c r="AL259" i="1"/>
  <c r="AM259" i="1"/>
  <c r="AN259" i="1"/>
  <c r="AF260" i="1"/>
  <c r="AG260" i="1"/>
  <c r="AH260" i="1"/>
  <c r="AI260" i="1"/>
  <c r="AJ260" i="1"/>
  <c r="AK260" i="1"/>
  <c r="AL260" i="1"/>
  <c r="AM260" i="1"/>
  <c r="AN260" i="1"/>
  <c r="AF261" i="1"/>
  <c r="AG261" i="1"/>
  <c r="AH261" i="1"/>
  <c r="AI261" i="1"/>
  <c r="AJ261" i="1"/>
  <c r="AK261" i="1"/>
  <c r="AL261" i="1"/>
  <c r="AM261" i="1"/>
  <c r="AN261" i="1"/>
  <c r="AF262" i="1"/>
  <c r="AG262" i="1"/>
  <c r="AH262" i="1"/>
  <c r="AI262" i="1"/>
  <c r="AJ262" i="1"/>
  <c r="AK262" i="1"/>
  <c r="AL262" i="1"/>
  <c r="AM262" i="1"/>
  <c r="AN262" i="1"/>
  <c r="AF263" i="1"/>
  <c r="AG263" i="1"/>
  <c r="AH263" i="1"/>
  <c r="AI263" i="1"/>
  <c r="AJ263" i="1"/>
  <c r="AK263" i="1"/>
  <c r="AL263" i="1"/>
  <c r="AM263" i="1"/>
  <c r="AN263" i="1"/>
  <c r="AF264" i="1"/>
  <c r="AG264" i="1"/>
  <c r="AH264" i="1"/>
  <c r="AI264" i="1"/>
  <c r="AJ264" i="1"/>
  <c r="AK264" i="1"/>
  <c r="AL264" i="1"/>
  <c r="AM264" i="1"/>
  <c r="AN264" i="1"/>
  <c r="AF265" i="1"/>
  <c r="AG265" i="1"/>
  <c r="AH265" i="1"/>
  <c r="AI265" i="1"/>
  <c r="AJ265" i="1"/>
  <c r="AK265" i="1"/>
  <c r="AL265" i="1"/>
  <c r="AM265" i="1"/>
  <c r="AN265" i="1"/>
  <c r="AF266" i="1"/>
  <c r="AG266" i="1"/>
  <c r="AH266" i="1"/>
  <c r="AI266" i="1"/>
  <c r="AJ266" i="1"/>
  <c r="AK266" i="1"/>
  <c r="AL266" i="1"/>
  <c r="AM266" i="1"/>
  <c r="AN266" i="1"/>
  <c r="AF267" i="1"/>
  <c r="AG267" i="1"/>
  <c r="AH267" i="1"/>
  <c r="AI267" i="1"/>
  <c r="AJ267" i="1"/>
  <c r="AK267" i="1"/>
  <c r="AL267" i="1"/>
  <c r="AM267" i="1"/>
  <c r="AN267" i="1"/>
  <c r="AF268" i="1"/>
  <c r="AG268" i="1"/>
  <c r="AH268" i="1"/>
  <c r="AI268" i="1"/>
  <c r="AJ268" i="1"/>
  <c r="AK268" i="1"/>
  <c r="AL268" i="1"/>
  <c r="AM268" i="1"/>
  <c r="AN268" i="1"/>
  <c r="AF269" i="1"/>
  <c r="AG269" i="1"/>
  <c r="AH269" i="1"/>
  <c r="AI269" i="1"/>
  <c r="AJ269" i="1"/>
  <c r="AK269" i="1"/>
  <c r="AL269" i="1"/>
  <c r="AM269" i="1"/>
  <c r="AN269" i="1"/>
  <c r="AF270" i="1"/>
  <c r="AG270" i="1"/>
  <c r="AH270" i="1"/>
  <c r="AI270" i="1"/>
  <c r="AJ270" i="1"/>
  <c r="AK270" i="1"/>
  <c r="AL270" i="1"/>
  <c r="AM270" i="1"/>
  <c r="AN270" i="1"/>
  <c r="AF271" i="1"/>
  <c r="AG271" i="1"/>
  <c r="AH271" i="1"/>
  <c r="AI271" i="1"/>
  <c r="AJ271" i="1"/>
  <c r="AK271" i="1"/>
  <c r="AL271" i="1"/>
  <c r="AM271" i="1"/>
  <c r="AN271" i="1"/>
  <c r="AF272" i="1"/>
  <c r="AG272" i="1"/>
  <c r="AH272" i="1"/>
  <c r="AI272" i="1"/>
  <c r="AJ272" i="1"/>
  <c r="AK272" i="1"/>
  <c r="AL272" i="1"/>
  <c r="AM272" i="1"/>
  <c r="AN272" i="1"/>
  <c r="AF273" i="1"/>
  <c r="AG273" i="1"/>
  <c r="AH273" i="1"/>
  <c r="AI273" i="1"/>
  <c r="AJ273" i="1"/>
  <c r="AK273" i="1"/>
  <c r="AL273" i="1"/>
  <c r="AM273" i="1"/>
  <c r="AN273" i="1"/>
  <c r="AF274" i="1"/>
  <c r="AG274" i="1"/>
  <c r="AH274" i="1"/>
  <c r="AI274" i="1"/>
  <c r="AJ274" i="1"/>
  <c r="AK274" i="1"/>
  <c r="AL274" i="1"/>
  <c r="AM274" i="1"/>
  <c r="AN274" i="1"/>
  <c r="AF275" i="1"/>
  <c r="AG275" i="1"/>
  <c r="AH275" i="1"/>
  <c r="AI275" i="1"/>
  <c r="AJ275" i="1"/>
  <c r="AK275" i="1"/>
  <c r="AL275" i="1"/>
  <c r="AM275" i="1"/>
  <c r="AN275" i="1"/>
  <c r="AF276" i="1"/>
  <c r="AG276" i="1"/>
  <c r="AH276" i="1"/>
  <c r="AI276" i="1"/>
  <c r="AJ276" i="1"/>
  <c r="AK276" i="1"/>
  <c r="AL276" i="1"/>
  <c r="AM276" i="1"/>
  <c r="AN276" i="1"/>
  <c r="AF277" i="1"/>
  <c r="AG277" i="1"/>
  <c r="AH277" i="1"/>
  <c r="AI277" i="1"/>
  <c r="AJ277" i="1"/>
  <c r="AK277" i="1"/>
  <c r="AL277" i="1"/>
  <c r="AM277" i="1"/>
  <c r="AN277" i="1"/>
  <c r="AF278" i="1"/>
  <c r="AG278" i="1"/>
  <c r="AH278" i="1"/>
  <c r="AI278" i="1"/>
  <c r="AJ278" i="1"/>
  <c r="AK278" i="1"/>
  <c r="AL278" i="1"/>
  <c r="AM278" i="1"/>
  <c r="AN278" i="1"/>
  <c r="AF279" i="1"/>
  <c r="AG279" i="1"/>
  <c r="AH279" i="1"/>
  <c r="AI279" i="1"/>
  <c r="AJ279" i="1"/>
  <c r="AK279" i="1"/>
  <c r="AL279" i="1"/>
  <c r="AM279" i="1"/>
  <c r="AN279" i="1"/>
  <c r="AF280" i="1"/>
  <c r="AG280" i="1"/>
  <c r="AH280" i="1"/>
  <c r="AI280" i="1"/>
  <c r="AJ280" i="1"/>
  <c r="AK280" i="1"/>
  <c r="AL280" i="1"/>
  <c r="AM280" i="1"/>
  <c r="AN280" i="1"/>
  <c r="AF281" i="1"/>
  <c r="AG281" i="1"/>
  <c r="AH281" i="1"/>
  <c r="AI281" i="1"/>
  <c r="AJ281" i="1"/>
  <c r="AK281" i="1"/>
  <c r="AL281" i="1"/>
  <c r="AM281" i="1"/>
  <c r="AN281" i="1"/>
  <c r="AF282" i="1"/>
  <c r="AG282" i="1"/>
  <c r="AH282" i="1"/>
  <c r="AI282" i="1"/>
  <c r="AJ282" i="1"/>
  <c r="AK282" i="1"/>
  <c r="AL282" i="1"/>
  <c r="AM282" i="1"/>
  <c r="AN282" i="1"/>
  <c r="AF283" i="1"/>
  <c r="AG283" i="1"/>
  <c r="AH283" i="1"/>
  <c r="AI283" i="1"/>
  <c r="AJ283" i="1"/>
  <c r="AK283" i="1"/>
  <c r="AL283" i="1"/>
  <c r="AM283" i="1"/>
  <c r="AN283" i="1"/>
  <c r="AF284" i="1"/>
  <c r="AG284" i="1"/>
  <c r="AH284" i="1"/>
  <c r="AI284" i="1"/>
  <c r="AJ284" i="1"/>
  <c r="AK284" i="1"/>
  <c r="AL284" i="1"/>
  <c r="AM284" i="1"/>
  <c r="AN284" i="1"/>
  <c r="AF285" i="1"/>
  <c r="AG285" i="1"/>
  <c r="AH285" i="1"/>
  <c r="AI285" i="1"/>
  <c r="AJ285" i="1"/>
  <c r="AK285" i="1"/>
  <c r="AL285" i="1"/>
  <c r="AM285" i="1"/>
  <c r="AN285" i="1"/>
  <c r="AF286" i="1"/>
  <c r="AG286" i="1"/>
  <c r="AH286" i="1"/>
  <c r="AI286" i="1"/>
  <c r="AJ286" i="1"/>
  <c r="AK286" i="1"/>
  <c r="AL286" i="1"/>
  <c r="AM286" i="1"/>
  <c r="AN286" i="1"/>
  <c r="AF287" i="1"/>
  <c r="AG287" i="1"/>
  <c r="AH287" i="1"/>
  <c r="AI287" i="1"/>
  <c r="AJ287" i="1"/>
  <c r="AK287" i="1"/>
  <c r="AL287" i="1"/>
  <c r="AM287" i="1"/>
  <c r="AN287" i="1"/>
  <c r="AF288" i="1"/>
  <c r="AG288" i="1"/>
  <c r="AH288" i="1"/>
  <c r="AI288" i="1"/>
  <c r="AJ288" i="1"/>
  <c r="AK288" i="1"/>
  <c r="AL288" i="1"/>
  <c r="AM288" i="1"/>
  <c r="AN288" i="1"/>
  <c r="AF289" i="1"/>
  <c r="AG289" i="1"/>
  <c r="AH289" i="1"/>
  <c r="AI289" i="1"/>
  <c r="AJ289" i="1"/>
  <c r="AK289" i="1"/>
  <c r="AL289" i="1"/>
  <c r="AM289" i="1"/>
  <c r="AN289" i="1"/>
  <c r="AF290" i="1"/>
  <c r="AG290" i="1"/>
  <c r="AH290" i="1"/>
  <c r="AI290" i="1"/>
  <c r="AJ290" i="1"/>
  <c r="AK290" i="1"/>
  <c r="AL290" i="1"/>
  <c r="AM290" i="1"/>
  <c r="AN290" i="1"/>
  <c r="AF291" i="1"/>
  <c r="AG291" i="1"/>
  <c r="AH291" i="1"/>
  <c r="AI291" i="1"/>
  <c r="AJ291" i="1"/>
  <c r="AK291" i="1"/>
  <c r="AL291" i="1"/>
  <c r="AM291" i="1"/>
  <c r="AN291" i="1"/>
  <c r="AF292" i="1"/>
  <c r="AG292" i="1"/>
  <c r="AH292" i="1"/>
  <c r="AI292" i="1"/>
  <c r="AJ292" i="1"/>
  <c r="AK292" i="1"/>
  <c r="AL292" i="1"/>
  <c r="AM292" i="1"/>
  <c r="AN292" i="1"/>
  <c r="AF293" i="1"/>
  <c r="AG293" i="1"/>
  <c r="AH293" i="1"/>
  <c r="AI293" i="1"/>
  <c r="AJ293" i="1"/>
  <c r="AK293" i="1"/>
  <c r="AL293" i="1"/>
  <c r="AM293" i="1"/>
  <c r="AN293" i="1"/>
  <c r="AF294" i="1"/>
  <c r="AG294" i="1"/>
  <c r="AH294" i="1"/>
  <c r="AI294" i="1"/>
  <c r="AJ294" i="1"/>
  <c r="AK294" i="1"/>
  <c r="AL294" i="1"/>
  <c r="AM294" i="1"/>
  <c r="AN294" i="1"/>
  <c r="AF295" i="1"/>
  <c r="AG295" i="1"/>
  <c r="AH295" i="1"/>
  <c r="AI295" i="1"/>
  <c r="AJ295" i="1"/>
  <c r="AK295" i="1"/>
  <c r="AL295" i="1"/>
  <c r="AM295" i="1"/>
  <c r="AN295" i="1"/>
  <c r="AF296" i="1"/>
  <c r="AG296" i="1"/>
  <c r="AH296" i="1"/>
  <c r="AI296" i="1"/>
  <c r="AJ296" i="1"/>
  <c r="AK296" i="1"/>
  <c r="AL296" i="1"/>
  <c r="AM296" i="1"/>
  <c r="AN296" i="1"/>
  <c r="AF297" i="1"/>
  <c r="AG297" i="1"/>
  <c r="AH297" i="1"/>
  <c r="AI297" i="1"/>
  <c r="AJ297" i="1"/>
  <c r="AK297" i="1"/>
  <c r="AL297" i="1"/>
  <c r="AM297" i="1"/>
  <c r="AN297" i="1"/>
  <c r="AF298" i="1"/>
  <c r="AG298" i="1"/>
  <c r="AH298" i="1"/>
  <c r="AI298" i="1"/>
  <c r="AJ298" i="1"/>
  <c r="AK298" i="1"/>
  <c r="AL298" i="1"/>
  <c r="AM298" i="1"/>
  <c r="AN298" i="1"/>
  <c r="AF160" i="1"/>
  <c r="AG160" i="1"/>
  <c r="AH160" i="1"/>
  <c r="AI160" i="1"/>
  <c r="AJ160" i="1"/>
  <c r="AK160" i="1"/>
  <c r="AL160" i="1"/>
  <c r="AM160" i="1"/>
  <c r="AN160" i="1"/>
  <c r="AF161" i="1"/>
  <c r="AG161" i="1"/>
  <c r="AH161" i="1"/>
  <c r="AI161" i="1"/>
  <c r="AJ161" i="1"/>
  <c r="AK161" i="1"/>
  <c r="AL161" i="1"/>
  <c r="AM161" i="1"/>
  <c r="AN161" i="1"/>
  <c r="AF162" i="1"/>
  <c r="AG162" i="1"/>
  <c r="AH162" i="1"/>
  <c r="AI162" i="1"/>
  <c r="AJ162" i="1"/>
  <c r="AK162" i="1"/>
  <c r="AL162" i="1"/>
  <c r="AM162" i="1"/>
  <c r="AN162" i="1"/>
  <c r="AF163" i="1"/>
  <c r="AG163" i="1"/>
  <c r="AH163" i="1"/>
  <c r="AI163" i="1"/>
  <c r="AJ163" i="1"/>
  <c r="AK163" i="1"/>
  <c r="AL163" i="1"/>
  <c r="AM163" i="1"/>
  <c r="AN163" i="1"/>
  <c r="AF164" i="1"/>
  <c r="AG164" i="1"/>
  <c r="AH164" i="1"/>
  <c r="AI164" i="1"/>
  <c r="AJ164" i="1"/>
  <c r="AK164" i="1"/>
  <c r="AL164" i="1"/>
  <c r="AM164" i="1"/>
  <c r="AN164" i="1"/>
  <c r="AF165" i="1"/>
  <c r="AG165" i="1"/>
  <c r="AH165" i="1"/>
  <c r="AI165" i="1"/>
  <c r="AJ165" i="1"/>
  <c r="AK165" i="1"/>
  <c r="AL165" i="1"/>
  <c r="AM165" i="1"/>
  <c r="AN165" i="1"/>
  <c r="AF166" i="1"/>
  <c r="AG166" i="1"/>
  <c r="AH166" i="1"/>
  <c r="AI166" i="1"/>
  <c r="AJ166" i="1"/>
  <c r="AK166" i="1"/>
  <c r="AL166" i="1"/>
  <c r="AM166" i="1"/>
  <c r="AN166" i="1"/>
  <c r="AG159" i="1"/>
  <c r="AH159" i="1"/>
  <c r="AI159" i="1"/>
  <c r="AJ159" i="1"/>
  <c r="AK159" i="1"/>
  <c r="AL159" i="1"/>
  <c r="AM159" i="1"/>
  <c r="AN159" i="1"/>
  <c r="AF159" i="1"/>
  <c r="G329" i="1"/>
  <c r="F329" i="1"/>
  <c r="E329" i="1"/>
  <c r="D329" i="1"/>
  <c r="B70" i="1"/>
  <c r="B69" i="1"/>
  <c r="B68" i="1"/>
  <c r="B61" i="1"/>
  <c r="B60" i="1"/>
  <c r="AO159" i="1" l="1"/>
  <c r="AP159" i="1"/>
  <c r="AO166" i="1"/>
  <c r="AP166" i="1"/>
  <c r="AO165" i="1"/>
  <c r="H165" i="1" s="1"/>
  <c r="AP165" i="1"/>
  <c r="AO164" i="1"/>
  <c r="AP164" i="1"/>
  <c r="AO163" i="1"/>
  <c r="AP163" i="1"/>
  <c r="AO162" i="1"/>
  <c r="AP162" i="1"/>
  <c r="AO161" i="1"/>
  <c r="AP161" i="1"/>
  <c r="AO160" i="1"/>
  <c r="AP160" i="1"/>
  <c r="AO298" i="1"/>
  <c r="AP298" i="1"/>
  <c r="AO297" i="1"/>
  <c r="AP297" i="1"/>
  <c r="AO296" i="1"/>
  <c r="AP296" i="1"/>
  <c r="AO295" i="1"/>
  <c r="AP295" i="1"/>
  <c r="H295" i="1" s="1"/>
  <c r="AO294" i="1"/>
  <c r="AP294" i="1"/>
  <c r="AO293" i="1"/>
  <c r="AP293" i="1"/>
  <c r="AO292" i="1"/>
  <c r="AP292" i="1"/>
  <c r="AO291" i="1"/>
  <c r="AP291" i="1"/>
  <c r="AO290" i="1"/>
  <c r="AP290" i="1"/>
  <c r="AO289" i="1"/>
  <c r="AP289" i="1"/>
  <c r="AO288" i="1"/>
  <c r="AP288" i="1"/>
  <c r="AO287" i="1"/>
  <c r="AP287" i="1"/>
  <c r="AO286" i="1"/>
  <c r="AP286" i="1"/>
  <c r="AO285" i="1"/>
  <c r="AP285" i="1"/>
  <c r="AO284" i="1"/>
  <c r="AP284" i="1"/>
  <c r="AO283" i="1"/>
  <c r="AP283" i="1"/>
  <c r="AO282" i="1"/>
  <c r="AP282" i="1"/>
  <c r="AO281" i="1"/>
  <c r="AP281" i="1"/>
  <c r="AO280" i="1"/>
  <c r="AP280" i="1"/>
  <c r="AO279" i="1"/>
  <c r="AP279" i="1"/>
  <c r="AO278" i="1"/>
  <c r="AP278" i="1"/>
  <c r="AO277" i="1"/>
  <c r="AP277" i="1"/>
  <c r="AO276" i="1"/>
  <c r="AP276" i="1"/>
  <c r="AO275" i="1"/>
  <c r="AP275" i="1"/>
  <c r="AO274" i="1"/>
  <c r="AP274" i="1"/>
  <c r="AO273" i="1"/>
  <c r="AP273" i="1"/>
  <c r="AO272" i="1"/>
  <c r="AP272" i="1"/>
  <c r="AO271" i="1"/>
  <c r="AP271" i="1"/>
  <c r="AO270" i="1"/>
  <c r="AP270" i="1"/>
  <c r="AO269" i="1"/>
  <c r="AP269" i="1"/>
  <c r="AO268" i="1"/>
  <c r="AP268" i="1"/>
  <c r="AO267" i="1"/>
  <c r="AP267" i="1"/>
  <c r="AO266" i="1"/>
  <c r="AP266" i="1"/>
  <c r="AO265" i="1"/>
  <c r="AP265" i="1"/>
  <c r="AO264" i="1"/>
  <c r="AP264" i="1"/>
  <c r="AO263" i="1"/>
  <c r="AP263" i="1"/>
  <c r="AO262" i="1"/>
  <c r="AP262" i="1"/>
  <c r="AO261" i="1"/>
  <c r="AP261" i="1"/>
  <c r="AO260" i="1"/>
  <c r="AP260" i="1"/>
  <c r="AO259" i="1"/>
  <c r="AP259" i="1"/>
  <c r="AO258" i="1"/>
  <c r="AP258" i="1"/>
  <c r="AO257" i="1"/>
  <c r="AP257" i="1"/>
  <c r="AO256" i="1"/>
  <c r="AP256" i="1"/>
  <c r="AO255" i="1"/>
  <c r="AP255" i="1"/>
  <c r="AO254" i="1"/>
  <c r="AP254" i="1"/>
  <c r="AO253" i="1"/>
  <c r="AP253" i="1"/>
  <c r="AO252" i="1"/>
  <c r="AP252" i="1"/>
  <c r="AO251" i="1"/>
  <c r="AP251" i="1"/>
  <c r="AO250" i="1"/>
  <c r="AP250" i="1"/>
  <c r="AO249" i="1"/>
  <c r="AP249" i="1"/>
  <c r="AO248" i="1"/>
  <c r="AP248" i="1"/>
  <c r="AO247" i="1"/>
  <c r="AP247" i="1"/>
  <c r="AO246" i="1"/>
  <c r="AP246" i="1"/>
  <c r="AO245" i="1"/>
  <c r="AP245" i="1"/>
  <c r="AO244" i="1"/>
  <c r="AP244" i="1"/>
  <c r="AO243" i="1"/>
  <c r="AP243" i="1"/>
  <c r="AO242" i="1"/>
  <c r="AP242" i="1"/>
  <c r="AO241" i="1"/>
  <c r="AP241" i="1"/>
  <c r="AO240" i="1"/>
  <c r="AP240" i="1"/>
  <c r="AO239" i="1"/>
  <c r="AP239" i="1"/>
  <c r="AO238" i="1"/>
  <c r="AP238" i="1"/>
  <c r="AO237" i="1"/>
  <c r="AP237" i="1"/>
  <c r="AO236" i="1"/>
  <c r="AP236" i="1"/>
  <c r="AO235" i="1"/>
  <c r="AP235" i="1"/>
  <c r="AO234" i="1"/>
  <c r="AP234" i="1"/>
  <c r="AO233" i="1"/>
  <c r="AP233" i="1"/>
  <c r="AO232" i="1"/>
  <c r="AP232" i="1"/>
  <c r="AO231" i="1"/>
  <c r="AP231" i="1"/>
  <c r="AO230" i="1"/>
  <c r="AP230" i="1"/>
  <c r="AO229" i="1"/>
  <c r="AP229" i="1"/>
  <c r="AO228" i="1"/>
  <c r="AP228" i="1"/>
  <c r="AO227" i="1"/>
  <c r="AP227" i="1"/>
  <c r="AO226" i="1"/>
  <c r="AP226" i="1"/>
  <c r="AO225" i="1"/>
  <c r="AP225" i="1"/>
  <c r="AO224" i="1"/>
  <c r="AP224" i="1"/>
  <c r="AO223" i="1"/>
  <c r="AP223" i="1"/>
  <c r="AO222" i="1"/>
  <c r="AP222" i="1"/>
  <c r="AO221" i="1"/>
  <c r="AP221" i="1"/>
  <c r="AO220" i="1"/>
  <c r="AP220" i="1"/>
  <c r="AO219" i="1"/>
  <c r="AP219" i="1"/>
  <c r="AO218" i="1"/>
  <c r="AP218" i="1"/>
  <c r="AO217" i="1"/>
  <c r="AP217" i="1"/>
  <c r="AO216" i="1"/>
  <c r="AP216" i="1"/>
  <c r="AO215" i="1"/>
  <c r="AP215" i="1"/>
  <c r="AO214" i="1"/>
  <c r="AP214" i="1"/>
  <c r="AO213" i="1"/>
  <c r="AP213" i="1"/>
  <c r="AO212" i="1"/>
  <c r="AP212" i="1"/>
  <c r="AO211" i="1"/>
  <c r="AP211" i="1"/>
  <c r="AO210" i="1"/>
  <c r="AP210" i="1"/>
  <c r="AO209" i="1"/>
  <c r="AP209" i="1"/>
  <c r="AO208" i="1"/>
  <c r="AP208" i="1"/>
  <c r="AO207" i="1"/>
  <c r="AP207" i="1"/>
  <c r="AO206" i="1"/>
  <c r="AP206" i="1"/>
  <c r="AO205" i="1"/>
  <c r="AP205" i="1"/>
  <c r="AO204" i="1"/>
  <c r="AP204" i="1"/>
  <c r="AO203" i="1"/>
  <c r="AP203" i="1"/>
  <c r="AO202" i="1"/>
  <c r="AP202" i="1"/>
  <c r="AO201" i="1"/>
  <c r="AP201" i="1"/>
  <c r="AO200" i="1"/>
  <c r="AP200" i="1"/>
  <c r="AO199" i="1"/>
  <c r="AP199" i="1"/>
  <c r="AO198" i="1"/>
  <c r="AP198" i="1"/>
  <c r="AO197" i="1"/>
  <c r="AP197" i="1"/>
  <c r="AO196" i="1"/>
  <c r="AP196" i="1"/>
  <c r="AO195" i="1"/>
  <c r="AP195" i="1"/>
  <c r="AO194" i="1"/>
  <c r="AP194" i="1"/>
  <c r="AO193" i="1"/>
  <c r="AP193" i="1"/>
  <c r="AO192" i="1"/>
  <c r="AP192" i="1"/>
  <c r="AO191" i="1"/>
  <c r="AP191" i="1"/>
  <c r="AO190" i="1"/>
  <c r="AP190" i="1"/>
  <c r="AO189" i="1"/>
  <c r="AP189" i="1"/>
  <c r="AO188" i="1"/>
  <c r="AP188" i="1"/>
  <c r="AO187" i="1"/>
  <c r="AP187" i="1"/>
  <c r="AO186" i="1"/>
  <c r="AP186" i="1"/>
  <c r="AO185" i="1"/>
  <c r="AP185" i="1"/>
  <c r="AO184" i="1"/>
  <c r="AP184" i="1"/>
  <c r="AO183" i="1"/>
  <c r="AP183" i="1"/>
  <c r="AO182" i="1"/>
  <c r="AP182" i="1"/>
  <c r="AO181" i="1"/>
  <c r="AP181" i="1"/>
  <c r="AO180" i="1"/>
  <c r="AP180" i="1"/>
  <c r="AO179" i="1"/>
  <c r="AP179" i="1"/>
  <c r="AO178" i="1"/>
  <c r="AP178" i="1"/>
  <c r="AO177" i="1"/>
  <c r="AP177" i="1"/>
  <c r="AO176" i="1"/>
  <c r="AP176" i="1"/>
  <c r="AO175" i="1"/>
  <c r="AP175" i="1"/>
  <c r="AO174" i="1"/>
  <c r="AP174" i="1"/>
  <c r="AO173" i="1"/>
  <c r="AP173" i="1"/>
  <c r="AO172" i="1"/>
  <c r="AP172" i="1"/>
  <c r="AO171" i="1"/>
  <c r="AP171" i="1"/>
  <c r="AO170" i="1"/>
  <c r="AP170" i="1"/>
  <c r="AO169" i="1"/>
  <c r="AP169" i="1"/>
  <c r="AO168" i="1"/>
  <c r="AP168" i="1"/>
  <c r="AO167" i="1"/>
  <c r="AP167" i="1"/>
  <c r="AG299" i="1"/>
  <c r="W6" i="1" s="1"/>
  <c r="AM299" i="1"/>
  <c r="W12" i="1" s="1"/>
  <c r="AI299" i="1"/>
  <c r="W8" i="1" s="1"/>
  <c r="AK299" i="1"/>
  <c r="W10" i="1" s="1"/>
  <c r="AN299" i="1"/>
  <c r="W13" i="1" s="1"/>
  <c r="AH299" i="1"/>
  <c r="W7" i="1" s="1"/>
  <c r="AF299" i="1"/>
  <c r="W5" i="1" s="1"/>
  <c r="AJ299" i="1"/>
  <c r="W9" i="1" s="1"/>
  <c r="AL299" i="1"/>
  <c r="W11" i="1" s="1"/>
  <c r="H174" i="1"/>
  <c r="H161" i="1"/>
  <c r="H269" i="1"/>
  <c r="H261" i="1"/>
  <c r="H253" i="1"/>
  <c r="H185" i="1"/>
  <c r="H225" i="1"/>
  <c r="H294" i="1"/>
  <c r="H278" i="1"/>
  <c r="H270" i="1"/>
  <c r="H262" i="1"/>
  <c r="H246" i="1"/>
  <c r="H238" i="1"/>
  <c r="H166" i="1"/>
  <c r="H163" i="1"/>
  <c r="H222" i="1"/>
  <c r="H198" i="1"/>
  <c r="H184" i="1"/>
  <c r="H177" i="1"/>
  <c r="H282" i="1"/>
  <c r="H247" i="1"/>
  <c r="H239" i="1"/>
  <c r="H231" i="1"/>
  <c r="H190" i="1"/>
  <c r="H187" i="1"/>
  <c r="H183" i="1"/>
  <c r="H271" i="1"/>
  <c r="H263" i="1"/>
  <c r="H223" i="1"/>
  <c r="H199" i="1"/>
  <c r="H191" i="1"/>
  <c r="H176" i="1"/>
  <c r="H169" i="1"/>
  <c r="H279" i="1"/>
  <c r="H273" i="1"/>
  <c r="H265" i="1"/>
  <c r="H257" i="1"/>
  <c r="H249" i="1"/>
  <c r="H241" i="1"/>
  <c r="H188" i="1"/>
  <c r="H182" i="1"/>
  <c r="H179" i="1"/>
  <c r="H173" i="1"/>
  <c r="H217" i="1"/>
  <c r="H258" i="1"/>
  <c r="H250" i="1"/>
  <c r="H218" i="1"/>
  <c r="H210" i="1"/>
  <c r="H194" i="1"/>
  <c r="H186" i="1"/>
  <c r="H201" i="1"/>
  <c r="H193" i="1"/>
  <c r="H209" i="1"/>
  <c r="H254" i="1" l="1"/>
  <c r="H202" i="1"/>
  <c r="H266" i="1"/>
  <c r="H167" i="1"/>
  <c r="H206" i="1"/>
  <c r="H255" i="1"/>
  <c r="H170" i="1"/>
  <c r="H215" i="1"/>
  <c r="H178" i="1"/>
  <c r="H242" i="1"/>
  <c r="H256" i="1"/>
  <c r="H196" i="1"/>
  <c r="H260" i="1"/>
  <c r="H290" i="1"/>
  <c r="H195" i="1"/>
  <c r="H286" i="1"/>
  <c r="H192" i="1"/>
  <c r="H280" i="1"/>
  <c r="H296" i="1"/>
  <c r="H162" i="1"/>
  <c r="H220" i="1"/>
  <c r="H164" i="1"/>
  <c r="H267" i="1"/>
  <c r="H291" i="1"/>
  <c r="H160" i="1"/>
  <c r="H251" i="1"/>
  <c r="H197" i="1"/>
  <c r="H216" i="1"/>
  <c r="H232" i="1"/>
  <c r="H285" i="1"/>
  <c r="H233" i="1"/>
  <c r="H268" i="1"/>
  <c r="H292" i="1"/>
  <c r="H203" i="1"/>
  <c r="H221" i="1"/>
  <c r="H171" i="1"/>
  <c r="H237" i="1"/>
  <c r="H264" i="1"/>
  <c r="H281" i="1"/>
  <c r="H204" i="1"/>
  <c r="H181" i="1"/>
  <c r="H228" i="1"/>
  <c r="H244" i="1"/>
  <c r="H275" i="1"/>
  <c r="H172" i="1"/>
  <c r="H227" i="1"/>
  <c r="H200" i="1"/>
  <c r="H287" i="1"/>
  <c r="H207" i="1"/>
  <c r="H276" i="1"/>
  <c r="H211" i="1"/>
  <c r="H230" i="1"/>
  <c r="H175" i="1"/>
  <c r="H205" i="1"/>
  <c r="H224" i="1"/>
  <c r="H240" i="1"/>
  <c r="H288" i="1"/>
  <c r="H214" i="1"/>
  <c r="H159" i="1"/>
  <c r="H189" i="1"/>
  <c r="H235" i="1"/>
  <c r="H180" i="1"/>
  <c r="H245" i="1"/>
  <c r="H293" i="1"/>
  <c r="H226" i="1"/>
  <c r="H297" i="1"/>
  <c r="H272" i="1"/>
  <c r="H289" i="1"/>
  <c r="H212" i="1"/>
  <c r="H298" i="1"/>
  <c r="H252" i="1"/>
  <c r="H283" i="1"/>
  <c r="H219" i="1"/>
  <c r="H168" i="1"/>
  <c r="H208" i="1"/>
  <c r="H277" i="1"/>
  <c r="H274" i="1"/>
  <c r="H234" i="1"/>
  <c r="H236" i="1"/>
  <c r="H259" i="1"/>
  <c r="H284" i="1"/>
  <c r="H243" i="1"/>
  <c r="H213" i="1"/>
  <c r="H229" i="1"/>
  <c r="H248" i="1"/>
  <c r="B66" i="1" l="1"/>
  <c r="Y159" i="1" l="1"/>
  <c r="I310" i="1" l="1"/>
  <c r="Y162" i="1" l="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160" i="1"/>
  <c r="Y161" i="1"/>
  <c r="E328" i="1" l="1"/>
  <c r="I312" i="1" l="1"/>
  <c r="F17" i="1"/>
  <c r="B152" i="1"/>
  <c r="B151" i="1"/>
  <c r="B150" i="1"/>
  <c r="B149" i="1"/>
  <c r="B148" i="1"/>
  <c r="B147" i="1"/>
  <c r="B146" i="1"/>
  <c r="B145" i="1"/>
  <c r="B144" i="1"/>
  <c r="B143" i="1"/>
  <c r="B141" i="1"/>
  <c r="B140" i="1"/>
  <c r="B139" i="1"/>
  <c r="B138" i="1"/>
  <c r="B137" i="1"/>
  <c r="B136" i="1"/>
  <c r="B135" i="1"/>
  <c r="B134" i="1"/>
  <c r="B133"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331" i="1"/>
  <c r="W4" i="1" l="1"/>
  <c r="B153" i="1"/>
  <c r="B471" i="1"/>
  <c r="G471" i="1"/>
  <c r="C327" i="1"/>
  <c r="D327" i="1"/>
  <c r="E327" i="1"/>
  <c r="F327" i="1"/>
  <c r="G327" i="1"/>
  <c r="I327" i="1"/>
  <c r="J327" i="1"/>
  <c r="C328" i="1"/>
  <c r="D328" i="1"/>
  <c r="F328" i="1"/>
  <c r="G328" i="1"/>
  <c r="I328" i="1"/>
  <c r="J328" i="1"/>
  <c r="C329" i="1"/>
  <c r="I329" i="1"/>
  <c r="J329" i="1"/>
  <c r="I311" i="1" l="1"/>
  <c r="H328" i="1"/>
  <c r="H327" i="1"/>
  <c r="H329" i="1"/>
  <c r="B132" i="1"/>
  <c r="X11" i="1" l="1"/>
  <c r="X9" i="1"/>
  <c r="X5" i="1"/>
  <c r="X7" i="1"/>
  <c r="X13" i="1"/>
  <c r="X10" i="1"/>
  <c r="X8" i="1"/>
  <c r="X12" i="1"/>
  <c r="X6" i="1"/>
  <c r="X4" i="1"/>
  <c r="B142" i="1"/>
  <c r="B154" i="1"/>
  <c r="B131" i="1" s="1"/>
  <c r="B310" i="1" l="1"/>
  <c r="B72" i="1"/>
  <c r="B71" i="1"/>
  <c r="B67" i="1"/>
  <c r="B65" i="1"/>
  <c r="B63" i="1"/>
  <c r="B62" i="1"/>
  <c r="B59" i="1"/>
  <c r="B58" i="1"/>
  <c r="B57" i="1"/>
  <c r="B56" i="1"/>
  <c r="B54" i="1"/>
  <c r="B53" i="1"/>
  <c r="B52" i="1"/>
  <c r="B51" i="1"/>
  <c r="B50" i="1"/>
  <c r="B49" i="1"/>
  <c r="B48" i="1"/>
  <c r="B47" i="1"/>
  <c r="B64" i="1" l="1"/>
  <c r="B73" i="1"/>
  <c r="B311" i="1"/>
  <c r="B312" i="1"/>
  <c r="B55" i="1"/>
  <c r="B108" i="1" l="1"/>
  <c r="B107" i="1"/>
  <c r="B106" i="1"/>
  <c r="B105" i="1"/>
  <c r="B104" i="1"/>
  <c r="B103" i="1"/>
  <c r="B102" i="1"/>
  <c r="B101" i="1"/>
  <c r="B100" i="1"/>
  <c r="B99" i="1"/>
  <c r="B98" i="1"/>
  <c r="B97" i="1"/>
  <c r="B96" i="1"/>
  <c r="B95" i="1"/>
  <c r="B109" i="1" l="1"/>
  <c r="B94" i="1" s="1"/>
  <c r="B76" i="1"/>
  <c r="B75" i="1"/>
  <c r="B74" i="1"/>
  <c r="D316" i="1"/>
  <c r="C316" i="1"/>
  <c r="B316" i="1"/>
  <c r="H316" i="1"/>
  <c r="E316" i="1" l="1"/>
  <c r="B45" i="1"/>
  <c r="B78" i="1"/>
  <c r="B46" i="1" s="1"/>
  <c r="B313" i="1"/>
  <c r="C311" i="1"/>
  <c r="K4" i="1" s="1"/>
  <c r="F316" i="1"/>
  <c r="C312" i="1"/>
  <c r="K5" i="1" s="1"/>
  <c r="G316" i="1"/>
  <c r="L316" i="1"/>
  <c r="O5" i="1" s="1"/>
  <c r="N5" i="1"/>
  <c r="C310" i="1"/>
  <c r="K3" i="1" s="1"/>
  <c r="N3" i="1" l="1"/>
  <c r="I316" i="1"/>
  <c r="F311" i="1"/>
  <c r="D311" i="1"/>
  <c r="J316" i="1"/>
  <c r="O3" i="1" s="1"/>
  <c r="D312" i="1"/>
  <c r="F312" i="1"/>
  <c r="N4" i="1"/>
  <c r="K316" i="1"/>
  <c r="O4" i="1" s="1"/>
  <c r="D310" i="1"/>
  <c r="F310" i="1"/>
  <c r="C313" i="1"/>
  <c r="K6" i="1" s="1"/>
  <c r="N6" i="1" l="1"/>
  <c r="E312" i="1"/>
  <c r="E311" i="1"/>
  <c r="M316" i="1"/>
  <c r="L4" i="1"/>
  <c r="L5" i="1"/>
  <c r="F313" i="1"/>
  <c r="E310" i="1"/>
  <c r="D313" i="1"/>
  <c r="L3" i="1"/>
  <c r="N316" i="1" l="1"/>
  <c r="O6" i="1"/>
  <c r="E313" i="1"/>
  <c r="B320" i="1"/>
  <c r="B322" i="1" s="1"/>
  <c r="L6" i="1"/>
  <c r="E17" i="1"/>
  <c r="S3" i="1" s="1"/>
  <c r="H310" i="1" l="1"/>
  <c r="H311" i="1" l="1"/>
  <c r="J310" i="1"/>
  <c r="T3" i="1"/>
  <c r="S5" i="1"/>
  <c r="S4" i="1" l="1"/>
  <c r="J311" i="1"/>
  <c r="T4" i="1" s="1"/>
  <c r="T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Ирина Федотова</author>
  </authors>
  <commentList>
    <comment ref="I16" authorId="0" shapeId="0" xr:uid="{00000000-0006-0000-0100-000001000000}">
      <text>
        <r>
          <rPr>
            <sz val="9"/>
            <color indexed="81"/>
            <rFont val="Calibri"/>
            <family val="2"/>
            <charset val="204"/>
            <scheme val="minor"/>
          </rPr>
          <t>Текущее обучение, тренинги и модулю, которые в данный момент проходит человек или прошел в предыдущем месяце.</t>
        </r>
      </text>
    </comment>
    <comment ref="S16" authorId="0" shapeId="0" xr:uid="{00000000-0006-0000-0100-000002000000}">
      <text>
        <r>
          <rPr>
            <sz val="9"/>
            <color indexed="81"/>
            <rFont val="Calibri"/>
            <family val="2"/>
            <charset val="204"/>
            <scheme val="minor"/>
          </rPr>
          <t xml:space="preserve">Ключевые моменты по будущему обучению сотрудника, даты BofR, DR и прочее. </t>
        </r>
      </text>
    </comment>
  </commentList>
</comments>
</file>

<file path=xl/sharedStrings.xml><?xml version="1.0" encoding="utf-8"?>
<sst xmlns="http://schemas.openxmlformats.org/spreadsheetml/2006/main" count="491" uniqueCount="298">
  <si>
    <t>Инструкция по PPR</t>
  </si>
  <si>
    <r>
      <t xml:space="preserve">Данные вносятся только в белые ячейки. </t>
    </r>
    <r>
      <rPr>
        <b/>
        <u/>
        <sz val="11"/>
        <rFont val="Calibri"/>
        <family val="2"/>
        <charset val="204"/>
        <scheme val="minor"/>
      </rPr>
      <t>В серый ячейках установлены формулы.</t>
    </r>
  </si>
  <si>
    <t>Ячейка</t>
  </si>
  <si>
    <t>Описание</t>
  </si>
  <si>
    <t>B1</t>
  </si>
  <si>
    <t>из выпадающего списка выбирается месяц, по итогам которого составляется структура</t>
  </si>
  <si>
    <t>B2</t>
  </si>
  <si>
    <t>указывается наименование ресторана</t>
  </si>
  <si>
    <t>B3</t>
  </si>
  <si>
    <t>вносится планируемый ТО</t>
  </si>
  <si>
    <t>B4</t>
  </si>
  <si>
    <t>вносится планируемая производительность на текущий месяц</t>
  </si>
  <si>
    <t>B5</t>
  </si>
  <si>
    <t>средняя загрузка по часам на 1 сотрудника</t>
  </si>
  <si>
    <t>G1</t>
  </si>
  <si>
    <t xml:space="preserve">вносится Фамилия Имя AC </t>
  </si>
  <si>
    <t>G2</t>
  </si>
  <si>
    <t>вносится Фамилия Имя HR BP</t>
  </si>
  <si>
    <t>G3</t>
  </si>
  <si>
    <t>вносится Фамилия Имя HR TM</t>
  </si>
  <si>
    <t>G4</t>
  </si>
  <si>
    <t>вносится Фамилия Имя FBM (YUM!)</t>
  </si>
  <si>
    <t>G5</t>
  </si>
  <si>
    <t>вносится Фамилия Имя HR BP (YUM!)</t>
  </si>
  <si>
    <t>M3/ M4 / M5</t>
  </si>
  <si>
    <t>вносятся цели по Bench менеджеров (согласно целям G&amp;R)</t>
  </si>
  <si>
    <t>B9 / C9 / D9</t>
  </si>
  <si>
    <t>вносятся данные по таблице отпимизации</t>
  </si>
  <si>
    <t>B11</t>
  </si>
  <si>
    <t>вносится Фамилия Имя RGM</t>
  </si>
  <si>
    <t>B12</t>
  </si>
  <si>
    <t>вносится должность RGM (из раскрывающегося списка)</t>
  </si>
  <si>
    <t>G11</t>
  </si>
  <si>
    <t xml:space="preserve">проставляется дата вступления в текущую должность </t>
  </si>
  <si>
    <t>H11</t>
  </si>
  <si>
    <t>вносится статус RGM (NEW, GIP и прочее)</t>
  </si>
  <si>
    <t>H12</t>
  </si>
  <si>
    <t>вносятся ключевые даты (например, дата прохождения BofR, если директор в данный момент готовится к BofR)</t>
  </si>
  <si>
    <t>строки 14-32</t>
  </si>
  <si>
    <t>аналогично заполняются данные по ARGM и SM</t>
  </si>
  <si>
    <t>строки 64-77</t>
  </si>
  <si>
    <t>вносятся данные по менеджерскому составу сверх штата по таблице оптимизации (Bench)</t>
  </si>
  <si>
    <t xml:space="preserve">строки 95-114 </t>
  </si>
  <si>
    <t>вносятся данные по тренерам</t>
  </si>
  <si>
    <t>строки 143-282</t>
  </si>
  <si>
    <t>вносятся данные по Членам Команды</t>
  </si>
  <si>
    <t>I143 и далее</t>
  </si>
  <si>
    <t>вносятся все станции, на которых прошел обучение ЧК (они отображаются в строке)</t>
  </si>
  <si>
    <t>H143 и далее</t>
  </si>
  <si>
    <r>
      <t>если сотрудник универсал - из выпадающего списка выбирается "</t>
    </r>
    <r>
      <rPr>
        <b/>
        <sz val="11"/>
        <rFont val="Calibri"/>
        <family val="2"/>
        <charset val="204"/>
        <scheme val="minor"/>
      </rPr>
      <t>Универсал</t>
    </r>
    <r>
      <rPr>
        <sz val="11"/>
        <rFont val="Calibri"/>
        <family val="2"/>
        <charset val="204"/>
        <scheme val="minor"/>
      </rPr>
      <t>", если сотрудник не универсал - поле не заполняется</t>
    </r>
  </si>
  <si>
    <t>ДОЛЖНОСТИ</t>
  </si>
  <si>
    <t>MMiT</t>
  </si>
  <si>
    <t>Маркет-Менеджер на тренинге</t>
  </si>
  <si>
    <t>AC</t>
  </si>
  <si>
    <t xml:space="preserve">Территориальный управляющий </t>
  </si>
  <si>
    <t>ACiT</t>
  </si>
  <si>
    <t>Территориальный управляющий на тренинге</t>
  </si>
  <si>
    <t xml:space="preserve">RGM </t>
  </si>
  <si>
    <t>Директор ресторана (после сдачи BofR)</t>
  </si>
  <si>
    <t>RGM DR</t>
  </si>
  <si>
    <t>Директор ресторана после прохождения DR</t>
  </si>
  <si>
    <t>RGMiT</t>
  </si>
  <si>
    <t>Директор ресторана до сдачи DR</t>
  </si>
  <si>
    <t>ARGM</t>
  </si>
  <si>
    <t>Заместитель директора ресторана</t>
  </si>
  <si>
    <t>ARGMiT</t>
  </si>
  <si>
    <t>Заместитель директора на тренинге</t>
  </si>
  <si>
    <t xml:space="preserve">SM </t>
  </si>
  <si>
    <t>Менеджер смены</t>
  </si>
  <si>
    <t xml:space="preserve">SMiT </t>
  </si>
  <si>
    <t xml:space="preserve">Менеджер смены на тренинге </t>
  </si>
  <si>
    <t>Trainer</t>
  </si>
  <si>
    <t>Тренер</t>
  </si>
  <si>
    <t>Trainer IT</t>
  </si>
  <si>
    <t>Тренер на тренинге</t>
  </si>
  <si>
    <t>ОСНОВНЫЕ СТАТУСЫ И КОДЫ</t>
  </si>
  <si>
    <t>TR</t>
  </si>
  <si>
    <t>Training record (сертификация AC)</t>
  </si>
  <si>
    <t>Assessment</t>
  </si>
  <si>
    <t>Ассесмент на позиции AC</t>
  </si>
  <si>
    <t>BOFR</t>
  </si>
  <si>
    <t>Board of Review</t>
  </si>
  <si>
    <t>NEW</t>
  </si>
  <si>
    <t>Менеджер менее 3 месяцев в должности</t>
  </si>
  <si>
    <t>GIP</t>
  </si>
  <si>
    <t>Менеджер более 3 месяцев в должности</t>
  </si>
  <si>
    <t>DR</t>
  </si>
  <si>
    <t>Development Record</t>
  </si>
  <si>
    <t>SIG</t>
  </si>
  <si>
    <t>Structure Interwier Guide</t>
  </si>
  <si>
    <t>R1, R2, R3</t>
  </si>
  <si>
    <t>Коды по RCL</t>
  </si>
  <si>
    <t>RCL</t>
  </si>
  <si>
    <t>Чек-лист готовности на позицию</t>
  </si>
  <si>
    <t>RISK</t>
  </si>
  <si>
    <t>Риск нестабильности</t>
  </si>
  <si>
    <t>ДОПОЛНЕНИЕ</t>
  </si>
  <si>
    <r>
      <t xml:space="preserve">В графе </t>
    </r>
    <r>
      <rPr>
        <b/>
        <sz val="11"/>
        <rFont val="Calibri"/>
        <family val="2"/>
        <charset val="204"/>
        <scheme val="minor"/>
      </rPr>
      <t>"Пройденные обучения"</t>
    </r>
    <r>
      <rPr>
        <sz val="11"/>
        <rFont val="Calibri"/>
        <family val="2"/>
        <charset val="204"/>
        <scheme val="minor"/>
      </rPr>
      <t xml:space="preserve"> фиксируются ключевые обучения, семинары и прочее, которые уже посетил сотрудник.</t>
    </r>
  </si>
  <si>
    <r>
      <t>В графе "</t>
    </r>
    <r>
      <rPr>
        <b/>
        <sz val="11"/>
        <rFont val="Calibri"/>
        <family val="2"/>
        <charset val="204"/>
        <scheme val="minor"/>
      </rPr>
      <t>План действий"</t>
    </r>
    <r>
      <rPr>
        <sz val="11"/>
        <rFont val="Calibri"/>
        <family val="2"/>
        <charset val="204"/>
        <scheme val="minor"/>
      </rPr>
      <t xml:space="preserve"> вносятся ключевые обучения, SIG, DR, которые ожидают сотрудника в ближайшее время.</t>
    </r>
  </si>
  <si>
    <t>Если есть переизбыток менеджеров - они заносятся в графу BENCH.</t>
  </si>
  <si>
    <t>Файлу необходимо дать название по названию ресторана. Например: PPR KFC Меркурий.</t>
  </si>
  <si>
    <t>Таблицы сверху суммируют все данные по структуре ресторана (менеджеры и Члены Команды).</t>
  </si>
  <si>
    <t>Месяц</t>
  </si>
  <si>
    <t>Апрель</t>
  </si>
  <si>
    <t>Адиатуллина Елена</t>
  </si>
  <si>
    <t>Структура менеджеров</t>
  </si>
  <si>
    <t>BENCH менеджеров</t>
  </si>
  <si>
    <t>Структура команды</t>
  </si>
  <si>
    <t>Ресторан</t>
  </si>
  <si>
    <t>Семья</t>
  </si>
  <si>
    <t>HR BP</t>
  </si>
  <si>
    <t>Федотова Ирина</t>
  </si>
  <si>
    <t>Позиция</t>
  </si>
  <si>
    <t>%</t>
  </si>
  <si>
    <t>+/-</t>
  </si>
  <si>
    <t>План</t>
  </si>
  <si>
    <t>Факт</t>
  </si>
  <si>
    <t>ТО</t>
  </si>
  <si>
    <t>HR TM</t>
  </si>
  <si>
    <t>Горная Ольга</t>
  </si>
  <si>
    <t>RGM</t>
  </si>
  <si>
    <t>Производительность</t>
  </si>
  <si>
    <t>YUM!</t>
  </si>
  <si>
    <t>FBM</t>
  </si>
  <si>
    <t>Фёдорова Татьяна</t>
  </si>
  <si>
    <t>TM</t>
  </si>
  <si>
    <t>TM унив.</t>
  </si>
  <si>
    <t>Загрузка по часам</t>
  </si>
  <si>
    <t>Хоменко Татьяна</t>
  </si>
  <si>
    <t>SM</t>
  </si>
  <si>
    <t>Итого</t>
  </si>
  <si>
    <t>Зал</t>
  </si>
  <si>
    <t>Версия 1.0.1</t>
  </si>
  <si>
    <t>Обсл.</t>
  </si>
  <si>
    <t>Кухн.</t>
  </si>
  <si>
    <t>Цыпл.</t>
  </si>
  <si>
    <t>Авто.</t>
  </si>
  <si>
    <t>Скаут</t>
  </si>
  <si>
    <t>Бренд-Шеф</t>
  </si>
  <si>
    <t>Кликун</t>
  </si>
  <si>
    <t>Хостес</t>
  </si>
  <si>
    <t>Структура ресторана</t>
  </si>
  <si>
    <t>Старт в должности</t>
  </si>
  <si>
    <t>Код /Дата последнего RCL</t>
  </si>
  <si>
    <t>Пройденые обучения</t>
  </si>
  <si>
    <t>План действий</t>
  </si>
  <si>
    <t>Антипанова Серафима</t>
  </si>
  <si>
    <t>BOFR 18.02.2016</t>
  </si>
  <si>
    <t>Внедрение SOS Project / Assesment AC октябрь 2016</t>
  </si>
  <si>
    <t>Статус</t>
  </si>
  <si>
    <t>ARGM I</t>
  </si>
  <si>
    <t>Муллаханова Гульназ</t>
  </si>
  <si>
    <t>R1</t>
  </si>
  <si>
    <t>RB People 20.10.2015</t>
  </si>
  <si>
    <t>SIG RGM - самоотвод / Проедение тренинга "Школа Гостеприимства"</t>
  </si>
  <si>
    <t>ARGM II</t>
  </si>
  <si>
    <t>Январь</t>
  </si>
  <si>
    <t>MM</t>
  </si>
  <si>
    <t>Февраль</t>
  </si>
  <si>
    <t>MM IT</t>
  </si>
  <si>
    <t>ARGM III</t>
  </si>
  <si>
    <t>Март</t>
  </si>
  <si>
    <t>AC IT</t>
  </si>
  <si>
    <t>Май</t>
  </si>
  <si>
    <t>SM I</t>
  </si>
  <si>
    <t>Алмаев Ильдус</t>
  </si>
  <si>
    <t>RB  Product/Facility  01.06.2015</t>
  </si>
  <si>
    <t>Проект DT Сипайлово - коучинг Facility MNG / RCL ARGM август 2016</t>
  </si>
  <si>
    <t>Июнь</t>
  </si>
  <si>
    <t>Июль</t>
  </si>
  <si>
    <t>RGM IT</t>
  </si>
  <si>
    <t>SM II</t>
  </si>
  <si>
    <t>Сабирова Гульназ</t>
  </si>
  <si>
    <t>RB  Product/Facility  30.11.2015</t>
  </si>
  <si>
    <t>Развитие компетенции "Намерение руководить" через качественное ведение смены и развитие навыка делегирования</t>
  </si>
  <si>
    <t>Август</t>
  </si>
  <si>
    <t>Сентябрь</t>
  </si>
  <si>
    <t>ARGM IT</t>
  </si>
  <si>
    <t>R2</t>
  </si>
  <si>
    <t>SM III</t>
  </si>
  <si>
    <t>Гареева Эльвира</t>
  </si>
  <si>
    <t>Развитие компетенции "Работа в команде" через развитие и внедрение мотивационных программ и командообразование</t>
  </si>
  <si>
    <t>Октябрь</t>
  </si>
  <si>
    <t>R3</t>
  </si>
  <si>
    <t>Инст.Обсл.</t>
  </si>
  <si>
    <t>Ноябрь</t>
  </si>
  <si>
    <t>SM IT</t>
  </si>
  <si>
    <t>Инст.Кухн.</t>
  </si>
  <si>
    <t>SM IV</t>
  </si>
  <si>
    <t xml:space="preserve">Янтурина Лариса </t>
  </si>
  <si>
    <t>DR SM 28.02.2016</t>
  </si>
  <si>
    <t>Обучение BSC+ (Product/Facility) 01.04-30.05.16 МТ Антипанова С.С. RB Product/Facility 30.05.16</t>
  </si>
  <si>
    <t>Декабрь</t>
  </si>
  <si>
    <t>Инст.Цыпл.</t>
  </si>
  <si>
    <t>SM V</t>
  </si>
  <si>
    <t>SM VI</t>
  </si>
  <si>
    <t>SM VII</t>
  </si>
  <si>
    <t>Универсал</t>
  </si>
  <si>
    <t>SM VIII</t>
  </si>
  <si>
    <t>Проверка структуры</t>
  </si>
  <si>
    <t>Проверка статусов</t>
  </si>
  <si>
    <t>Внесено человек</t>
  </si>
  <si>
    <t>Сумма ARGM</t>
  </si>
  <si>
    <t>Сумма SM</t>
  </si>
  <si>
    <t>Сумма статусов</t>
  </si>
  <si>
    <t>Проверьте блок RGM</t>
  </si>
  <si>
    <t>Проверьте блок ARGM</t>
  </si>
  <si>
    <t>Проверьте блок SM</t>
  </si>
  <si>
    <t>Проверьте статусы</t>
  </si>
  <si>
    <t>Ахметов Ильмир</t>
  </si>
  <si>
    <t>Обучение SM 11.04-15.05.16 MT Антипанова С.С.  DR SM 25.05.16</t>
  </si>
  <si>
    <t>Тrainer I</t>
  </si>
  <si>
    <t>Гайсина Алина Сабитовна</t>
  </si>
  <si>
    <t>ОН тренер-наставник 26.02.2016</t>
  </si>
  <si>
    <t>Обучение и развитие 1 сотрудника на позицию Хостес до 07.07.16 / RCL SM 01.07.16</t>
  </si>
  <si>
    <t>Тrainer II</t>
  </si>
  <si>
    <t>Давлетшин Руслан Рамзитович</t>
  </si>
  <si>
    <t>ОН тренер-наставник 26.09.2015</t>
  </si>
  <si>
    <t>Развитие навыков на позиции "Кликун" / RCL SM 14.07.16</t>
  </si>
  <si>
    <t>Тrainer III</t>
  </si>
  <si>
    <t>Канчурин Мансур Саматович</t>
  </si>
  <si>
    <t>ОН тренер-наставник 25.08.2016, БШ 30.03.2016</t>
  </si>
  <si>
    <t>Сертификация БШ июнь 2016 / RCL SM 01.12.16</t>
  </si>
  <si>
    <t>Тrainer IV</t>
  </si>
  <si>
    <t>Вахитова Валентина Викторовна</t>
  </si>
  <si>
    <t>ОН тренер-наставник 27.08.2015</t>
  </si>
  <si>
    <t>Сипайлово DT ----&gt; июнь 2016</t>
  </si>
  <si>
    <t>Тrainer V</t>
  </si>
  <si>
    <t>Хакимова Регина Ильшатовна</t>
  </si>
  <si>
    <t>универсал</t>
  </si>
  <si>
    <t>ОН тренер-наставник 15.05.2016</t>
  </si>
  <si>
    <t>Тrainer VI</t>
  </si>
  <si>
    <t>Тrainer VII</t>
  </si>
  <si>
    <t>Тrainer VIII</t>
  </si>
  <si>
    <t>Тrainer IX</t>
  </si>
  <si>
    <t>Тrainer X</t>
  </si>
  <si>
    <t>Team Members</t>
  </si>
  <si>
    <t>Фамилия Имя</t>
  </si>
  <si>
    <t>Прогресс</t>
  </si>
  <si>
    <t>Проверка 0</t>
  </si>
  <si>
    <t>Сумма</t>
  </si>
  <si>
    <t>Нигматулина Алина Ахметовна</t>
  </si>
  <si>
    <t>Саманов Илнур Альбертович</t>
  </si>
  <si>
    <t>"Обслуживание" -обучение,  ОН  - 20.07.2016</t>
  </si>
  <si>
    <t>Галимова Альмира Наильевна</t>
  </si>
  <si>
    <t>"Цыпленок" -обучение,  ОН  - 30.07.2016</t>
  </si>
  <si>
    <t>Первова Владислава Андреевна</t>
  </si>
  <si>
    <t>Пашина Дарья Валерьевна</t>
  </si>
  <si>
    <t>Тухватуллина Луиза Хайдаровна</t>
  </si>
  <si>
    <t>Ширунов Эдуард Юрьевич</t>
  </si>
  <si>
    <t>Шамматова Эльвина Романовна</t>
  </si>
  <si>
    <t>"Цыпленок" -обучение,  ОН  - 30.06.2016</t>
  </si>
  <si>
    <t>Нуриахметова Наргиза Ришатовна</t>
  </si>
  <si>
    <t>"Цыпленок" -обучение,  ОН  - 10.07.2016</t>
  </si>
  <si>
    <t>Курбанова Регина Наилевна</t>
  </si>
  <si>
    <t>Кильдиярова Светлана Наильевна</t>
  </si>
  <si>
    <t>"Цыпленок" -обучение,  ОН  - 15.07.2016</t>
  </si>
  <si>
    <t>Иванов Станислав Рузимович</t>
  </si>
  <si>
    <t>Хузиев Тимур Дамирович</t>
  </si>
  <si>
    <t>"Обслуживание" -обучение,  ОН  - 20.05.2016</t>
  </si>
  <si>
    <t>Багаутдинов Ильмир Халитович</t>
  </si>
  <si>
    <t>Кузеева Ляйсан Альфитовна</t>
  </si>
  <si>
    <t>"Обслуживание" -обучение,  ОН  - 20.08.2016</t>
  </si>
  <si>
    <t>Зайнутдинова Лилия Равшановна</t>
  </si>
  <si>
    <t>увольнение -&gt; май 2016</t>
  </si>
  <si>
    <t>Шайхисламова Гульназ Бархетдиновна</t>
  </si>
  <si>
    <t>"Цыпленок" -обучение,  ОН  - 10.05.2016</t>
  </si>
  <si>
    <t>Гумерова Мария Викторовна</t>
  </si>
  <si>
    <t>Давлетшин Ильшат Ильгизович</t>
  </si>
  <si>
    <t>"Кухня" -обучение,  ОН  - 15.05.2016</t>
  </si>
  <si>
    <t>Ярмухаметова Гузель Буляковна</t>
  </si>
  <si>
    <t>"Цыпленок" -обучение,  ОН  - 30.05.2016</t>
  </si>
  <si>
    <t>Мигранова Айгуль Радиковна</t>
  </si>
  <si>
    <t>Хорошавцева Мария Михайловна</t>
  </si>
  <si>
    <t>ИДЕАЛ</t>
  </si>
  <si>
    <t>АКТУАЛ</t>
  </si>
  <si>
    <t>НЕХВАТКА</t>
  </si>
  <si>
    <t>РЕШЕНИЕ</t>
  </si>
  <si>
    <t>ВСЕ СЕРТ.</t>
  </si>
  <si>
    <t>Тренера</t>
  </si>
  <si>
    <t>Сотрудники</t>
  </si>
  <si>
    <t>BENCH ПЛАН</t>
  </si>
  <si>
    <t>BENCH АКТУАЛЬНО</t>
  </si>
  <si>
    <t>BENCH - + / -</t>
  </si>
  <si>
    <t xml:space="preserve">ARGM </t>
  </si>
  <si>
    <t>СУММА</t>
  </si>
  <si>
    <t>ВСЕГО</t>
  </si>
  <si>
    <t>ОТСУТСТВИЕ BENCH</t>
  </si>
  <si>
    <t>АКТУАЛЬНЫЙ BENCH</t>
  </si>
  <si>
    <t>Менеджерская структура</t>
  </si>
  <si>
    <t>Менедж. структура</t>
  </si>
  <si>
    <t>BENCH след. уровень</t>
  </si>
  <si>
    <t>На тренин. след. уров.</t>
  </si>
  <si>
    <t>На позиции</t>
  </si>
  <si>
    <t>На тренин. и на позиции</t>
  </si>
  <si>
    <t>Вакансии</t>
  </si>
  <si>
    <t>Сертифицированно</t>
  </si>
  <si>
    <t>На тренинге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</si>
</sst>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 #,##0.00\ _₽_-;\-* #,##0.00\ _₽_-;_-* &quot;-&quot;??\ _₽_-;_-@_-"/>
    <numFmt numFmtId="165" formatCode="#,##0.00\ &quot;zł&quot;"/>
    <numFmt numFmtId="166" formatCode="dd/mm/yy;@"/>
    <numFmt numFmtId="167" formatCode="0.0%"/>
    <numFmt numFmtId="168" formatCode="#,##0_ ;\-#,##0\ "/>
  </numFmts>
  <fonts count="37" x14ac:knownFonts="1">
    <font>
      <sz val="11"/>
      <color theme="1"/>
      <name val="Calibri"/>
      <family val="2"/>
      <charset val="204"/>
      <scheme val="minor"/>
    </font>
    <font>
      <sz val="10"/>
      <name val="Arial"/>
      <family val="2"/>
      <charset val="238"/>
    </font>
    <font>
      <b/>
      <sz val="8"/>
      <name val="Calibri"/>
      <family val="2"/>
      <charset val="204"/>
      <scheme val="minor"/>
    </font>
    <font>
      <sz val="8"/>
      <name val="Calibri"/>
      <family val="2"/>
      <charset val="204"/>
      <scheme val="minor"/>
    </font>
    <font>
      <sz val="8"/>
      <color rgb="FF969696"/>
      <name val="Calibri"/>
      <family val="2"/>
      <charset val="204"/>
      <scheme val="minor"/>
    </font>
    <font>
      <sz val="8"/>
      <color indexed="55"/>
      <name val="Calibri"/>
      <family val="2"/>
      <charset val="204"/>
      <scheme val="minor"/>
    </font>
    <font>
      <b/>
      <sz val="8"/>
      <color indexed="55"/>
      <name val="Calibri"/>
      <family val="2"/>
      <charset val="204"/>
      <scheme val="minor"/>
    </font>
    <font>
      <sz val="8"/>
      <color indexed="8"/>
      <name val="Calibri"/>
      <family val="2"/>
      <charset val="204"/>
      <scheme val="minor"/>
    </font>
    <font>
      <sz val="8"/>
      <color indexed="10"/>
      <name val="Calibri"/>
      <family val="2"/>
      <charset val="204"/>
      <scheme val="minor"/>
    </font>
    <font>
      <sz val="8"/>
      <color indexed="17"/>
      <name val="Calibri"/>
      <family val="2"/>
      <charset val="204"/>
      <scheme val="minor"/>
    </font>
    <font>
      <sz val="18"/>
      <color indexed="9"/>
      <name val="Calibri"/>
      <family val="2"/>
      <charset val="204"/>
      <scheme val="minor"/>
    </font>
    <font>
      <sz val="9"/>
      <name val="Calibri"/>
      <family val="2"/>
      <charset val="204"/>
      <scheme val="minor"/>
    </font>
    <font>
      <sz val="10"/>
      <name val="Calibri"/>
      <family val="2"/>
      <charset val="204"/>
      <scheme val="minor"/>
    </font>
    <font>
      <b/>
      <sz val="10"/>
      <name val="Calibri"/>
      <family val="2"/>
      <charset val="204"/>
      <scheme val="minor"/>
    </font>
    <font>
      <b/>
      <sz val="10"/>
      <color indexed="17"/>
      <name val="Calibri"/>
      <family val="2"/>
      <charset val="204"/>
      <scheme val="minor"/>
    </font>
    <font>
      <b/>
      <sz val="8"/>
      <color rgb="FF0070C0"/>
      <name val="Calibri"/>
      <family val="2"/>
      <charset val="204"/>
      <scheme val="minor"/>
    </font>
    <font>
      <sz val="8"/>
      <color theme="0" tint="-0.14999847407452621"/>
      <name val="Calibri"/>
      <family val="2"/>
      <charset val="204"/>
      <scheme val="minor"/>
    </font>
    <font>
      <b/>
      <sz val="10"/>
      <color theme="1"/>
      <name val="Calibri"/>
      <family val="2"/>
      <charset val="204"/>
      <scheme val="minor"/>
    </font>
    <font>
      <sz val="8"/>
      <color theme="0" tint="-0.499984740745262"/>
      <name val="Calibri"/>
      <family val="2"/>
      <charset val="204"/>
      <scheme val="minor"/>
    </font>
    <font>
      <sz val="11"/>
      <name val="Calibri"/>
      <family val="2"/>
      <charset val="204"/>
      <scheme val="minor"/>
    </font>
    <font>
      <sz val="11"/>
      <color theme="1"/>
      <name val="Calibri"/>
      <family val="2"/>
      <charset val="204"/>
      <scheme val="minor"/>
    </font>
    <font>
      <sz val="18"/>
      <name val="Calibri"/>
      <family val="2"/>
      <charset val="204"/>
      <scheme val="minor"/>
    </font>
    <font>
      <b/>
      <sz val="11"/>
      <name val="Calibri"/>
      <family val="2"/>
      <charset val="204"/>
      <scheme val="minor"/>
    </font>
    <font>
      <b/>
      <sz val="12"/>
      <name val="Calibri"/>
      <family val="2"/>
      <charset val="204"/>
      <scheme val="minor"/>
    </font>
    <font>
      <sz val="12"/>
      <name val="Calibri"/>
      <family val="2"/>
      <charset val="204"/>
      <scheme val="minor"/>
    </font>
    <font>
      <sz val="11"/>
      <color theme="1" tint="0.34998626667073579"/>
      <name val="Calibri"/>
      <family val="2"/>
      <charset val="204"/>
      <scheme val="minor"/>
    </font>
    <font>
      <u/>
      <sz val="10"/>
      <color indexed="12"/>
      <name val="Arial"/>
      <family val="2"/>
    </font>
    <font>
      <u/>
      <sz val="11"/>
      <color indexed="12"/>
      <name val="Calibri"/>
      <family val="2"/>
      <charset val="204"/>
      <scheme val="minor"/>
    </font>
    <font>
      <sz val="9"/>
      <name val="Calibri"/>
      <family val="2"/>
      <scheme val="minor"/>
    </font>
    <font>
      <b/>
      <sz val="8"/>
      <color indexed="17"/>
      <name val="Calibri"/>
      <family val="2"/>
      <charset val="204"/>
      <scheme val="minor"/>
    </font>
    <font>
      <b/>
      <sz val="8"/>
      <color theme="0" tint="-0.499984740745262"/>
      <name val="Calibri"/>
      <family val="2"/>
      <charset val="204"/>
      <scheme val="minor"/>
    </font>
    <font>
      <b/>
      <sz val="9"/>
      <color theme="1"/>
      <name val="Calibri"/>
      <family val="2"/>
      <charset val="204"/>
      <scheme val="minor"/>
    </font>
    <font>
      <b/>
      <sz val="9"/>
      <name val="Calibri"/>
      <family val="2"/>
      <charset val="204"/>
      <scheme val="minor"/>
    </font>
    <font>
      <b/>
      <u/>
      <sz val="11"/>
      <name val="Calibri"/>
      <family val="2"/>
      <charset val="204"/>
      <scheme val="minor"/>
    </font>
    <font>
      <sz val="9"/>
      <color indexed="81"/>
      <name val="Calibri"/>
      <family val="2"/>
      <charset val="204"/>
      <scheme val="minor"/>
    </font>
    <font>
      <b/>
      <sz val="18"/>
      <name val="Calibri"/>
      <family val="2"/>
      <charset val="204"/>
      <scheme val="minor"/>
    </font>
    <font>
      <sz val="8"/>
      <color theme="0" tint="-0.34998626667073579"/>
      <name val="Calibri"/>
      <family val="2"/>
      <charset val="204"/>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46">
    <border>
      <left/>
      <right/>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bottom style="hair">
        <color auto="1"/>
      </bottom>
      <diagonal/>
    </border>
    <border>
      <left/>
      <right/>
      <top style="hair">
        <color auto="1"/>
      </top>
      <bottom/>
      <diagonal/>
    </border>
    <border>
      <left style="hair">
        <color indexed="64"/>
      </left>
      <right style="hair">
        <color indexed="64"/>
      </right>
      <top/>
      <bottom style="hair">
        <color indexed="64"/>
      </bottom>
      <diagonal/>
    </border>
    <border>
      <left style="hair">
        <color indexed="8"/>
      </left>
      <right style="hair">
        <color indexed="8"/>
      </right>
      <top style="hair">
        <color indexed="8"/>
      </top>
      <bottom style="hair">
        <color indexed="8"/>
      </bottom>
      <diagonal/>
    </border>
    <border>
      <left style="hair">
        <color indexed="8"/>
      </left>
      <right/>
      <top/>
      <bottom/>
      <diagonal/>
    </border>
    <border>
      <left style="hair">
        <color indexed="8"/>
      </left>
      <right/>
      <top/>
      <bottom style="hair">
        <color indexed="8"/>
      </bottom>
      <diagonal/>
    </border>
    <border>
      <left/>
      <right/>
      <top/>
      <bottom style="hair">
        <color indexed="8"/>
      </bottom>
      <diagonal/>
    </border>
    <border>
      <left/>
      <right style="hair">
        <color indexed="8"/>
      </right>
      <top/>
      <bottom style="hair">
        <color indexed="8"/>
      </bottom>
      <diagonal/>
    </border>
    <border>
      <left/>
      <right/>
      <top/>
      <bottom style="hair">
        <color indexed="23"/>
      </bottom>
      <diagonal/>
    </border>
    <border>
      <left style="hair">
        <color indexed="8"/>
      </left>
      <right/>
      <top style="hair">
        <color indexed="8"/>
      </top>
      <bottom style="hair">
        <color indexed="8"/>
      </bottom>
      <diagonal/>
    </border>
    <border>
      <left/>
      <right style="hair">
        <color indexed="8"/>
      </right>
      <top style="hair">
        <color indexed="8"/>
      </top>
      <bottom style="hair">
        <color indexed="8"/>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right style="hair">
        <color indexed="8"/>
      </right>
      <top/>
      <bottom/>
      <diagonal/>
    </border>
    <border>
      <left style="hair">
        <color indexed="23"/>
      </left>
      <right style="hair">
        <color indexed="23"/>
      </right>
      <top/>
      <bottom style="hair">
        <color indexed="23"/>
      </bottom>
      <diagonal/>
    </border>
    <border>
      <left style="hair">
        <color indexed="23"/>
      </left>
      <right/>
      <top/>
      <bottom style="hair">
        <color indexed="23"/>
      </bottom>
      <diagonal/>
    </border>
    <border>
      <left style="hair">
        <color auto="1"/>
      </left>
      <right style="hair">
        <color auto="1"/>
      </right>
      <top style="hair">
        <color auto="1"/>
      </top>
      <bottom style="hair">
        <color auto="1"/>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hair">
        <color auto="1"/>
      </left>
      <right/>
      <top/>
      <bottom style="hair">
        <color auto="1"/>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auto="1"/>
      </left>
      <right/>
      <top style="hair">
        <color auto="1"/>
      </top>
      <bottom/>
      <diagonal/>
    </border>
    <border>
      <left/>
      <right style="hair">
        <color auto="1"/>
      </right>
      <top style="hair">
        <color auto="1"/>
      </top>
      <bottom/>
      <diagonal/>
    </border>
    <border>
      <left/>
      <right style="hair">
        <color auto="1"/>
      </right>
      <top/>
      <bottom style="hair">
        <color auto="1"/>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hair">
        <color indexed="23"/>
      </left>
      <right style="hair">
        <color indexed="23"/>
      </right>
      <top style="hair">
        <color indexed="23"/>
      </top>
      <bottom style="hair">
        <color indexed="23"/>
      </bottom>
      <diagonal/>
    </border>
    <border>
      <left style="hair">
        <color indexed="23"/>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right/>
      <top style="hair">
        <color indexed="23"/>
      </top>
      <bottom/>
      <diagonal/>
    </border>
    <border>
      <left style="hair">
        <color indexed="64"/>
      </left>
      <right/>
      <top style="hair">
        <color indexed="8"/>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0" borderId="0"/>
    <xf numFmtId="0" fontId="1" fillId="0" borderId="0"/>
    <xf numFmtId="164" fontId="20" fillId="0" borderId="0" applyFont="0" applyFill="0" applyBorder="0" applyAlignment="0" applyProtection="0"/>
    <xf numFmtId="44" fontId="20" fillId="0" borderId="0" applyFont="0" applyFill="0" applyBorder="0" applyAlignment="0" applyProtection="0"/>
    <xf numFmtId="9" fontId="20" fillId="0" borderId="0" applyFont="0" applyFill="0" applyBorder="0" applyAlignment="0" applyProtection="0"/>
    <xf numFmtId="0" fontId="26" fillId="0" borderId="0" applyNumberFormat="0" applyFill="0" applyBorder="0" applyAlignment="0" applyProtection="0">
      <alignment vertical="top"/>
      <protection locked="0"/>
    </xf>
  </cellStyleXfs>
  <cellXfs count="249">
    <xf numFmtId="0" fontId="0" fillId="0" borderId="0" xfId="0"/>
    <xf numFmtId="0" fontId="3" fillId="0" borderId="1" xfId="1" applyFont="1" applyFill="1" applyBorder="1" applyAlignment="1" applyProtection="1">
      <alignment horizontal="center" vertical="center"/>
      <protection locked="0"/>
    </xf>
    <xf numFmtId="166" fontId="4" fillId="0" borderId="19" xfId="1" applyNumberFormat="1" applyFont="1" applyFill="1" applyBorder="1" applyAlignment="1" applyProtection="1">
      <alignment horizontal="center" vertical="center"/>
      <protection locked="0"/>
    </xf>
    <xf numFmtId="0" fontId="7" fillId="0" borderId="0" xfId="1" applyFont="1" applyFill="1" applyBorder="1" applyAlignment="1" applyProtection="1">
      <alignment horizontal="left" vertical="center"/>
    </xf>
    <xf numFmtId="14" fontId="8" fillId="0" borderId="0" xfId="1" applyNumberFormat="1" applyFont="1" applyFill="1" applyBorder="1" applyAlignment="1" applyProtection="1">
      <alignment horizontal="left" vertical="center"/>
    </xf>
    <xf numFmtId="0" fontId="9" fillId="0" borderId="0" xfId="1" applyFont="1" applyFill="1" applyBorder="1" applyAlignment="1" applyProtection="1">
      <alignment horizontal="left" vertical="center"/>
    </xf>
    <xf numFmtId="0" fontId="19" fillId="0" borderId="0" xfId="0" applyNumberFormat="1" applyFont="1" applyAlignment="1">
      <alignment vertical="center"/>
    </xf>
    <xf numFmtId="0" fontId="19" fillId="0" borderId="0" xfId="0" applyNumberFormat="1" applyFont="1"/>
    <xf numFmtId="0" fontId="23" fillId="0" borderId="0" xfId="0" applyNumberFormat="1" applyFont="1" applyAlignment="1">
      <alignment vertical="top"/>
    </xf>
    <xf numFmtId="0" fontId="19" fillId="0" borderId="0" xfId="0" applyNumberFormat="1" applyFont="1" applyAlignment="1">
      <alignment vertical="top"/>
    </xf>
    <xf numFmtId="0" fontId="19" fillId="0" borderId="0" xfId="0" applyNumberFormat="1" applyFont="1" applyAlignment="1">
      <alignment vertical="top" wrapText="1"/>
    </xf>
    <xf numFmtId="0" fontId="24" fillId="0" borderId="0" xfId="0" applyNumberFormat="1" applyFont="1" applyAlignment="1">
      <alignment vertical="top"/>
    </xf>
    <xf numFmtId="0" fontId="19" fillId="0" borderId="0" xfId="0" applyFont="1"/>
    <xf numFmtId="0" fontId="25" fillId="0" borderId="0" xfId="0" applyFont="1" applyFill="1" applyBorder="1" applyAlignment="1">
      <alignment horizontal="center"/>
    </xf>
    <xf numFmtId="0" fontId="27" fillId="0" borderId="0" xfId="5" applyFont="1" applyFill="1" applyBorder="1" applyAlignment="1" applyProtection="1">
      <alignment horizontal="left" indent="1"/>
    </xf>
    <xf numFmtId="0" fontId="20" fillId="0" borderId="0" xfId="0" applyFont="1" applyFill="1" applyBorder="1"/>
    <xf numFmtId="0" fontId="19" fillId="0" borderId="0" xfId="0" applyNumberFormat="1" applyFont="1" applyFill="1"/>
    <xf numFmtId="0" fontId="23" fillId="3" borderId="0" xfId="0" applyNumberFormat="1" applyFont="1" applyFill="1" applyAlignment="1">
      <alignment vertical="top"/>
    </xf>
    <xf numFmtId="0" fontId="22" fillId="3" borderId="0" xfId="0" applyNumberFormat="1" applyFont="1" applyFill="1" applyAlignment="1">
      <alignment vertical="top"/>
    </xf>
    <xf numFmtId="0" fontId="19" fillId="3" borderId="0" xfId="0" applyNumberFormat="1" applyFont="1" applyFill="1" applyAlignment="1">
      <alignment vertical="top"/>
    </xf>
    <xf numFmtId="0" fontId="19" fillId="0" borderId="22" xfId="0" applyNumberFormat="1" applyFont="1" applyBorder="1" applyAlignment="1">
      <alignment horizontal="left" vertical="center" wrapText="1"/>
    </xf>
    <xf numFmtId="0" fontId="19" fillId="3" borderId="22" xfId="0" applyNumberFormat="1" applyFont="1" applyFill="1" applyBorder="1" applyAlignment="1">
      <alignment horizontal="left" vertical="center" wrapText="1"/>
    </xf>
    <xf numFmtId="0" fontId="24" fillId="3" borderId="0" xfId="0" applyNumberFormat="1" applyFont="1" applyFill="1" applyAlignment="1">
      <alignment vertical="top"/>
    </xf>
    <xf numFmtId="0" fontId="19" fillId="0" borderId="22" xfId="0" applyNumberFormat="1" applyFont="1" applyBorder="1" applyAlignment="1">
      <alignment vertical="top"/>
    </xf>
    <xf numFmtId="0" fontId="19" fillId="0" borderId="22" xfId="0" applyNumberFormat="1" applyFont="1" applyBorder="1"/>
    <xf numFmtId="0" fontId="21" fillId="3" borderId="0" xfId="3" applyNumberFormat="1" applyFont="1" applyFill="1" applyBorder="1" applyAlignment="1">
      <alignment vertical="center"/>
    </xf>
    <xf numFmtId="0" fontId="19" fillId="3" borderId="0" xfId="0" applyNumberFormat="1" applyFont="1" applyFill="1" applyAlignment="1">
      <alignment vertical="center"/>
    </xf>
    <xf numFmtId="0" fontId="19" fillId="3" borderId="0" xfId="0" applyNumberFormat="1" applyFont="1" applyFill="1"/>
    <xf numFmtId="0" fontId="33" fillId="0" borderId="0" xfId="0" applyNumberFormat="1" applyFont="1" applyAlignment="1">
      <alignment vertical="center" wrapText="1"/>
    </xf>
    <xf numFmtId="0" fontId="22" fillId="0" borderId="0" xfId="0" applyFont="1" applyFill="1" applyBorder="1"/>
    <xf numFmtId="0" fontId="22" fillId="0" borderId="0" xfId="0" applyNumberFormat="1" applyFont="1" applyAlignment="1">
      <alignment vertical="top"/>
    </xf>
    <xf numFmtId="0" fontId="22" fillId="0" borderId="0" xfId="0" applyNumberFormat="1" applyFont="1" applyAlignment="1">
      <alignment vertical="center"/>
    </xf>
    <xf numFmtId="0" fontId="19" fillId="2" borderId="22" xfId="0" applyNumberFormat="1" applyFont="1" applyFill="1" applyBorder="1" applyAlignment="1">
      <alignment horizontal="center" vertical="center" wrapText="1"/>
    </xf>
    <xf numFmtId="0" fontId="19" fillId="0" borderId="22" xfId="0" applyNumberFormat="1" applyFont="1" applyFill="1" applyBorder="1" applyAlignment="1">
      <alignment horizontal="center" vertical="center" wrapText="1"/>
    </xf>
    <xf numFmtId="0" fontId="0" fillId="0" borderId="22" xfId="0" applyNumberFormat="1" applyFont="1" applyFill="1" applyBorder="1" applyAlignment="1">
      <alignment horizontal="center" vertical="center" wrapText="1"/>
    </xf>
    <xf numFmtId="0" fontId="19" fillId="0" borderId="22" xfId="0" applyNumberFormat="1" applyFont="1" applyFill="1" applyBorder="1" applyAlignment="1">
      <alignment horizontal="center" vertical="top" wrapText="1"/>
    </xf>
    <xf numFmtId="0" fontId="19" fillId="0" borderId="22" xfId="0" applyNumberFormat="1" applyFont="1" applyFill="1" applyBorder="1" applyAlignment="1">
      <alignment horizontal="center" vertical="top"/>
    </xf>
    <xf numFmtId="0" fontId="19" fillId="0" borderId="22" xfId="0" applyNumberFormat="1" applyFont="1" applyFill="1" applyBorder="1" applyAlignment="1">
      <alignment horizontal="center" vertical="center"/>
    </xf>
    <xf numFmtId="0" fontId="19" fillId="0" borderId="22" xfId="0" applyFont="1" applyFill="1" applyBorder="1" applyAlignment="1">
      <alignment horizontal="center" vertical="center"/>
    </xf>
    <xf numFmtId="0" fontId="3" fillId="0" borderId="0" xfId="1" applyFont="1" applyAlignment="1" applyProtection="1">
      <alignment horizontal="center" vertical="center"/>
    </xf>
    <xf numFmtId="0" fontId="3" fillId="0" borderId="0" xfId="1" applyFont="1" applyAlignment="1" applyProtection="1">
      <alignment horizontal="left" vertical="center"/>
    </xf>
    <xf numFmtId="0" fontId="3" fillId="0" borderId="0" xfId="1" applyFont="1" applyFill="1" applyAlignment="1" applyProtection="1">
      <alignment vertical="center"/>
    </xf>
    <xf numFmtId="0" fontId="3" fillId="4" borderId="1" xfId="0" quotePrefix="1" applyFont="1" applyFill="1" applyBorder="1" applyAlignment="1" applyProtection="1">
      <alignment horizontal="center" vertical="center"/>
    </xf>
    <xf numFmtId="0" fontId="11" fillId="4" borderId="1" xfId="0" applyFont="1" applyFill="1" applyBorder="1" applyAlignment="1" applyProtection="1">
      <alignment horizontal="center" vertical="center"/>
    </xf>
    <xf numFmtId="0" fontId="11" fillId="4" borderId="1" xfId="0" quotePrefix="1" applyFont="1" applyFill="1" applyBorder="1" applyAlignment="1" applyProtection="1">
      <alignment horizontal="center" vertical="center"/>
    </xf>
    <xf numFmtId="9" fontId="5" fillId="4" borderId="4" xfId="0" applyNumberFormat="1" applyFont="1" applyFill="1" applyBorder="1" applyAlignment="1" applyProtection="1">
      <alignment horizontal="center" vertical="center"/>
    </xf>
    <xf numFmtId="1" fontId="9" fillId="4" borderId="1" xfId="0" applyNumberFormat="1" applyFont="1" applyFill="1" applyBorder="1" applyAlignment="1" applyProtection="1">
      <alignment horizontal="center" vertical="center"/>
    </xf>
    <xf numFmtId="1" fontId="18" fillId="4" borderId="1" xfId="0" applyNumberFormat="1" applyFont="1" applyFill="1" applyBorder="1" applyAlignment="1" applyProtection="1">
      <alignment horizontal="center" vertical="center"/>
    </xf>
    <xf numFmtId="167" fontId="5" fillId="4" borderId="4" xfId="0" applyNumberFormat="1" applyFont="1" applyFill="1" applyBorder="1" applyAlignment="1" applyProtection="1">
      <alignment horizontal="center" vertical="center"/>
    </xf>
    <xf numFmtId="0" fontId="2" fillId="0" borderId="0" xfId="1" applyFont="1" applyFill="1" applyAlignment="1" applyProtection="1">
      <alignment vertical="center"/>
    </xf>
    <xf numFmtId="168" fontId="5" fillId="4" borderId="1" xfId="2" applyNumberFormat="1" applyFont="1" applyFill="1" applyBorder="1" applyAlignment="1" applyProtection="1">
      <alignment horizontal="center" vertical="center"/>
    </xf>
    <xf numFmtId="9" fontId="5" fillId="4" borderId="1" xfId="4" applyFont="1" applyFill="1" applyBorder="1" applyAlignment="1" applyProtection="1">
      <alignment horizontal="center" vertical="center"/>
    </xf>
    <xf numFmtId="0" fontId="13" fillId="4" borderId="1" xfId="0" applyFont="1" applyFill="1" applyBorder="1" applyAlignment="1" applyProtection="1">
      <alignment horizontal="center" vertical="center"/>
    </xf>
    <xf numFmtId="167" fontId="17" fillId="4" borderId="4" xfId="0" applyNumberFormat="1" applyFont="1" applyFill="1" applyBorder="1" applyAlignment="1" applyProtection="1">
      <alignment horizontal="center" vertical="center"/>
    </xf>
    <xf numFmtId="1" fontId="14" fillId="4" borderId="1" xfId="0" applyNumberFormat="1" applyFont="1" applyFill="1" applyBorder="1" applyAlignment="1" applyProtection="1">
      <alignment horizontal="center" vertical="center"/>
    </xf>
    <xf numFmtId="1" fontId="9" fillId="0" borderId="0" xfId="0" applyNumberFormat="1" applyFont="1" applyFill="1" applyBorder="1" applyAlignment="1" applyProtection="1">
      <alignment horizontal="center" vertical="center"/>
    </xf>
    <xf numFmtId="0" fontId="2" fillId="4" borderId="1" xfId="0" applyFont="1" applyFill="1" applyBorder="1" applyAlignment="1" applyProtection="1">
      <alignment horizontal="center" vertical="center"/>
    </xf>
    <xf numFmtId="9" fontId="31" fillId="4" borderId="4" xfId="0" applyNumberFormat="1" applyFont="1" applyFill="1" applyBorder="1" applyAlignment="1" applyProtection="1">
      <alignment horizontal="center" vertical="center"/>
    </xf>
    <xf numFmtId="1" fontId="29" fillId="4" borderId="1" xfId="0" applyNumberFormat="1" applyFont="1" applyFill="1" applyBorder="1" applyAlignment="1" applyProtection="1">
      <alignment horizontal="center" vertical="center"/>
    </xf>
    <xf numFmtId="1" fontId="30" fillId="4" borderId="1" xfId="0" applyNumberFormat="1" applyFont="1" applyFill="1" applyBorder="1" applyAlignment="1" applyProtection="1">
      <alignment horizontal="center" vertical="center"/>
    </xf>
    <xf numFmtId="0" fontId="3" fillId="0" borderId="0" xfId="1" applyFont="1" applyFill="1" applyAlignment="1" applyProtection="1">
      <alignment horizontal="center" vertical="center"/>
    </xf>
    <xf numFmtId="0" fontId="3" fillId="0" borderId="0" xfId="1" applyFont="1" applyFill="1" applyAlignment="1" applyProtection="1">
      <alignment horizontal="left" vertical="center"/>
    </xf>
    <xf numFmtId="0" fontId="3" fillId="4" borderId="6" xfId="1" applyFont="1" applyFill="1" applyBorder="1" applyAlignment="1" applyProtection="1">
      <alignment horizontal="center" vertical="center"/>
    </xf>
    <xf numFmtId="0" fontId="3" fillId="4" borderId="0" xfId="1" applyFont="1" applyFill="1" applyAlignment="1" applyProtection="1">
      <alignment vertical="center"/>
    </xf>
    <xf numFmtId="0" fontId="2" fillId="0" borderId="0" xfId="1" applyFont="1" applyAlignment="1" applyProtection="1">
      <alignment horizontal="center" vertical="center"/>
    </xf>
    <xf numFmtId="0" fontId="5" fillId="0" borderId="0" xfId="1" applyFont="1" applyAlignment="1" applyProtection="1">
      <alignment horizontal="center" vertical="center"/>
    </xf>
    <xf numFmtId="0" fontId="5" fillId="0" borderId="0" xfId="1" applyFont="1" applyFill="1" applyAlignment="1" applyProtection="1">
      <alignment vertical="center"/>
    </xf>
    <xf numFmtId="0" fontId="3" fillId="0" borderId="0" xfId="1" applyFont="1" applyFill="1" applyBorder="1" applyAlignment="1" applyProtection="1">
      <alignment horizontal="left" vertical="center"/>
    </xf>
    <xf numFmtId="0" fontId="6" fillId="0" borderId="0" xfId="1" applyFont="1" applyFill="1" applyAlignment="1" applyProtection="1">
      <alignment horizontal="center" vertical="center"/>
    </xf>
    <xf numFmtId="0" fontId="3" fillId="0" borderId="0" xfId="1" applyFont="1" applyFill="1" applyBorder="1" applyAlignment="1" applyProtection="1">
      <alignment vertical="center"/>
    </xf>
    <xf numFmtId="0" fontId="3" fillId="4" borderId="20" xfId="1" applyFont="1" applyFill="1" applyBorder="1" applyAlignment="1" applyProtection="1">
      <alignment horizontal="center" vertical="center"/>
    </xf>
    <xf numFmtId="14" fontId="3" fillId="0" borderId="0" xfId="1" applyNumberFormat="1" applyFont="1" applyFill="1" applyBorder="1" applyAlignment="1" applyProtection="1">
      <alignment horizontal="center" vertical="center"/>
    </xf>
    <xf numFmtId="14" fontId="3" fillId="0" borderId="0" xfId="1" applyNumberFormat="1" applyFont="1" applyFill="1" applyBorder="1" applyAlignment="1" applyProtection="1">
      <alignment vertical="center"/>
    </xf>
    <xf numFmtId="0" fontId="9" fillId="0" borderId="0" xfId="1" applyFont="1" applyFill="1" applyBorder="1" applyAlignment="1" applyProtection="1">
      <alignment vertical="center"/>
    </xf>
    <xf numFmtId="0" fontId="3" fillId="0" borderId="0" xfId="1" applyFont="1" applyAlignment="1" applyProtection="1">
      <alignment vertical="center"/>
    </xf>
    <xf numFmtId="1" fontId="3" fillId="0" borderId="0" xfId="1" applyNumberFormat="1" applyFont="1" applyFill="1" applyBorder="1" applyAlignment="1" applyProtection="1">
      <alignment horizontal="center" vertical="center"/>
    </xf>
    <xf numFmtId="1" fontId="3" fillId="0" borderId="0" xfId="1" applyNumberFormat="1" applyFont="1" applyFill="1" applyAlignment="1" applyProtection="1">
      <alignment horizontal="center" vertical="center"/>
    </xf>
    <xf numFmtId="0" fontId="10" fillId="0" borderId="0" xfId="1" applyFont="1" applyFill="1" applyBorder="1" applyAlignment="1" applyProtection="1">
      <alignment horizontal="center" vertical="center" textRotation="90" wrapText="1"/>
    </xf>
    <xf numFmtId="0" fontId="18" fillId="3" borderId="0" xfId="1" applyFont="1" applyFill="1" applyBorder="1" applyAlignment="1" applyProtection="1">
      <alignment horizontal="center" vertical="center" wrapText="1"/>
    </xf>
    <xf numFmtId="0" fontId="2" fillId="3" borderId="0" xfId="1" applyFont="1" applyFill="1" applyBorder="1" applyAlignment="1" applyProtection="1">
      <alignment horizontal="center" vertical="center" wrapText="1"/>
    </xf>
    <xf numFmtId="0" fontId="18" fillId="3" borderId="14" xfId="1" applyFont="1" applyFill="1" applyBorder="1" applyAlignment="1" applyProtection="1">
      <alignment horizontal="center" vertical="center" wrapText="1"/>
    </xf>
    <xf numFmtId="0" fontId="12" fillId="0" borderId="0" xfId="1" applyFont="1" applyFill="1" applyAlignment="1" applyProtection="1">
      <alignment horizontal="center" vertical="center"/>
    </xf>
    <xf numFmtId="0" fontId="12" fillId="0" borderId="0" xfId="1" applyFont="1" applyFill="1" applyAlignment="1" applyProtection="1">
      <alignment vertical="center"/>
    </xf>
    <xf numFmtId="0" fontId="12" fillId="0" borderId="0" xfId="1" applyFont="1" applyAlignment="1" applyProtection="1">
      <alignment horizontal="left" vertical="center"/>
    </xf>
    <xf numFmtId="0" fontId="2" fillId="4" borderId="1" xfId="1" applyFont="1" applyFill="1" applyBorder="1" applyAlignment="1" applyProtection="1">
      <alignment horizontal="center" vertical="center"/>
    </xf>
    <xf numFmtId="0" fontId="28" fillId="0" borderId="0" xfId="0" applyFont="1" applyFill="1" applyBorder="1" applyAlignment="1" applyProtection="1">
      <alignment horizontal="right" vertical="center" shrinkToFit="1"/>
    </xf>
    <xf numFmtId="0" fontId="3" fillId="0" borderId="3" xfId="0" applyFont="1" applyBorder="1" applyAlignment="1" applyProtection="1">
      <alignment horizontal="center" vertical="center"/>
    </xf>
    <xf numFmtId="0" fontId="3" fillId="0" borderId="3" xfId="0" quotePrefix="1" applyFont="1" applyBorder="1" applyAlignment="1" applyProtection="1">
      <alignment horizontal="center" vertical="center"/>
    </xf>
    <xf numFmtId="0" fontId="3" fillId="0" borderId="3" xfId="0" applyFont="1" applyFill="1" applyBorder="1" applyAlignment="1" applyProtection="1">
      <alignment horizontal="center" vertical="center"/>
    </xf>
    <xf numFmtId="3" fontId="3" fillId="0" borderId="3" xfId="0" applyNumberFormat="1" applyFont="1" applyFill="1" applyBorder="1" applyAlignment="1" applyProtection="1">
      <alignment horizontal="center" vertical="center"/>
    </xf>
    <xf numFmtId="3" fontId="3" fillId="0" borderId="0" xfId="1" applyNumberFormat="1" applyFont="1" applyFill="1" applyAlignment="1" applyProtection="1">
      <alignment vertical="center"/>
    </xf>
    <xf numFmtId="0" fontId="3" fillId="0" borderId="18" xfId="0" applyFont="1" applyFill="1" applyBorder="1" applyAlignment="1" applyProtection="1">
      <alignment horizontal="center" vertical="center"/>
    </xf>
    <xf numFmtId="0" fontId="7" fillId="4" borderId="3" xfId="0" applyFont="1" applyFill="1" applyBorder="1" applyAlignment="1" applyProtection="1">
      <alignment horizontal="center" vertical="center" wrapText="1"/>
    </xf>
    <xf numFmtId="0" fontId="7" fillId="0" borderId="3" xfId="0" applyFont="1" applyFill="1" applyBorder="1" applyAlignment="1" applyProtection="1">
      <alignment horizontal="center" vertical="center" wrapText="1"/>
    </xf>
    <xf numFmtId="14" fontId="18" fillId="0" borderId="17" xfId="1" applyNumberFormat="1" applyFont="1" applyBorder="1" applyAlignment="1" applyProtection="1">
      <alignment horizontal="center" vertical="center"/>
      <protection locked="0"/>
    </xf>
    <xf numFmtId="0" fontId="18" fillId="0" borderId="17" xfId="1" applyFont="1" applyBorder="1" applyAlignment="1" applyProtection="1">
      <alignment horizontal="center" vertical="center"/>
      <protection locked="0"/>
    </xf>
    <xf numFmtId="0" fontId="3" fillId="0" borderId="0" xfId="1" applyFont="1" applyAlignment="1" applyProtection="1">
      <alignment horizontal="center"/>
      <protection locked="0"/>
    </xf>
    <xf numFmtId="166" fontId="4" fillId="0" borderId="13" xfId="1" applyNumberFormat="1" applyFont="1" applyFill="1" applyBorder="1" applyAlignment="1" applyProtection="1">
      <alignment horizontal="center" vertical="center"/>
      <protection locked="0"/>
    </xf>
    <xf numFmtId="0" fontId="20" fillId="0" borderId="22" xfId="5" applyFont="1" applyFill="1" applyBorder="1" applyAlignment="1" applyProtection="1">
      <alignment horizontal="center" vertical="center"/>
    </xf>
    <xf numFmtId="0" fontId="3" fillId="4" borderId="0" xfId="1" applyFont="1" applyFill="1" applyBorder="1" applyAlignment="1" applyProtection="1">
      <alignment horizontal="center" vertical="center"/>
    </xf>
    <xf numFmtId="0" fontId="7" fillId="4" borderId="0" xfId="0" applyFont="1" applyFill="1" applyBorder="1" applyAlignment="1" applyProtection="1">
      <alignment horizontal="center" vertical="center" wrapText="1"/>
    </xf>
    <xf numFmtId="0" fontId="7" fillId="0" borderId="0" xfId="0" applyFont="1" applyFill="1" applyBorder="1" applyAlignment="1" applyProtection="1">
      <alignment horizontal="center" vertical="center" wrapText="1"/>
    </xf>
    <xf numFmtId="0" fontId="2" fillId="0" borderId="0" xfId="1" applyFont="1" applyFill="1" applyBorder="1" applyAlignment="1" applyProtection="1">
      <alignment vertical="center"/>
    </xf>
    <xf numFmtId="1" fontId="3" fillId="4" borderId="1" xfId="0" applyNumberFormat="1" applyFont="1" applyFill="1" applyBorder="1" applyAlignment="1" applyProtection="1">
      <alignment horizontal="center" vertical="center"/>
    </xf>
    <xf numFmtId="9" fontId="32" fillId="4" borderId="1" xfId="0" applyNumberFormat="1" applyFont="1" applyFill="1" applyBorder="1" applyAlignment="1" applyProtection="1">
      <alignment horizontal="center" vertical="center"/>
    </xf>
    <xf numFmtId="9" fontId="32" fillId="0" borderId="0" xfId="0" applyNumberFormat="1" applyFont="1" applyFill="1" applyBorder="1" applyAlignment="1" applyProtection="1">
      <alignment horizontal="center" vertical="center"/>
    </xf>
    <xf numFmtId="0" fontId="3" fillId="0" borderId="0" xfId="0" applyFont="1" applyFill="1" applyBorder="1" applyAlignment="1" applyProtection="1">
      <alignment vertical="center"/>
    </xf>
    <xf numFmtId="0" fontId="3" fillId="0" borderId="0" xfId="0" applyFont="1" applyFill="1" applyBorder="1" applyAlignment="1" applyProtection="1">
      <alignment horizontal="center" vertical="center"/>
    </xf>
    <xf numFmtId="1" fontId="3" fillId="0" borderId="0" xfId="0" applyNumberFormat="1" applyFont="1" applyFill="1" applyBorder="1" applyAlignment="1" applyProtection="1">
      <alignment horizontal="center" vertical="center"/>
    </xf>
    <xf numFmtId="0" fontId="18" fillId="0" borderId="1" xfId="1" applyFont="1" applyBorder="1" applyAlignment="1" applyProtection="1">
      <alignment vertical="center"/>
      <protection locked="0"/>
    </xf>
    <xf numFmtId="0" fontId="18" fillId="0" borderId="1" xfId="1" applyFont="1" applyBorder="1" applyAlignment="1" applyProtection="1">
      <alignment horizontal="center" vertical="center"/>
      <protection locked="0"/>
    </xf>
    <xf numFmtId="0" fontId="2" fillId="0" borderId="0" xfId="0" applyFont="1" applyFill="1" applyBorder="1" applyAlignment="1" applyProtection="1">
      <alignment horizontal="center" vertical="center"/>
    </xf>
    <xf numFmtId="9" fontId="31" fillId="0" borderId="0" xfId="0" applyNumberFormat="1" applyFont="1" applyFill="1" applyBorder="1" applyAlignment="1" applyProtection="1">
      <alignment horizontal="center" vertical="center"/>
    </xf>
    <xf numFmtId="1" fontId="29" fillId="0" borderId="0" xfId="0" applyNumberFormat="1" applyFont="1" applyFill="1" applyBorder="1" applyAlignment="1" applyProtection="1">
      <alignment horizontal="center" vertical="center"/>
    </xf>
    <xf numFmtId="1" fontId="30" fillId="0" borderId="0" xfId="0" applyNumberFormat="1" applyFont="1" applyFill="1" applyBorder="1" applyAlignment="1" applyProtection="1">
      <alignment horizontal="center" vertical="center"/>
    </xf>
    <xf numFmtId="1" fontId="36" fillId="4" borderId="1" xfId="0" applyNumberFormat="1" applyFont="1" applyFill="1" applyBorder="1" applyAlignment="1" applyProtection="1">
      <alignment horizontal="center" vertical="center"/>
    </xf>
    <xf numFmtId="1" fontId="36" fillId="4" borderId="1" xfId="2" applyNumberFormat="1" applyFont="1" applyFill="1" applyBorder="1" applyAlignment="1" applyProtection="1">
      <alignment horizontal="center" vertical="center"/>
    </xf>
    <xf numFmtId="1" fontId="36" fillId="4" borderId="1" xfId="4" applyNumberFormat="1" applyFont="1" applyFill="1" applyBorder="1" applyAlignment="1" applyProtection="1">
      <alignment horizontal="center" vertical="center"/>
    </xf>
    <xf numFmtId="0" fontId="36" fillId="4" borderId="1" xfId="0" applyFont="1" applyFill="1" applyBorder="1" applyAlignment="1" applyProtection="1">
      <alignment horizontal="center" vertical="center"/>
    </xf>
    <xf numFmtId="168" fontId="36" fillId="4" borderId="1" xfId="2" applyNumberFormat="1" applyFont="1" applyFill="1" applyBorder="1" applyAlignment="1" applyProtection="1">
      <alignment horizontal="center" vertical="center"/>
    </xf>
    <xf numFmtId="168" fontId="3" fillId="4" borderId="1" xfId="2" applyNumberFormat="1" applyFont="1" applyFill="1" applyBorder="1" applyAlignment="1" applyProtection="1">
      <alignment horizontal="center" vertical="center"/>
    </xf>
    <xf numFmtId="9" fontId="3" fillId="4" borderId="1" xfId="4" applyFont="1" applyFill="1" applyBorder="1" applyAlignment="1" applyProtection="1">
      <alignment horizontal="center" vertical="center"/>
    </xf>
    <xf numFmtId="0" fontId="3" fillId="0" borderId="0" xfId="1" applyFont="1" applyFill="1" applyAlignment="1" applyProtection="1">
      <alignment horizontal="center" vertical="center"/>
    </xf>
    <xf numFmtId="0" fontId="2" fillId="0" borderId="0" xfId="1" applyFont="1" applyFill="1" applyAlignment="1" applyProtection="1">
      <alignment horizontal="center" vertical="center"/>
    </xf>
    <xf numFmtId="0" fontId="3" fillId="0" borderId="0" xfId="1" applyFont="1" applyAlignment="1" applyProtection="1">
      <alignment horizontal="center" vertical="center"/>
    </xf>
    <xf numFmtId="0" fontId="3" fillId="0" borderId="0" xfId="1" applyFont="1" applyFill="1" applyBorder="1" applyAlignment="1" applyProtection="1">
      <alignment horizontal="center" vertical="center" wrapText="1"/>
    </xf>
    <xf numFmtId="0" fontId="3" fillId="0" borderId="17" xfId="1" applyFont="1" applyBorder="1" applyAlignment="1" applyProtection="1">
      <alignment horizontal="center" vertical="center"/>
      <protection locked="0"/>
    </xf>
    <xf numFmtId="0" fontId="3" fillId="4" borderId="1" xfId="1" applyFont="1" applyFill="1" applyBorder="1" applyAlignment="1" applyProtection="1">
      <alignment horizontal="center" vertical="center"/>
    </xf>
    <xf numFmtId="0" fontId="3" fillId="4" borderId="0" xfId="1" applyFont="1" applyFill="1" applyAlignment="1" applyProtection="1">
      <alignment horizontal="center" vertical="center"/>
    </xf>
    <xf numFmtId="0" fontId="3" fillId="0" borderId="4" xfId="1" applyFont="1" applyBorder="1" applyAlignment="1" applyProtection="1">
      <alignment horizontal="left" vertical="center"/>
      <protection locked="0"/>
    </xf>
    <xf numFmtId="0" fontId="3" fillId="0" borderId="17" xfId="1" applyFont="1" applyBorder="1" applyAlignment="1" applyProtection="1">
      <alignment horizontal="left" vertical="center"/>
      <protection locked="0"/>
    </xf>
    <xf numFmtId="0" fontId="11" fillId="4" borderId="4" xfId="0" applyFont="1" applyFill="1" applyBorder="1" applyAlignment="1" applyProtection="1">
      <alignment horizontal="center" vertical="center"/>
    </xf>
    <xf numFmtId="0" fontId="3" fillId="4" borderId="4" xfId="0" applyFont="1" applyFill="1" applyBorder="1" applyAlignment="1" applyProtection="1">
      <alignment horizontal="center" vertical="center"/>
    </xf>
    <xf numFmtId="0" fontId="3" fillId="4" borderId="1" xfId="0" applyFont="1" applyFill="1" applyBorder="1" applyAlignment="1" applyProtection="1">
      <alignment horizontal="center" vertical="center"/>
    </xf>
    <xf numFmtId="0" fontId="3" fillId="4" borderId="9" xfId="1" applyFont="1" applyFill="1" applyBorder="1" applyAlignment="1" applyProtection="1">
      <alignment horizontal="center" vertical="center"/>
    </xf>
    <xf numFmtId="0" fontId="3" fillId="4" borderId="1" xfId="1" applyFont="1" applyFill="1" applyBorder="1" applyAlignment="1" applyProtection="1">
      <alignment horizontal="center" vertical="center" wrapText="1"/>
    </xf>
    <xf numFmtId="0" fontId="3" fillId="4" borderId="4" xfId="1" applyFont="1" applyFill="1" applyBorder="1" applyAlignment="1" applyProtection="1">
      <alignment horizontal="center" vertical="center" wrapText="1"/>
    </xf>
    <xf numFmtId="0" fontId="3" fillId="0" borderId="0" xfId="1" applyFont="1" applyFill="1" applyBorder="1" applyAlignment="1" applyProtection="1">
      <alignment horizontal="center" vertical="center"/>
    </xf>
    <xf numFmtId="0" fontId="3" fillId="4" borderId="28" xfId="1" applyFont="1" applyFill="1" applyBorder="1" applyAlignment="1" applyProtection="1">
      <alignment horizontal="center" vertical="center"/>
    </xf>
    <xf numFmtId="0" fontId="3" fillId="4" borderId="29" xfId="1" applyFont="1" applyFill="1" applyBorder="1" applyAlignment="1" applyProtection="1">
      <alignment horizontal="center" vertical="center"/>
    </xf>
    <xf numFmtId="0" fontId="3" fillId="4" borderId="30" xfId="1" applyFont="1" applyFill="1" applyBorder="1" applyAlignment="1" applyProtection="1">
      <alignment horizontal="center" vertical="center"/>
    </xf>
    <xf numFmtId="3" fontId="3" fillId="4" borderId="22" xfId="1" applyNumberFormat="1" applyFont="1" applyFill="1" applyBorder="1" applyAlignment="1" applyProtection="1">
      <alignment horizontal="center" vertical="center"/>
    </xf>
    <xf numFmtId="0" fontId="4" fillId="0" borderId="25" xfId="1" applyFont="1" applyFill="1" applyBorder="1" applyAlignment="1" applyProtection="1">
      <alignment horizontal="center" vertical="center"/>
      <protection locked="0"/>
    </xf>
    <xf numFmtId="0" fontId="3" fillId="4" borderId="29" xfId="1" applyFont="1" applyFill="1" applyBorder="1" applyAlignment="1" applyProtection="1">
      <alignment vertical="center"/>
    </xf>
    <xf numFmtId="0" fontId="3" fillId="4" borderId="37" xfId="1" applyFont="1" applyFill="1" applyBorder="1" applyAlignment="1" applyProtection="1">
      <alignment horizontal="center" vertical="center" wrapText="1"/>
    </xf>
    <xf numFmtId="0" fontId="3" fillId="4" borderId="39" xfId="1" applyFont="1" applyFill="1" applyBorder="1" applyAlignment="1" applyProtection="1">
      <alignment horizontal="center" vertical="center"/>
    </xf>
    <xf numFmtId="0" fontId="3" fillId="4" borderId="39" xfId="1" applyFont="1" applyFill="1" applyBorder="1" applyAlignment="1" applyProtection="1">
      <alignment vertical="center"/>
    </xf>
    <xf numFmtId="0" fontId="3" fillId="4" borderId="40" xfId="1" applyFont="1" applyFill="1" applyBorder="1" applyAlignment="1" applyProtection="1">
      <alignment vertical="center"/>
    </xf>
    <xf numFmtId="0" fontId="3" fillId="0" borderId="41" xfId="1" applyFont="1" applyFill="1" applyBorder="1" applyAlignment="1" applyProtection="1">
      <alignment horizontal="center" vertical="center"/>
    </xf>
    <xf numFmtId="0" fontId="3" fillId="0" borderId="41" xfId="1" applyFont="1" applyFill="1" applyBorder="1" applyAlignment="1" applyProtection="1">
      <alignment vertical="center"/>
    </xf>
    <xf numFmtId="0" fontId="3" fillId="4" borderId="37" xfId="1" applyFont="1" applyFill="1" applyBorder="1" applyAlignment="1" applyProtection="1">
      <alignment horizontal="center" vertical="center"/>
    </xf>
    <xf numFmtId="0" fontId="2" fillId="3" borderId="41" xfId="1" applyFont="1" applyFill="1" applyBorder="1" applyAlignment="1" applyProtection="1">
      <alignment horizontal="center" vertical="center" wrapText="1"/>
    </xf>
    <xf numFmtId="0" fontId="3" fillId="4" borderId="39" xfId="1" applyFont="1" applyFill="1" applyBorder="1" applyAlignment="1" applyProtection="1">
      <alignment horizontal="left" vertical="center"/>
    </xf>
    <xf numFmtId="0" fontId="19" fillId="0" borderId="0" xfId="0" applyNumberFormat="1" applyFont="1" applyBorder="1" applyAlignment="1">
      <alignment horizontal="left" wrapText="1"/>
    </xf>
    <xf numFmtId="0" fontId="35" fillId="0" borderId="0" xfId="3" applyNumberFormat="1" applyFont="1" applyFill="1" applyBorder="1" applyAlignment="1">
      <alignment horizontal="left" vertical="center"/>
    </xf>
    <xf numFmtId="0" fontId="3" fillId="0" borderId="23" xfId="1" applyFont="1" applyFill="1" applyBorder="1" applyAlignment="1" applyProtection="1">
      <alignment horizontal="center" vertical="center" wrapText="1"/>
      <protection locked="0"/>
    </xf>
    <xf numFmtId="0" fontId="3" fillId="0" borderId="24" xfId="1" applyFont="1" applyFill="1" applyBorder="1" applyAlignment="1" applyProtection="1">
      <alignment horizontal="center" vertical="center" wrapText="1"/>
      <protection locked="0"/>
    </xf>
    <xf numFmtId="0" fontId="3" fillId="0" borderId="36" xfId="1" applyFont="1" applyFill="1" applyBorder="1" applyAlignment="1" applyProtection="1">
      <alignment horizontal="center" vertical="center" wrapText="1"/>
      <protection locked="0"/>
    </xf>
    <xf numFmtId="0" fontId="3" fillId="0" borderId="11" xfId="1" applyFont="1" applyFill="1" applyBorder="1" applyAlignment="1" applyProtection="1">
      <alignment horizontal="center" vertical="center" wrapText="1"/>
      <protection locked="0"/>
    </xf>
    <xf numFmtId="0" fontId="3" fillId="0" borderId="12" xfId="1" applyFont="1" applyFill="1" applyBorder="1" applyAlignment="1" applyProtection="1">
      <alignment horizontal="center" vertical="center" wrapText="1"/>
      <protection locked="0"/>
    </xf>
    <xf numFmtId="0" fontId="3" fillId="0" borderId="13" xfId="1" applyFont="1" applyFill="1" applyBorder="1" applyAlignment="1" applyProtection="1">
      <alignment horizontal="center" vertical="center" wrapText="1"/>
      <protection locked="0"/>
    </xf>
    <xf numFmtId="166" fontId="3" fillId="0" borderId="34" xfId="1" applyNumberFormat="1" applyFont="1" applyFill="1" applyBorder="1" applyAlignment="1" applyProtection="1">
      <alignment horizontal="center" vertical="center" wrapText="1"/>
      <protection locked="0"/>
    </xf>
    <xf numFmtId="166" fontId="3" fillId="0" borderId="24" xfId="1" applyNumberFormat="1" applyFont="1" applyFill="1" applyBorder="1" applyAlignment="1" applyProtection="1">
      <alignment horizontal="center" vertical="center" wrapText="1"/>
      <protection locked="0"/>
    </xf>
    <xf numFmtId="166" fontId="3" fillId="0" borderId="25" xfId="1" applyNumberFormat="1" applyFont="1" applyFill="1" applyBorder="1" applyAlignment="1" applyProtection="1">
      <alignment horizontal="center" vertical="center" wrapText="1"/>
      <protection locked="0"/>
    </xf>
    <xf numFmtId="166" fontId="3" fillId="0" borderId="11" xfId="1" applyNumberFormat="1" applyFont="1" applyFill="1" applyBorder="1" applyAlignment="1" applyProtection="1">
      <alignment horizontal="center" vertical="center" wrapText="1"/>
      <protection locked="0"/>
    </xf>
    <xf numFmtId="166" fontId="3" fillId="0" borderId="12" xfId="1" applyNumberFormat="1" applyFont="1" applyFill="1" applyBorder="1" applyAlignment="1" applyProtection="1">
      <alignment horizontal="center" vertical="center" wrapText="1"/>
      <protection locked="0"/>
    </xf>
    <xf numFmtId="166" fontId="3" fillId="0" borderId="13" xfId="1" applyNumberFormat="1" applyFont="1" applyFill="1" applyBorder="1" applyAlignment="1" applyProtection="1">
      <alignment horizontal="center" vertical="center" wrapText="1"/>
      <protection locked="0"/>
    </xf>
    <xf numFmtId="0" fontId="3" fillId="0" borderId="0" xfId="1" applyFont="1" applyFill="1" applyAlignment="1" applyProtection="1">
      <alignment horizontal="center" vertical="center"/>
    </xf>
    <xf numFmtId="0" fontId="2" fillId="0" borderId="0" xfId="1" applyFont="1" applyFill="1" applyAlignment="1" applyProtection="1">
      <alignment horizontal="center" vertical="center"/>
    </xf>
    <xf numFmtId="0" fontId="3" fillId="4" borderId="0" xfId="1" applyFont="1" applyFill="1" applyBorder="1" applyAlignment="1" applyProtection="1">
      <alignment horizontal="center" vertical="center" wrapText="1"/>
    </xf>
    <xf numFmtId="0" fontId="3" fillId="0" borderId="0" xfId="1" applyFont="1" applyAlignment="1" applyProtection="1">
      <alignment horizontal="center" vertical="center"/>
    </xf>
    <xf numFmtId="0" fontId="3" fillId="4" borderId="3" xfId="1" applyFont="1" applyFill="1" applyBorder="1" applyAlignment="1" applyProtection="1">
      <alignment horizontal="center" vertical="center"/>
    </xf>
    <xf numFmtId="0" fontId="16" fillId="3" borderId="24" xfId="1" applyFont="1" applyFill="1" applyBorder="1" applyAlignment="1" applyProtection="1">
      <alignment horizontal="center" vertical="center"/>
    </xf>
    <xf numFmtId="0" fontId="16" fillId="3" borderId="0" xfId="1" applyFont="1" applyFill="1" applyBorder="1" applyAlignment="1" applyProtection="1">
      <alignment horizontal="center" vertical="center"/>
    </xf>
    <xf numFmtId="0" fontId="16" fillId="3" borderId="6" xfId="1" applyFont="1" applyFill="1" applyBorder="1" applyAlignment="1" applyProtection="1">
      <alignment horizontal="center" vertical="center"/>
    </xf>
    <xf numFmtId="0" fontId="3" fillId="0" borderId="0" xfId="1" applyFont="1" applyFill="1" applyBorder="1" applyAlignment="1" applyProtection="1">
      <alignment horizontal="center" vertical="center" wrapText="1"/>
    </xf>
    <xf numFmtId="0" fontId="3" fillId="0" borderId="4" xfId="1" applyFont="1" applyBorder="1" applyAlignment="1" applyProtection="1">
      <alignment horizontal="center" vertical="center"/>
      <protection locked="0"/>
    </xf>
    <xf numFmtId="0" fontId="3" fillId="0" borderId="17" xfId="1" applyFont="1" applyBorder="1" applyAlignment="1" applyProtection="1">
      <alignment horizontal="center" vertical="center"/>
      <protection locked="0"/>
    </xf>
    <xf numFmtId="0" fontId="3" fillId="4" borderId="4" xfId="1" applyFont="1" applyFill="1" applyBorder="1" applyAlignment="1" applyProtection="1">
      <alignment horizontal="center" vertical="center"/>
    </xf>
    <xf numFmtId="0" fontId="3" fillId="4" borderId="17" xfId="1" applyFont="1" applyFill="1" applyBorder="1" applyAlignment="1" applyProtection="1">
      <alignment horizontal="center" vertical="center"/>
    </xf>
    <xf numFmtId="0" fontId="3" fillId="4" borderId="5" xfId="1" applyFont="1" applyFill="1" applyBorder="1" applyAlignment="1" applyProtection="1">
      <alignment horizontal="center" vertical="center"/>
    </xf>
    <xf numFmtId="0" fontId="3" fillId="0" borderId="17" xfId="1" applyFont="1" applyFill="1" applyBorder="1" applyAlignment="1" applyProtection="1">
      <alignment horizontal="center" vertical="center"/>
      <protection locked="0"/>
    </xf>
    <xf numFmtId="0" fontId="3" fillId="0" borderId="5" xfId="1" applyFont="1" applyFill="1" applyBorder="1" applyAlignment="1" applyProtection="1">
      <alignment horizontal="center" vertical="center"/>
      <protection locked="0"/>
    </xf>
    <xf numFmtId="0" fontId="3" fillId="4" borderId="27" xfId="1" applyFont="1" applyFill="1" applyBorder="1" applyAlignment="1" applyProtection="1">
      <alignment horizontal="center" vertical="center" wrapText="1"/>
    </xf>
    <xf numFmtId="0" fontId="3" fillId="4" borderId="8" xfId="1" applyFont="1" applyFill="1" applyBorder="1" applyAlignment="1" applyProtection="1">
      <alignment horizontal="center" vertical="center" wrapText="1"/>
    </xf>
    <xf numFmtId="0" fontId="3" fillId="4" borderId="1" xfId="1" applyFont="1" applyFill="1" applyBorder="1" applyAlignment="1" applyProtection="1">
      <alignment horizontal="center" vertical="center"/>
    </xf>
    <xf numFmtId="0" fontId="11" fillId="4" borderId="4" xfId="1" applyFont="1" applyFill="1" applyBorder="1" applyAlignment="1" applyProtection="1">
      <alignment horizontal="center" vertical="center"/>
    </xf>
    <xf numFmtId="0" fontId="11" fillId="4" borderId="5" xfId="1" applyFont="1" applyFill="1" applyBorder="1" applyAlignment="1" applyProtection="1">
      <alignment horizontal="center" vertical="center"/>
    </xf>
    <xf numFmtId="0" fontId="11" fillId="4" borderId="17" xfId="1" applyFont="1" applyFill="1" applyBorder="1" applyAlignment="1" applyProtection="1">
      <alignment horizontal="center" vertical="center"/>
    </xf>
    <xf numFmtId="166" fontId="4" fillId="0" borderId="7" xfId="1" applyNumberFormat="1" applyFont="1" applyFill="1" applyBorder="1" applyAlignment="1" applyProtection="1">
      <alignment horizontal="center" vertical="center"/>
      <protection locked="0"/>
    </xf>
    <xf numFmtId="166" fontId="4" fillId="0" borderId="6" xfId="1" applyNumberFormat="1" applyFont="1" applyFill="1" applyBorder="1" applyAlignment="1" applyProtection="1">
      <alignment horizontal="center" vertical="center"/>
      <protection locked="0"/>
    </xf>
    <xf numFmtId="166" fontId="4" fillId="0" borderId="0" xfId="1" applyNumberFormat="1" applyFont="1" applyFill="1" applyBorder="1" applyAlignment="1" applyProtection="1">
      <alignment horizontal="center" vertical="center"/>
      <protection locked="0"/>
    </xf>
    <xf numFmtId="0" fontId="5" fillId="0" borderId="11" xfId="1" applyFont="1" applyFill="1" applyBorder="1" applyAlignment="1" applyProtection="1">
      <alignment horizontal="center" vertical="center"/>
      <protection locked="0"/>
    </xf>
    <xf numFmtId="0" fontId="5" fillId="0" borderId="12" xfId="1" applyFont="1" applyFill="1" applyBorder="1" applyAlignment="1" applyProtection="1">
      <alignment horizontal="center" vertical="center"/>
      <protection locked="0"/>
    </xf>
    <xf numFmtId="0" fontId="3" fillId="0" borderId="42" xfId="1" applyFont="1" applyFill="1" applyBorder="1" applyAlignment="1" applyProtection="1">
      <alignment horizontal="center" vertical="center"/>
      <protection locked="0"/>
    </xf>
    <xf numFmtId="0" fontId="3" fillId="0" borderId="24" xfId="1" applyFont="1" applyFill="1" applyBorder="1" applyAlignment="1" applyProtection="1">
      <alignment horizontal="center" vertical="center"/>
      <protection locked="0"/>
    </xf>
    <xf numFmtId="0" fontId="5" fillId="0" borderId="10" xfId="1" applyFont="1" applyFill="1" applyBorder="1" applyAlignment="1" applyProtection="1">
      <alignment horizontal="center" vertical="center"/>
      <protection locked="0"/>
    </xf>
    <xf numFmtId="0" fontId="5" fillId="0" borderId="0" xfId="1" applyFont="1" applyFill="1" applyBorder="1" applyAlignment="1" applyProtection="1">
      <alignment horizontal="center" vertical="center"/>
      <protection locked="0"/>
    </xf>
    <xf numFmtId="0" fontId="3" fillId="4" borderId="38" xfId="1" applyFont="1" applyFill="1" applyBorder="1" applyAlignment="1" applyProtection="1">
      <alignment horizontal="center" vertical="center" wrapText="1"/>
    </xf>
    <xf numFmtId="0" fontId="3" fillId="4" borderId="39" xfId="1" applyFont="1" applyFill="1" applyBorder="1" applyAlignment="1" applyProtection="1">
      <alignment horizontal="center" vertical="center" wrapText="1"/>
    </xf>
    <xf numFmtId="0" fontId="3" fillId="0" borderId="34" xfId="1" applyFont="1" applyFill="1" applyBorder="1" applyAlignment="1" applyProtection="1">
      <alignment horizontal="center" vertical="center"/>
      <protection locked="0"/>
    </xf>
    <xf numFmtId="0" fontId="3" fillId="0" borderId="35" xfId="1" applyFont="1" applyFill="1" applyBorder="1" applyAlignment="1" applyProtection="1">
      <alignment horizontal="center" vertical="center"/>
      <protection locked="0"/>
    </xf>
    <xf numFmtId="0" fontId="15" fillId="0" borderId="11" xfId="1" applyFont="1" applyFill="1" applyBorder="1" applyAlignment="1" applyProtection="1">
      <alignment horizontal="center" vertical="center"/>
      <protection locked="0"/>
    </xf>
    <xf numFmtId="0" fontId="15" fillId="0" borderId="12" xfId="1" applyFont="1" applyFill="1" applyBorder="1" applyAlignment="1" applyProtection="1">
      <alignment horizontal="center" vertical="center"/>
      <protection locked="0"/>
    </xf>
    <xf numFmtId="0" fontId="3" fillId="0" borderId="23" xfId="1" applyFont="1" applyFill="1" applyBorder="1" applyAlignment="1" applyProtection="1">
      <alignment horizontal="center" vertical="center"/>
      <protection locked="0"/>
    </xf>
    <xf numFmtId="0" fontId="3" fillId="4" borderId="0" xfId="1" applyFont="1" applyFill="1" applyAlignment="1" applyProtection="1">
      <alignment horizontal="center" vertical="center"/>
    </xf>
    <xf numFmtId="0" fontId="3" fillId="0" borderId="4" xfId="1" applyFont="1" applyBorder="1" applyAlignment="1" applyProtection="1">
      <alignment horizontal="left" vertical="center"/>
      <protection locked="0"/>
    </xf>
    <xf numFmtId="0" fontId="3" fillId="0" borderId="17" xfId="1" applyFont="1" applyBorder="1" applyAlignment="1" applyProtection="1">
      <alignment horizontal="left" vertical="center"/>
      <protection locked="0"/>
    </xf>
    <xf numFmtId="0" fontId="2" fillId="4" borderId="0" xfId="1" applyFont="1" applyFill="1" applyAlignment="1" applyProtection="1">
      <alignment horizontal="center" vertical="center"/>
    </xf>
    <xf numFmtId="0" fontId="3" fillId="0" borderId="42" xfId="1" applyFont="1" applyFill="1" applyBorder="1" applyAlignment="1" applyProtection="1">
      <alignment horizontal="center"/>
      <protection locked="0"/>
    </xf>
    <xf numFmtId="0" fontId="3" fillId="0" borderId="35" xfId="1" applyFont="1" applyFill="1" applyBorder="1" applyAlignment="1" applyProtection="1">
      <alignment horizontal="center"/>
      <protection locked="0"/>
    </xf>
    <xf numFmtId="0" fontId="10" fillId="0" borderId="0" xfId="1" applyFont="1" applyFill="1" applyBorder="1" applyAlignment="1" applyProtection="1">
      <alignment horizontal="center" vertical="center" wrapText="1"/>
    </xf>
    <xf numFmtId="0" fontId="11" fillId="4" borderId="4" xfId="0" applyFont="1" applyFill="1" applyBorder="1" applyAlignment="1" applyProtection="1">
      <alignment horizontal="center" vertical="center"/>
    </xf>
    <xf numFmtId="0" fontId="11" fillId="4" borderId="17" xfId="0" applyFont="1" applyFill="1" applyBorder="1" applyAlignment="1" applyProtection="1">
      <alignment horizontal="center" vertical="center"/>
    </xf>
    <xf numFmtId="0" fontId="11" fillId="4" borderId="5" xfId="0" applyFont="1" applyFill="1" applyBorder="1" applyAlignment="1" applyProtection="1">
      <alignment horizontal="center" vertical="center"/>
    </xf>
    <xf numFmtId="0" fontId="3" fillId="4" borderId="4" xfId="0" applyFont="1" applyFill="1" applyBorder="1" applyAlignment="1" applyProtection="1">
      <alignment horizontal="center" vertical="center"/>
    </xf>
    <xf numFmtId="0" fontId="3" fillId="4" borderId="17" xfId="0" applyFont="1" applyFill="1" applyBorder="1" applyAlignment="1" applyProtection="1">
      <alignment horizontal="center" vertical="center"/>
    </xf>
    <xf numFmtId="0" fontId="3" fillId="4" borderId="5" xfId="0" applyFont="1" applyFill="1" applyBorder="1" applyAlignment="1" applyProtection="1">
      <alignment horizontal="center" vertical="center"/>
    </xf>
    <xf numFmtId="0" fontId="3" fillId="4" borderId="1" xfId="0" applyFont="1" applyFill="1" applyBorder="1" applyAlignment="1" applyProtection="1">
      <alignment horizontal="center" vertical="center"/>
    </xf>
    <xf numFmtId="0" fontId="3" fillId="4" borderId="31" xfId="1" applyFont="1" applyFill="1" applyBorder="1" applyAlignment="1" applyProtection="1">
      <alignment horizontal="center" vertical="center" wrapText="1"/>
    </xf>
    <xf numFmtId="0" fontId="3" fillId="4" borderId="7" xfId="1" applyFont="1" applyFill="1" applyBorder="1" applyAlignment="1" applyProtection="1">
      <alignment horizontal="center" vertical="center" wrapText="1"/>
    </xf>
    <xf numFmtId="0" fontId="3" fillId="4" borderId="32" xfId="1" applyFont="1" applyFill="1" applyBorder="1" applyAlignment="1" applyProtection="1">
      <alignment horizontal="center" vertical="center" wrapText="1"/>
    </xf>
    <xf numFmtId="0" fontId="3" fillId="4" borderId="26" xfId="1" applyFont="1" applyFill="1" applyBorder="1" applyAlignment="1" applyProtection="1">
      <alignment horizontal="center" vertical="center" wrapText="1"/>
    </xf>
    <xf numFmtId="0" fontId="3" fillId="4" borderId="6" xfId="1" applyFont="1" applyFill="1" applyBorder="1" applyAlignment="1" applyProtection="1">
      <alignment horizontal="center" vertical="center" wrapText="1"/>
    </xf>
    <xf numFmtId="0" fontId="3" fillId="4" borderId="33" xfId="1" applyFont="1" applyFill="1" applyBorder="1" applyAlignment="1" applyProtection="1">
      <alignment horizontal="center" vertical="center" wrapText="1"/>
    </xf>
    <xf numFmtId="0" fontId="3" fillId="0" borderId="15" xfId="1" applyFont="1" applyFill="1" applyBorder="1" applyAlignment="1" applyProtection="1">
      <alignment horizontal="center" vertical="center"/>
      <protection locked="0"/>
    </xf>
    <xf numFmtId="0" fontId="3" fillId="0" borderId="16" xfId="1" applyFont="1" applyFill="1" applyBorder="1" applyAlignment="1" applyProtection="1">
      <alignment horizontal="center" vertical="center"/>
      <protection locked="0"/>
    </xf>
    <xf numFmtId="0" fontId="3" fillId="4" borderId="9" xfId="1" applyFont="1" applyFill="1" applyBorder="1" applyAlignment="1" applyProtection="1">
      <alignment horizontal="center" vertical="center"/>
    </xf>
    <xf numFmtId="3" fontId="3" fillId="0" borderId="15" xfId="1" applyNumberFormat="1" applyFont="1" applyFill="1" applyBorder="1" applyAlignment="1" applyProtection="1">
      <alignment horizontal="center" vertical="center"/>
      <protection locked="0"/>
    </xf>
    <xf numFmtId="3" fontId="3" fillId="0" borderId="16" xfId="1" applyNumberFormat="1" applyFont="1" applyFill="1" applyBorder="1" applyAlignment="1" applyProtection="1">
      <alignment horizontal="center" vertical="center"/>
      <protection locked="0"/>
    </xf>
    <xf numFmtId="0" fontId="3" fillId="4" borderId="22" xfId="1" applyFont="1" applyFill="1" applyBorder="1" applyAlignment="1" applyProtection="1">
      <alignment horizontal="center" vertical="center" wrapText="1"/>
    </xf>
    <xf numFmtId="0" fontId="3" fillId="4" borderId="28" xfId="1" applyFont="1" applyFill="1" applyBorder="1" applyAlignment="1" applyProtection="1">
      <alignment horizontal="center" vertical="center" wrapText="1"/>
    </xf>
    <xf numFmtId="166" fontId="4" fillId="0" borderId="2" xfId="1" applyNumberFormat="1" applyFont="1" applyFill="1" applyBorder="1" applyAlignment="1" applyProtection="1">
      <alignment horizontal="center" vertical="center"/>
      <protection locked="0"/>
    </xf>
    <xf numFmtId="165" fontId="3" fillId="4" borderId="27" xfId="1" applyNumberFormat="1" applyFont="1" applyFill="1" applyBorder="1" applyAlignment="1" applyProtection="1">
      <alignment horizontal="center" vertical="center" wrapText="1"/>
    </xf>
    <xf numFmtId="165" fontId="3" fillId="4" borderId="8" xfId="1" applyNumberFormat="1" applyFont="1" applyFill="1" applyBorder="1" applyAlignment="1" applyProtection="1">
      <alignment horizontal="center" vertical="center" wrapText="1"/>
    </xf>
    <xf numFmtId="0" fontId="19" fillId="4" borderId="41" xfId="1" applyFont="1" applyFill="1" applyBorder="1" applyAlignment="1" applyProtection="1">
      <alignment horizontal="center" vertical="center" wrapText="1"/>
    </xf>
    <xf numFmtId="0" fontId="19" fillId="4" borderId="0" xfId="1" applyFont="1" applyFill="1" applyBorder="1" applyAlignment="1" applyProtection="1">
      <alignment horizontal="center" vertical="center" wrapText="1"/>
    </xf>
    <xf numFmtId="0" fontId="19" fillId="4" borderId="14" xfId="1" applyFont="1" applyFill="1" applyBorder="1" applyAlignment="1" applyProtection="1">
      <alignment horizontal="center" vertical="center" wrapText="1"/>
    </xf>
    <xf numFmtId="0" fontId="3" fillId="0" borderId="0" xfId="1" applyFont="1" applyFill="1" applyBorder="1" applyAlignment="1" applyProtection="1">
      <alignment horizontal="center" vertical="center"/>
    </xf>
    <xf numFmtId="0" fontId="3" fillId="4" borderId="41" xfId="1" applyFont="1" applyFill="1" applyBorder="1" applyAlignment="1" applyProtection="1">
      <alignment horizontal="center" vertical="center"/>
    </xf>
    <xf numFmtId="0" fontId="3" fillId="4" borderId="21" xfId="1" applyFont="1" applyFill="1" applyBorder="1" applyAlignment="1" applyProtection="1">
      <alignment horizontal="center" vertical="center" wrapText="1"/>
    </xf>
    <xf numFmtId="0" fontId="3" fillId="4" borderId="14" xfId="1" applyFont="1" applyFill="1" applyBorder="1" applyAlignment="1" applyProtection="1">
      <alignment horizontal="center" vertical="center" wrapText="1"/>
    </xf>
    <xf numFmtId="0" fontId="3" fillId="2" borderId="0" xfId="1" applyFont="1" applyFill="1" applyAlignment="1" applyProtection="1">
      <alignment horizontal="center" vertical="center"/>
    </xf>
    <xf numFmtId="0" fontId="2" fillId="2" borderId="0" xfId="1" applyFont="1" applyFill="1" applyAlignment="1" applyProtection="1">
      <alignment horizontal="center" vertical="center"/>
    </xf>
    <xf numFmtId="0" fontId="5" fillId="0" borderId="11" xfId="1" applyFont="1" applyFill="1" applyBorder="1" applyAlignment="1" applyProtection="1">
      <alignment horizontal="center"/>
      <protection locked="0"/>
    </xf>
    <xf numFmtId="0" fontId="5" fillId="0" borderId="12" xfId="1" applyFont="1" applyFill="1" applyBorder="1" applyAlignment="1" applyProtection="1">
      <alignment horizontal="center"/>
      <protection locked="0"/>
    </xf>
    <xf numFmtId="0" fontId="3" fillId="4" borderId="43" xfId="1" applyFont="1" applyFill="1" applyBorder="1" applyAlignment="1" applyProtection="1">
      <alignment horizontal="center" vertical="center"/>
    </xf>
    <xf numFmtId="0" fontId="3" fillId="4" borderId="44" xfId="1" applyFont="1" applyFill="1" applyBorder="1" applyAlignment="1" applyProtection="1">
      <alignment horizontal="center" vertical="center"/>
    </xf>
    <xf numFmtId="0" fontId="3" fillId="4" borderId="45" xfId="1" applyFont="1" applyFill="1" applyBorder="1" applyAlignment="1" applyProtection="1">
      <alignment horizontal="center" vertical="center"/>
    </xf>
  </cellXfs>
  <cellStyles count="6">
    <cellStyle name="Normalny_Managment" xfId="1" xr:uid="{00000000-0005-0000-0000-000000000000}"/>
    <cellStyle name="Гиперссылка" xfId="5" builtinId="8"/>
    <cellStyle name="Денежный" xfId="3" builtinId="4"/>
    <cellStyle name="Обычный" xfId="0" builtinId="0"/>
    <cellStyle name="Процентный" xfId="4" builtinId="5"/>
    <cellStyle name="Финансовый" xfId="2" builtinId="3"/>
  </cellStyles>
  <dxfs count="97">
    <dxf>
      <font>
        <b/>
        <i val="0"/>
        <color theme="0"/>
      </font>
      <fill>
        <patternFill patternType="solid">
          <fgColor indexed="34"/>
          <bgColor rgb="FFC00000"/>
        </patternFill>
      </fill>
    </dxf>
    <dxf>
      <font>
        <b/>
        <i val="0"/>
        <color theme="0"/>
      </font>
      <fill>
        <patternFill>
          <bgColor rgb="FFC00000"/>
        </patternFill>
      </fill>
    </dxf>
    <dxf>
      <font>
        <b/>
        <i val="0"/>
        <color rgb="FF0070C0"/>
      </font>
      <fill>
        <patternFill patternType="none">
          <fgColor indexed="64"/>
          <bgColor auto="1"/>
        </patternFill>
      </fill>
    </dxf>
    <dxf>
      <font>
        <b/>
        <i val="0"/>
        <color rgb="FF0070C0"/>
      </font>
    </dxf>
    <dxf>
      <font>
        <b/>
        <i val="0"/>
        <color rgb="FFC00000"/>
      </font>
    </dxf>
    <dxf>
      <font>
        <b/>
        <i val="0"/>
        <color theme="0"/>
      </font>
      <fill>
        <patternFill>
          <bgColor rgb="FFC00000"/>
        </patternFill>
      </fill>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rgb="FFC00000"/>
      </font>
    </dxf>
    <dxf>
      <font>
        <b/>
        <i val="0"/>
        <color rgb="FFC00000"/>
      </font>
    </dxf>
    <dxf>
      <font>
        <b/>
        <i val="0"/>
        <color theme="0"/>
      </font>
      <fill>
        <patternFill patternType="solid">
          <fgColor indexed="34"/>
          <bgColor rgb="FFC00000"/>
        </patternFill>
      </fill>
    </dxf>
    <dxf>
      <font>
        <b/>
        <i val="0"/>
        <color rgb="FF0070C0"/>
      </font>
      <fill>
        <patternFill patternType="none">
          <fgColor indexed="64"/>
          <bgColor auto="1"/>
        </patternFill>
      </fill>
    </dxf>
    <dxf>
      <font>
        <b/>
        <i val="0"/>
        <color rgb="FF0070C0"/>
      </font>
    </dxf>
    <dxf>
      <font>
        <b/>
        <i val="0"/>
        <color rgb="FFC00000"/>
      </font>
    </dxf>
    <dxf>
      <font>
        <b/>
        <i val="0"/>
        <color rgb="FF0070C0"/>
      </font>
      <fill>
        <patternFill patternType="none">
          <bgColor auto="1"/>
        </patternFill>
      </fill>
    </dxf>
    <dxf>
      <font>
        <b/>
        <i val="0"/>
        <color rgb="FF0070C0"/>
      </font>
    </dxf>
    <dxf>
      <font>
        <b/>
        <i val="0"/>
        <color rgb="FFC00000"/>
      </font>
    </dxf>
    <dxf>
      <font>
        <b/>
        <i val="0"/>
        <color rgb="FF0070C0"/>
      </font>
      <fill>
        <patternFill patternType="none">
          <bgColor auto="1"/>
        </patternFill>
      </fill>
    </dxf>
    <dxf>
      <font>
        <b/>
        <i val="0"/>
        <color rgb="FF0070C0"/>
      </font>
    </dxf>
    <dxf>
      <font>
        <b/>
        <i val="0"/>
        <color rgb="FFC00000"/>
      </font>
    </dxf>
    <dxf>
      <font>
        <b/>
        <i val="0"/>
        <color rgb="FF0070C0"/>
      </font>
      <fill>
        <patternFill patternType="none">
          <fgColor indexed="64"/>
          <bgColor auto="1"/>
        </patternFill>
      </fill>
    </dxf>
    <dxf>
      <font>
        <b/>
        <i val="0"/>
        <color rgb="FF0070C0"/>
      </font>
    </dxf>
    <dxf>
      <font>
        <b/>
        <i val="0"/>
        <color rgb="FFC00000"/>
      </font>
    </dxf>
    <dxf>
      <font>
        <b/>
        <i val="0"/>
        <color rgb="FF0070C0"/>
      </font>
      <fill>
        <patternFill patternType="none">
          <bgColor auto="1"/>
        </patternFill>
      </fill>
    </dxf>
    <dxf>
      <font>
        <b/>
        <i val="0"/>
        <color rgb="FF0070C0"/>
      </font>
    </dxf>
    <dxf>
      <font>
        <b/>
        <i val="0"/>
        <color rgb="FFC00000"/>
      </font>
    </dxf>
    <dxf>
      <font>
        <b/>
        <i val="0"/>
        <color rgb="FF0070C0"/>
      </font>
      <fill>
        <patternFill patternType="none">
          <bgColor auto="1"/>
        </patternFill>
      </fill>
    </dxf>
    <dxf>
      <font>
        <b/>
        <i val="0"/>
        <color rgb="FF0070C0"/>
      </font>
    </dxf>
    <dxf>
      <font>
        <b/>
        <i val="0"/>
        <color rgb="FFC00000"/>
      </font>
    </dxf>
    <dxf>
      <font>
        <color theme="0"/>
      </font>
      <fill>
        <patternFill patternType="none">
          <bgColor indexed="65"/>
        </patternFill>
      </fill>
    </dxf>
    <dxf>
      <font>
        <condense val="0"/>
        <extend val="0"/>
        <color indexed="9"/>
      </font>
      <fill>
        <patternFill>
          <bgColor rgb="FFC00000"/>
        </patternFill>
      </fill>
    </dxf>
    <dxf>
      <font>
        <b/>
        <i val="0"/>
        <color rgb="FF0070C0"/>
      </font>
    </dxf>
    <dxf>
      <font>
        <b/>
        <i val="0"/>
        <color theme="0"/>
      </font>
      <fill>
        <patternFill>
          <bgColor rgb="FFC00000"/>
        </patternFill>
      </fill>
    </dxf>
    <dxf>
      <font>
        <b/>
        <i val="0"/>
        <color rgb="FFC00000"/>
      </font>
    </dxf>
    <dxf>
      <font>
        <b/>
        <i val="0"/>
        <color rgb="FF0070C0"/>
      </font>
      <fill>
        <patternFill patternType="none">
          <fgColor indexed="64"/>
          <bgColor auto="1"/>
        </patternFill>
      </fill>
    </dxf>
    <dxf>
      <font>
        <b/>
        <i val="0"/>
        <color rgb="FF0070C0"/>
      </font>
    </dxf>
    <dxf>
      <font>
        <b/>
        <i val="0"/>
        <color rgb="FFC00000"/>
      </font>
    </dxf>
    <dxf>
      <font>
        <b/>
        <i val="0"/>
        <color rgb="FFC00000"/>
      </font>
    </dxf>
    <dxf>
      <font>
        <b/>
        <i val="0"/>
        <color rgb="FF0070C0"/>
      </font>
      <fill>
        <patternFill patternType="none">
          <fgColor indexed="64"/>
          <bgColor auto="1"/>
        </patternFill>
      </fill>
    </dxf>
    <dxf>
      <font>
        <b/>
        <i val="0"/>
        <color rgb="FF0070C0"/>
      </font>
    </dxf>
    <dxf>
      <font>
        <b/>
        <i val="0"/>
        <color rgb="FFC00000"/>
      </font>
    </dxf>
    <dxf>
      <font>
        <b/>
        <i val="0"/>
        <color theme="0"/>
      </font>
      <fill>
        <patternFill patternType="solid">
          <fgColor indexed="34"/>
          <bgColor rgb="FFC00000"/>
        </patternFill>
      </fill>
    </dxf>
    <dxf>
      <font>
        <b/>
        <i val="0"/>
        <color rgb="FF0070C0"/>
      </font>
      <fill>
        <patternFill patternType="none">
          <bgColor auto="1"/>
        </patternFill>
      </fill>
    </dxf>
    <dxf>
      <font>
        <b/>
        <i val="0"/>
        <color rgb="FF0070C0"/>
      </font>
    </dxf>
    <dxf>
      <font>
        <b/>
        <i val="0"/>
        <color rgb="FFC00000"/>
      </font>
    </dxf>
    <dxf>
      <font>
        <b/>
        <i val="0"/>
        <color theme="0"/>
      </font>
      <fill>
        <patternFill>
          <bgColor rgb="FFC00000"/>
        </patternFill>
      </fill>
    </dxf>
    <dxf>
      <font>
        <b/>
        <i val="0"/>
        <color rgb="FF0070C0"/>
      </font>
      <fill>
        <patternFill patternType="none">
          <bgColor auto="1"/>
        </patternFill>
      </fill>
    </dxf>
    <dxf>
      <font>
        <b/>
        <i val="0"/>
        <color rgb="FF0070C0"/>
      </font>
    </dxf>
    <dxf>
      <font>
        <b/>
        <i val="0"/>
        <color rgb="FFC00000"/>
      </font>
    </dxf>
    <dxf>
      <font>
        <b/>
        <i val="0"/>
        <color theme="0"/>
      </font>
      <fill>
        <patternFill>
          <bgColor rgb="FFC00000"/>
        </patternFill>
      </fill>
    </dxf>
    <dxf>
      <font>
        <b/>
        <i val="0"/>
        <color rgb="FF0070C0"/>
      </font>
      <fill>
        <patternFill patternType="none">
          <fgColor indexed="64"/>
          <bgColor auto="1"/>
        </patternFill>
      </fill>
    </dxf>
    <dxf>
      <font>
        <b/>
        <i val="0"/>
        <color rgb="FF0070C0"/>
      </font>
    </dxf>
    <dxf>
      <font>
        <b/>
        <i val="0"/>
        <color rgb="FFC00000"/>
      </font>
    </dxf>
    <dxf>
      <font>
        <b/>
        <i val="0"/>
        <color theme="0"/>
      </font>
      <fill>
        <patternFill>
          <bgColor rgb="FFC00000"/>
        </patternFill>
      </fill>
    </dxf>
    <dxf>
      <font>
        <b/>
        <i val="0"/>
        <color theme="0"/>
      </font>
      <fill>
        <patternFill patternType="solid">
          <fgColor indexed="34"/>
          <bgColor rgb="FFC00000"/>
        </patternFill>
      </fill>
    </dxf>
    <dxf>
      <font>
        <b/>
        <i val="0"/>
        <color rgb="FFC00000"/>
      </font>
    </dxf>
    <dxf>
      <font>
        <b val="0"/>
        <i val="0"/>
        <condense val="0"/>
        <extend val="0"/>
        <color indexed="55"/>
      </font>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rgb="FFC00000"/>
      </font>
    </dxf>
    <dxf>
      <font>
        <b val="0"/>
        <i val="0"/>
        <condense val="0"/>
        <extend val="0"/>
        <color indexed="55"/>
      </font>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rgb="FFC00000"/>
      </font>
    </dxf>
    <dxf>
      <font>
        <b val="0"/>
        <i val="0"/>
        <condense val="0"/>
        <extend val="0"/>
        <color indexed="55"/>
      </font>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rgb="FFC00000"/>
      </font>
    </dxf>
    <dxf>
      <font>
        <b/>
        <i val="0"/>
        <color rgb="FFC00000"/>
      </font>
    </dxf>
    <dxf>
      <font>
        <b val="0"/>
        <i val="0"/>
        <condense val="0"/>
        <extend val="0"/>
        <color indexed="55"/>
      </font>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rgb="FF0070C0"/>
      </font>
    </dxf>
    <dxf>
      <font>
        <b/>
        <i val="0"/>
        <color theme="0"/>
      </font>
      <fill>
        <patternFill>
          <bgColor rgb="FFC00000"/>
        </patternFill>
      </fill>
    </dxf>
    <dxf>
      <font>
        <b/>
        <i val="0"/>
        <color theme="0"/>
      </font>
      <fill>
        <patternFill patternType="solid">
          <fgColor indexed="34"/>
          <bgColor rgb="FFC00000"/>
        </patternFill>
      </fill>
    </dxf>
    <dxf>
      <font>
        <b/>
        <i val="0"/>
        <color theme="0"/>
      </font>
      <fill>
        <patternFill patternType="solid">
          <fgColor indexed="34"/>
          <bgColor rgb="FFC00000"/>
        </patternFill>
      </fill>
    </dxf>
    <dxf>
      <font>
        <b/>
        <i val="0"/>
        <color rgb="FF0070C0"/>
      </font>
    </dxf>
    <dxf>
      <font>
        <b/>
        <i val="0"/>
        <color theme="0"/>
      </font>
      <fill>
        <patternFill>
          <bgColor rgb="FFC00000"/>
        </patternFill>
      </fill>
    </dxf>
    <dxf>
      <font>
        <b/>
        <i val="0"/>
        <color rgb="FFC00000"/>
      </font>
      <fill>
        <patternFill patternType="solid">
          <bgColor theme="0" tint="-4.9989318521683403E-2"/>
        </patternFill>
      </fill>
    </dxf>
    <dxf>
      <font>
        <color theme="0" tint="-0.24994659260841701"/>
      </font>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ndense val="0"/>
        <extend val="0"/>
        <color indexed="9"/>
      </font>
      <fill>
        <patternFill>
          <bgColor rgb="FFC00000"/>
        </patternFill>
      </fill>
    </dxf>
    <dxf>
      <font>
        <color rgb="FF0070C0"/>
      </font>
    </dxf>
  </dxfs>
  <tableStyles count="0" defaultTableStyle="TableStyleMedium2" defaultPivotStyle="PivotStyleLight16"/>
  <colors>
    <mruColors>
      <color rgb="FF969696"/>
      <color rgb="FFFFFF99"/>
      <color rgb="FFCCFFFF"/>
      <color rgb="FFFF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J63"/>
  <sheetViews>
    <sheetView showGridLines="0" zoomScale="90" zoomScaleNormal="90" workbookViewId="0">
      <selection activeCell="F53" sqref="F53"/>
    </sheetView>
  </sheetViews>
  <sheetFormatPr defaultColWidth="10.26953125" defaultRowHeight="14.5" x14ac:dyDescent="0.35"/>
  <cols>
    <col min="1" max="1" width="5.453125" style="7" customWidth="1"/>
    <col min="2" max="2" width="15.1796875" style="7" customWidth="1"/>
    <col min="3" max="3" width="83.54296875" style="7" customWidth="1"/>
    <col min="4" max="16384" width="10.26953125" style="7"/>
  </cols>
  <sheetData>
    <row r="1" spans="1:10" s="6" customFormat="1" ht="26.15" customHeight="1" x14ac:dyDescent="0.35">
      <c r="A1" s="154" t="s">
        <v>0</v>
      </c>
      <c r="B1" s="154"/>
      <c r="C1" s="154"/>
      <c r="D1" s="25"/>
      <c r="E1" s="25"/>
      <c r="F1" s="25"/>
      <c r="G1" s="25"/>
      <c r="H1" s="25"/>
      <c r="I1" s="25"/>
      <c r="J1" s="26"/>
    </row>
    <row r="2" spans="1:10" ht="7.5" customHeight="1" x14ac:dyDescent="0.35">
      <c r="D2" s="27"/>
      <c r="E2" s="27"/>
      <c r="F2" s="27"/>
      <c r="G2" s="27"/>
      <c r="H2" s="27"/>
      <c r="I2" s="27"/>
      <c r="J2" s="27"/>
    </row>
    <row r="3" spans="1:10" s="9" customFormat="1" x14ac:dyDescent="0.35">
      <c r="B3" s="9" t="s">
        <v>1</v>
      </c>
      <c r="D3" s="19"/>
      <c r="E3" s="19"/>
      <c r="F3" s="19"/>
      <c r="G3" s="19"/>
      <c r="H3" s="19"/>
      <c r="I3" s="19"/>
      <c r="J3" s="19"/>
    </row>
    <row r="4" spans="1:10" s="9" customFormat="1" ht="8.25" customHeight="1" x14ac:dyDescent="0.35">
      <c r="A4" s="11"/>
    </row>
    <row r="5" spans="1:10" s="9" customFormat="1" ht="14.25" customHeight="1" x14ac:dyDescent="0.35">
      <c r="A5" s="11"/>
      <c r="B5" s="32" t="s">
        <v>2</v>
      </c>
      <c r="C5" s="32" t="s">
        <v>3</v>
      </c>
    </row>
    <row r="6" spans="1:10" s="9" customFormat="1" ht="15" customHeight="1" x14ac:dyDescent="0.35">
      <c r="A6" s="11"/>
      <c r="B6" s="33" t="s">
        <v>4</v>
      </c>
      <c r="C6" s="20" t="s">
        <v>5</v>
      </c>
    </row>
    <row r="7" spans="1:10" s="9" customFormat="1" ht="15.5" x14ac:dyDescent="0.35">
      <c r="A7" s="11"/>
      <c r="B7" s="33" t="s">
        <v>6</v>
      </c>
      <c r="C7" s="20" t="s">
        <v>7</v>
      </c>
    </row>
    <row r="8" spans="1:10" s="9" customFormat="1" ht="15.5" x14ac:dyDescent="0.35">
      <c r="A8" s="11"/>
      <c r="B8" s="33" t="s">
        <v>8</v>
      </c>
      <c r="C8" s="20" t="s">
        <v>9</v>
      </c>
    </row>
    <row r="9" spans="1:10" s="9" customFormat="1" ht="15.5" x14ac:dyDescent="0.35">
      <c r="A9" s="11"/>
      <c r="B9" s="33" t="s">
        <v>10</v>
      </c>
      <c r="C9" s="20" t="s">
        <v>11</v>
      </c>
    </row>
    <row r="10" spans="1:10" s="9" customFormat="1" ht="15.5" x14ac:dyDescent="0.35">
      <c r="A10" s="11"/>
      <c r="B10" s="34" t="s">
        <v>12</v>
      </c>
      <c r="C10" s="20" t="s">
        <v>13</v>
      </c>
    </row>
    <row r="11" spans="1:10" s="9" customFormat="1" ht="15.5" x14ac:dyDescent="0.35">
      <c r="A11" s="11"/>
      <c r="B11" s="34" t="s">
        <v>14</v>
      </c>
      <c r="C11" s="20" t="s">
        <v>15</v>
      </c>
    </row>
    <row r="12" spans="1:10" s="9" customFormat="1" ht="15.5" x14ac:dyDescent="0.35">
      <c r="A12" s="11"/>
      <c r="B12" s="34" t="s">
        <v>16</v>
      </c>
      <c r="C12" s="20" t="s">
        <v>17</v>
      </c>
    </row>
    <row r="13" spans="1:10" s="9" customFormat="1" ht="15.5" x14ac:dyDescent="0.35">
      <c r="A13" s="11"/>
      <c r="B13" s="33" t="s">
        <v>18</v>
      </c>
      <c r="C13" s="20" t="s">
        <v>19</v>
      </c>
    </row>
    <row r="14" spans="1:10" s="9" customFormat="1" ht="15.5" x14ac:dyDescent="0.35">
      <c r="A14" s="17"/>
      <c r="B14" s="33" t="s">
        <v>20</v>
      </c>
      <c r="C14" s="21" t="s">
        <v>21</v>
      </c>
      <c r="D14" s="19"/>
      <c r="E14" s="19"/>
      <c r="F14" s="19"/>
      <c r="G14" s="19"/>
    </row>
    <row r="15" spans="1:10" s="9" customFormat="1" ht="15.5" x14ac:dyDescent="0.35">
      <c r="A15" s="22"/>
      <c r="B15" s="33" t="s">
        <v>22</v>
      </c>
      <c r="C15" s="21" t="s">
        <v>23</v>
      </c>
      <c r="D15" s="19"/>
      <c r="E15" s="19"/>
      <c r="F15" s="19"/>
      <c r="G15" s="19"/>
    </row>
    <row r="16" spans="1:10" s="9" customFormat="1" ht="15.5" x14ac:dyDescent="0.35">
      <c r="A16" s="11"/>
      <c r="B16" s="33" t="s">
        <v>24</v>
      </c>
      <c r="C16" s="20" t="s">
        <v>25</v>
      </c>
    </row>
    <row r="17" spans="1:3" s="9" customFormat="1" ht="15.5" x14ac:dyDescent="0.35">
      <c r="A17" s="11"/>
      <c r="B17" s="33" t="s">
        <v>26</v>
      </c>
      <c r="C17" s="20" t="s">
        <v>27</v>
      </c>
    </row>
    <row r="18" spans="1:3" s="9" customFormat="1" ht="15.5" x14ac:dyDescent="0.35">
      <c r="A18" s="11"/>
      <c r="B18" s="33" t="s">
        <v>28</v>
      </c>
      <c r="C18" s="20" t="s">
        <v>29</v>
      </c>
    </row>
    <row r="19" spans="1:3" s="9" customFormat="1" ht="15.5" x14ac:dyDescent="0.35">
      <c r="A19" s="11"/>
      <c r="B19" s="33" t="s">
        <v>30</v>
      </c>
      <c r="C19" s="20" t="s">
        <v>31</v>
      </c>
    </row>
    <row r="20" spans="1:3" s="9" customFormat="1" ht="15.5" x14ac:dyDescent="0.35">
      <c r="A20" s="11"/>
      <c r="B20" s="33" t="s">
        <v>32</v>
      </c>
      <c r="C20" s="20" t="s">
        <v>33</v>
      </c>
    </row>
    <row r="21" spans="1:3" s="9" customFormat="1" ht="15.5" x14ac:dyDescent="0.35">
      <c r="A21" s="11"/>
      <c r="B21" s="33" t="s">
        <v>34</v>
      </c>
      <c r="C21" s="20" t="s">
        <v>35</v>
      </c>
    </row>
    <row r="22" spans="1:3" s="9" customFormat="1" ht="29" x14ac:dyDescent="0.35">
      <c r="A22" s="11"/>
      <c r="B22" s="33" t="s">
        <v>36</v>
      </c>
      <c r="C22" s="20" t="s">
        <v>37</v>
      </c>
    </row>
    <row r="23" spans="1:3" s="9" customFormat="1" ht="15.5" x14ac:dyDescent="0.35">
      <c r="A23" s="11"/>
      <c r="B23" s="33" t="s">
        <v>38</v>
      </c>
      <c r="C23" s="20" t="s">
        <v>39</v>
      </c>
    </row>
    <row r="24" spans="1:3" s="9" customFormat="1" ht="18" customHeight="1" x14ac:dyDescent="0.35">
      <c r="A24" s="11"/>
      <c r="B24" s="33" t="s">
        <v>40</v>
      </c>
      <c r="C24" s="20" t="s">
        <v>41</v>
      </c>
    </row>
    <row r="25" spans="1:3" s="9" customFormat="1" ht="15.5" x14ac:dyDescent="0.35">
      <c r="A25" s="11"/>
      <c r="B25" s="33" t="s">
        <v>42</v>
      </c>
      <c r="C25" s="20" t="s">
        <v>43</v>
      </c>
    </row>
    <row r="26" spans="1:3" s="9" customFormat="1" ht="15.5" x14ac:dyDescent="0.35">
      <c r="A26" s="11"/>
      <c r="B26" s="33" t="s">
        <v>44</v>
      </c>
      <c r="C26" s="20" t="s">
        <v>45</v>
      </c>
    </row>
    <row r="27" spans="1:3" s="9" customFormat="1" ht="15.5" x14ac:dyDescent="0.35">
      <c r="A27" s="11"/>
      <c r="B27" s="33" t="s">
        <v>46</v>
      </c>
      <c r="C27" s="20" t="s">
        <v>47</v>
      </c>
    </row>
    <row r="28" spans="1:3" s="9" customFormat="1" ht="29" x14ac:dyDescent="0.35">
      <c r="A28" s="11"/>
      <c r="B28" s="33" t="s">
        <v>48</v>
      </c>
      <c r="C28" s="20" t="s">
        <v>49</v>
      </c>
    </row>
    <row r="29" spans="1:3" s="9" customFormat="1" ht="6.75" customHeight="1" x14ac:dyDescent="0.35">
      <c r="A29" s="8"/>
    </row>
    <row r="30" spans="1:3" s="9" customFormat="1" ht="6.75" customHeight="1" x14ac:dyDescent="0.35">
      <c r="C30" s="28"/>
    </row>
    <row r="31" spans="1:3" s="9" customFormat="1" x14ac:dyDescent="0.35">
      <c r="A31" s="31" t="s">
        <v>50</v>
      </c>
    </row>
    <row r="32" spans="1:3" s="9" customFormat="1" ht="15.5" x14ac:dyDescent="0.35">
      <c r="A32" s="11"/>
      <c r="B32" s="35" t="s">
        <v>51</v>
      </c>
      <c r="C32" s="23" t="s">
        <v>52</v>
      </c>
    </row>
    <row r="33" spans="1:10" s="9" customFormat="1" ht="15.5" x14ac:dyDescent="0.35">
      <c r="A33" s="11"/>
      <c r="B33" s="36" t="s">
        <v>53</v>
      </c>
      <c r="C33" s="23" t="s">
        <v>54</v>
      </c>
    </row>
    <row r="34" spans="1:10" s="9" customFormat="1" ht="15.5" x14ac:dyDescent="0.35">
      <c r="A34" s="8"/>
      <c r="B34" s="36" t="s">
        <v>55</v>
      </c>
      <c r="C34" s="23" t="s">
        <v>56</v>
      </c>
    </row>
    <row r="35" spans="1:10" s="9" customFormat="1" ht="15.5" x14ac:dyDescent="0.35">
      <c r="A35" s="11"/>
      <c r="B35" s="35" t="s">
        <v>57</v>
      </c>
      <c r="C35" s="23" t="s">
        <v>58</v>
      </c>
    </row>
    <row r="36" spans="1:10" s="9" customFormat="1" ht="15.5" x14ac:dyDescent="0.35">
      <c r="A36" s="11"/>
      <c r="B36" s="36" t="s">
        <v>59</v>
      </c>
      <c r="C36" s="23" t="s">
        <v>60</v>
      </c>
    </row>
    <row r="37" spans="1:10" s="9" customFormat="1" ht="15.5" x14ac:dyDescent="0.35">
      <c r="A37" s="8"/>
      <c r="B37" s="36" t="s">
        <v>61</v>
      </c>
      <c r="C37" s="23" t="s">
        <v>62</v>
      </c>
    </row>
    <row r="38" spans="1:10" s="9" customFormat="1" ht="15.5" x14ac:dyDescent="0.35">
      <c r="A38" s="11"/>
      <c r="B38" s="35" t="s">
        <v>63</v>
      </c>
      <c r="C38" s="23" t="s">
        <v>64</v>
      </c>
    </row>
    <row r="39" spans="1:10" s="9" customFormat="1" x14ac:dyDescent="0.35">
      <c r="B39" s="36" t="s">
        <v>65</v>
      </c>
      <c r="C39" s="23" t="s">
        <v>66</v>
      </c>
    </row>
    <row r="40" spans="1:10" s="9" customFormat="1" ht="15.5" x14ac:dyDescent="0.35">
      <c r="A40" s="11"/>
      <c r="B40" s="35" t="s">
        <v>67</v>
      </c>
      <c r="C40" s="23" t="s">
        <v>68</v>
      </c>
    </row>
    <row r="41" spans="1:10" s="9" customFormat="1" ht="15.5" x14ac:dyDescent="0.35">
      <c r="A41" s="11"/>
      <c r="B41" s="36" t="s">
        <v>69</v>
      </c>
      <c r="C41" s="23" t="s">
        <v>70</v>
      </c>
    </row>
    <row r="42" spans="1:10" s="9" customFormat="1" ht="15.5" x14ac:dyDescent="0.35">
      <c r="A42" s="11"/>
      <c r="B42" s="36" t="s">
        <v>71</v>
      </c>
      <c r="C42" s="23" t="s">
        <v>72</v>
      </c>
    </row>
    <row r="43" spans="1:10" s="9" customFormat="1" ht="15.5" x14ac:dyDescent="0.35">
      <c r="A43" s="11"/>
      <c r="B43" s="36" t="s">
        <v>73</v>
      </c>
      <c r="C43" s="23" t="s">
        <v>74</v>
      </c>
    </row>
    <row r="44" spans="1:10" s="9" customFormat="1" ht="5.25" customHeight="1" x14ac:dyDescent="0.35">
      <c r="A44" s="17"/>
      <c r="B44" s="18"/>
      <c r="C44" s="19"/>
      <c r="D44" s="19"/>
      <c r="E44" s="19"/>
      <c r="F44" s="19"/>
      <c r="G44" s="19"/>
      <c r="H44" s="19"/>
      <c r="I44" s="19"/>
      <c r="J44" s="19"/>
    </row>
    <row r="45" spans="1:10" s="9" customFormat="1" ht="7.5" customHeight="1" x14ac:dyDescent="0.35"/>
    <row r="46" spans="1:10" s="9" customFormat="1" x14ac:dyDescent="0.35">
      <c r="A46" s="30" t="s">
        <v>75</v>
      </c>
      <c r="B46" s="10"/>
    </row>
    <row r="47" spans="1:10" s="9" customFormat="1" ht="15.5" x14ac:dyDescent="0.35">
      <c r="A47" s="11"/>
      <c r="B47" s="37" t="s">
        <v>76</v>
      </c>
      <c r="C47" s="23" t="s">
        <v>77</v>
      </c>
    </row>
    <row r="48" spans="1:10" s="9" customFormat="1" ht="15.5" x14ac:dyDescent="0.35">
      <c r="A48" s="11"/>
      <c r="B48" s="33" t="s">
        <v>78</v>
      </c>
      <c r="C48" s="23" t="s">
        <v>79</v>
      </c>
    </row>
    <row r="49" spans="1:3" s="9" customFormat="1" ht="15.5" x14ac:dyDescent="0.35">
      <c r="A49" s="11"/>
      <c r="B49" s="37" t="s">
        <v>80</v>
      </c>
      <c r="C49" s="23" t="s">
        <v>81</v>
      </c>
    </row>
    <row r="50" spans="1:3" s="9" customFormat="1" ht="15.5" x14ac:dyDescent="0.35">
      <c r="A50" s="11"/>
      <c r="B50" s="33" t="s">
        <v>82</v>
      </c>
      <c r="C50" s="23" t="s">
        <v>83</v>
      </c>
    </row>
    <row r="51" spans="1:3" s="9" customFormat="1" ht="15.5" x14ac:dyDescent="0.35">
      <c r="A51" s="11"/>
      <c r="B51" s="37" t="s">
        <v>84</v>
      </c>
      <c r="C51" s="23" t="s">
        <v>85</v>
      </c>
    </row>
    <row r="52" spans="1:3" x14ac:dyDescent="0.35">
      <c r="B52" s="37" t="s">
        <v>86</v>
      </c>
      <c r="C52" s="24" t="s">
        <v>87</v>
      </c>
    </row>
    <row r="53" spans="1:3" x14ac:dyDescent="0.35">
      <c r="A53" s="12"/>
      <c r="B53" s="38" t="s">
        <v>88</v>
      </c>
      <c r="C53" s="24" t="s">
        <v>89</v>
      </c>
    </row>
    <row r="54" spans="1:3" x14ac:dyDescent="0.35">
      <c r="A54" s="13"/>
      <c r="B54" s="98" t="s">
        <v>90</v>
      </c>
      <c r="C54" s="24" t="s">
        <v>91</v>
      </c>
    </row>
    <row r="55" spans="1:3" x14ac:dyDescent="0.35">
      <c r="A55" s="15"/>
      <c r="B55" s="38" t="s">
        <v>92</v>
      </c>
      <c r="C55" s="24" t="s">
        <v>93</v>
      </c>
    </row>
    <row r="56" spans="1:3" ht="15" customHeight="1" x14ac:dyDescent="0.35">
      <c r="A56" s="13"/>
      <c r="B56" s="38" t="s">
        <v>94</v>
      </c>
      <c r="C56" s="24" t="s">
        <v>95</v>
      </c>
    </row>
    <row r="57" spans="1:3" ht="6.75" customHeight="1" x14ac:dyDescent="0.35"/>
    <row r="58" spans="1:3" x14ac:dyDescent="0.35">
      <c r="A58" s="29" t="s">
        <v>96</v>
      </c>
      <c r="B58" s="14"/>
    </row>
    <row r="59" spans="1:3" x14ac:dyDescent="0.35">
      <c r="A59" s="16"/>
      <c r="B59" s="153" t="s">
        <v>97</v>
      </c>
      <c r="C59" s="153"/>
    </row>
    <row r="60" spans="1:3" x14ac:dyDescent="0.35">
      <c r="B60" s="153" t="s">
        <v>98</v>
      </c>
      <c r="C60" s="153"/>
    </row>
    <row r="61" spans="1:3" x14ac:dyDescent="0.35">
      <c r="B61" s="153" t="s">
        <v>99</v>
      </c>
      <c r="C61" s="153"/>
    </row>
    <row r="62" spans="1:3" x14ac:dyDescent="0.35">
      <c r="B62" s="153" t="s">
        <v>100</v>
      </c>
      <c r="C62" s="153"/>
    </row>
    <row r="63" spans="1:3" x14ac:dyDescent="0.35">
      <c r="B63" s="153" t="s">
        <v>101</v>
      </c>
      <c r="C63" s="153"/>
    </row>
  </sheetData>
  <sheetProtection password="A441" sheet="1" objects="1" scenarios="1"/>
  <mergeCells count="6">
    <mergeCell ref="B63:C63"/>
    <mergeCell ref="A1:C1"/>
    <mergeCell ref="B59:C59"/>
    <mergeCell ref="B60:C60"/>
    <mergeCell ref="B61:C61"/>
    <mergeCell ref="B62:C6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tabColor theme="0" tint="-4.9989318521683403E-2"/>
    <pageSetUpPr fitToPage="1"/>
  </sheetPr>
  <dimension ref="A1:BK471"/>
  <sheetViews>
    <sheetView showGridLines="0" tabSelected="1" zoomScale="90" zoomScaleNormal="90" workbookViewId="0">
      <pane xSplit="1" ySplit="17" topLeftCell="B18" activePane="bottomRight" state="frozen"/>
      <selection pane="topRight" activeCell="B1" sqref="B1"/>
      <selection pane="bottomLeft" activeCell="A8" sqref="A8"/>
      <selection pane="bottomRight" activeCell="D17" sqref="D17"/>
    </sheetView>
  </sheetViews>
  <sheetFormatPr defaultColWidth="16.26953125" defaultRowHeight="10.5" x14ac:dyDescent="0.35"/>
  <cols>
    <col min="1" max="1" width="15" style="39" customWidth="1"/>
    <col min="2" max="2" width="4.7265625" style="39" customWidth="1"/>
    <col min="3" max="3" width="8.54296875" style="39" customWidth="1"/>
    <col min="4" max="6" width="5" style="39" customWidth="1"/>
    <col min="7" max="7" width="9" style="39" customWidth="1"/>
    <col min="8" max="8" width="11.1796875" style="39" customWidth="1"/>
    <col min="9" max="9" width="7.453125" style="40" customWidth="1"/>
    <col min="10" max="13" width="8.7265625" style="40" customWidth="1"/>
    <col min="14" max="18" width="8.7265625" style="41" customWidth="1"/>
    <col min="19" max="20" width="8.453125" style="41" customWidth="1"/>
    <col min="21" max="21" width="11" style="41" customWidth="1"/>
    <col min="22" max="22" width="11.1796875" style="41" customWidth="1"/>
    <col min="23" max="23" width="16.7265625" style="41" customWidth="1"/>
    <col min="24" max="24" width="3.453125" style="41" customWidth="1"/>
    <col min="25" max="25" width="8.453125" style="41" customWidth="1"/>
    <col min="26" max="26" width="11.54296875" style="41" customWidth="1"/>
    <col min="27" max="27" width="13.54296875" style="41" customWidth="1"/>
    <col min="28" max="29" width="8.453125" style="41" customWidth="1"/>
    <col min="30" max="30" width="8.81640625" style="41" customWidth="1"/>
    <col min="31" max="32" width="8.453125" style="41" customWidth="1"/>
    <col min="33" max="33" width="8.81640625" style="41" customWidth="1"/>
    <col min="34" max="38" width="8.453125" style="41" customWidth="1"/>
    <col min="39" max="39" width="8.54296875" style="41" customWidth="1"/>
    <col min="40" max="40" width="6.26953125" style="41" customWidth="1"/>
    <col min="41" max="43" width="8.7265625" style="41" customWidth="1"/>
    <col min="44" max="44" width="8.7265625" style="41" hidden="1" customWidth="1"/>
    <col min="45" max="45" width="9.1796875" style="41" hidden="1" customWidth="1"/>
    <col min="46" max="261" width="9.1796875" style="41" customWidth="1"/>
    <col min="262" max="262" width="16.26953125" style="41"/>
    <col min="263" max="263" width="20.81640625" style="41" customWidth="1"/>
    <col min="264" max="268" width="7.81640625" style="41" customWidth="1"/>
    <col min="269" max="269" width="8.54296875" style="41" customWidth="1"/>
    <col min="270" max="275" width="7.81640625" style="41" customWidth="1"/>
    <col min="276" max="276" width="8.54296875" style="41" customWidth="1"/>
    <col min="277" max="277" width="9.453125" style="41" customWidth="1"/>
    <col min="278" max="289" width="7.81640625" style="41" customWidth="1"/>
    <col min="290" max="290" width="8.1796875" style="41" customWidth="1"/>
    <col min="291" max="291" width="9.7265625" style="41" customWidth="1"/>
    <col min="292" max="296" width="8.7265625" style="41" customWidth="1"/>
    <col min="297" max="297" width="6.26953125" style="41" customWidth="1"/>
    <col min="298" max="301" width="8.7265625" style="41" customWidth="1"/>
    <col min="302" max="517" width="9.1796875" style="41" customWidth="1"/>
    <col min="518" max="518" width="16.26953125" style="41"/>
    <col min="519" max="519" width="20.81640625" style="41" customWidth="1"/>
    <col min="520" max="524" width="7.81640625" style="41" customWidth="1"/>
    <col min="525" max="525" width="8.54296875" style="41" customWidth="1"/>
    <col min="526" max="531" width="7.81640625" style="41" customWidth="1"/>
    <col min="532" max="532" width="8.54296875" style="41" customWidth="1"/>
    <col min="533" max="533" width="9.453125" style="41" customWidth="1"/>
    <col min="534" max="545" width="7.81640625" style="41" customWidth="1"/>
    <col min="546" max="546" width="8.1796875" style="41" customWidth="1"/>
    <col min="547" max="547" width="9.7265625" style="41" customWidth="1"/>
    <col min="548" max="552" width="8.7265625" style="41" customWidth="1"/>
    <col min="553" max="553" width="6.26953125" style="41" customWidth="1"/>
    <col min="554" max="557" width="8.7265625" style="41" customWidth="1"/>
    <col min="558" max="773" width="9.1796875" style="41" customWidth="1"/>
    <col min="774" max="774" width="16.26953125" style="41"/>
    <col min="775" max="775" width="20.81640625" style="41" customWidth="1"/>
    <col min="776" max="780" width="7.81640625" style="41" customWidth="1"/>
    <col min="781" max="781" width="8.54296875" style="41" customWidth="1"/>
    <col min="782" max="787" width="7.81640625" style="41" customWidth="1"/>
    <col min="788" max="788" width="8.54296875" style="41" customWidth="1"/>
    <col min="789" max="789" width="9.453125" style="41" customWidth="1"/>
    <col min="790" max="801" width="7.81640625" style="41" customWidth="1"/>
    <col min="802" max="802" width="8.1796875" style="41" customWidth="1"/>
    <col min="803" max="803" width="9.7265625" style="41" customWidth="1"/>
    <col min="804" max="808" width="8.7265625" style="41" customWidth="1"/>
    <col min="809" max="809" width="6.26953125" style="41" customWidth="1"/>
    <col min="810" max="813" width="8.7265625" style="41" customWidth="1"/>
    <col min="814" max="1029" width="9.1796875" style="41" customWidth="1"/>
    <col min="1030" max="1030" width="16.26953125" style="41"/>
    <col min="1031" max="1031" width="20.81640625" style="41" customWidth="1"/>
    <col min="1032" max="1036" width="7.81640625" style="41" customWidth="1"/>
    <col min="1037" max="1037" width="8.54296875" style="41" customWidth="1"/>
    <col min="1038" max="1043" width="7.81640625" style="41" customWidth="1"/>
    <col min="1044" max="1044" width="8.54296875" style="41" customWidth="1"/>
    <col min="1045" max="1045" width="9.453125" style="41" customWidth="1"/>
    <col min="1046" max="1057" width="7.81640625" style="41" customWidth="1"/>
    <col min="1058" max="1058" width="8.1796875" style="41" customWidth="1"/>
    <col min="1059" max="1059" width="9.7265625" style="41" customWidth="1"/>
    <col min="1060" max="1064" width="8.7265625" style="41" customWidth="1"/>
    <col min="1065" max="1065" width="6.26953125" style="41" customWidth="1"/>
    <col min="1066" max="1069" width="8.7265625" style="41" customWidth="1"/>
    <col min="1070" max="1285" width="9.1796875" style="41" customWidth="1"/>
    <col min="1286" max="1286" width="16.26953125" style="41"/>
    <col min="1287" max="1287" width="20.81640625" style="41" customWidth="1"/>
    <col min="1288" max="1292" width="7.81640625" style="41" customWidth="1"/>
    <col min="1293" max="1293" width="8.54296875" style="41" customWidth="1"/>
    <col min="1294" max="1299" width="7.81640625" style="41" customWidth="1"/>
    <col min="1300" max="1300" width="8.54296875" style="41" customWidth="1"/>
    <col min="1301" max="1301" width="9.453125" style="41" customWidth="1"/>
    <col min="1302" max="1313" width="7.81640625" style="41" customWidth="1"/>
    <col min="1314" max="1314" width="8.1796875" style="41" customWidth="1"/>
    <col min="1315" max="1315" width="9.7265625" style="41" customWidth="1"/>
    <col min="1316" max="1320" width="8.7265625" style="41" customWidth="1"/>
    <col min="1321" max="1321" width="6.26953125" style="41" customWidth="1"/>
    <col min="1322" max="1325" width="8.7265625" style="41" customWidth="1"/>
    <col min="1326" max="1541" width="9.1796875" style="41" customWidth="1"/>
    <col min="1542" max="1542" width="16.26953125" style="41"/>
    <col min="1543" max="1543" width="20.81640625" style="41" customWidth="1"/>
    <col min="1544" max="1548" width="7.81640625" style="41" customWidth="1"/>
    <col min="1549" max="1549" width="8.54296875" style="41" customWidth="1"/>
    <col min="1550" max="1555" width="7.81640625" style="41" customWidth="1"/>
    <col min="1556" max="1556" width="8.54296875" style="41" customWidth="1"/>
    <col min="1557" max="1557" width="9.453125" style="41" customWidth="1"/>
    <col min="1558" max="1569" width="7.81640625" style="41" customWidth="1"/>
    <col min="1570" max="1570" width="8.1796875" style="41" customWidth="1"/>
    <col min="1571" max="1571" width="9.7265625" style="41" customWidth="1"/>
    <col min="1572" max="1576" width="8.7265625" style="41" customWidth="1"/>
    <col min="1577" max="1577" width="6.26953125" style="41" customWidth="1"/>
    <col min="1578" max="1581" width="8.7265625" style="41" customWidth="1"/>
    <col min="1582" max="1797" width="9.1796875" style="41" customWidth="1"/>
    <col min="1798" max="1798" width="16.26953125" style="41"/>
    <col min="1799" max="1799" width="20.81640625" style="41" customWidth="1"/>
    <col min="1800" max="1804" width="7.81640625" style="41" customWidth="1"/>
    <col min="1805" max="1805" width="8.54296875" style="41" customWidth="1"/>
    <col min="1806" max="1811" width="7.81640625" style="41" customWidth="1"/>
    <col min="1812" max="1812" width="8.54296875" style="41" customWidth="1"/>
    <col min="1813" max="1813" width="9.453125" style="41" customWidth="1"/>
    <col min="1814" max="1825" width="7.81640625" style="41" customWidth="1"/>
    <col min="1826" max="1826" width="8.1796875" style="41" customWidth="1"/>
    <col min="1827" max="1827" width="9.7265625" style="41" customWidth="1"/>
    <col min="1828" max="1832" width="8.7265625" style="41" customWidth="1"/>
    <col min="1833" max="1833" width="6.26953125" style="41" customWidth="1"/>
    <col min="1834" max="1837" width="8.7265625" style="41" customWidth="1"/>
    <col min="1838" max="2053" width="9.1796875" style="41" customWidth="1"/>
    <col min="2054" max="2054" width="16.26953125" style="41"/>
    <col min="2055" max="2055" width="20.81640625" style="41" customWidth="1"/>
    <col min="2056" max="2060" width="7.81640625" style="41" customWidth="1"/>
    <col min="2061" max="2061" width="8.54296875" style="41" customWidth="1"/>
    <col min="2062" max="2067" width="7.81640625" style="41" customWidth="1"/>
    <col min="2068" max="2068" width="8.54296875" style="41" customWidth="1"/>
    <col min="2069" max="2069" width="9.453125" style="41" customWidth="1"/>
    <col min="2070" max="2081" width="7.81640625" style="41" customWidth="1"/>
    <col min="2082" max="2082" width="8.1796875" style="41" customWidth="1"/>
    <col min="2083" max="2083" width="9.7265625" style="41" customWidth="1"/>
    <col min="2084" max="2088" width="8.7265625" style="41" customWidth="1"/>
    <col min="2089" max="2089" width="6.26953125" style="41" customWidth="1"/>
    <col min="2090" max="2093" width="8.7265625" style="41" customWidth="1"/>
    <col min="2094" max="2309" width="9.1796875" style="41" customWidth="1"/>
    <col min="2310" max="2310" width="16.26953125" style="41"/>
    <col min="2311" max="2311" width="20.81640625" style="41" customWidth="1"/>
    <col min="2312" max="2316" width="7.81640625" style="41" customWidth="1"/>
    <col min="2317" max="2317" width="8.54296875" style="41" customWidth="1"/>
    <col min="2318" max="2323" width="7.81640625" style="41" customWidth="1"/>
    <col min="2324" max="2324" width="8.54296875" style="41" customWidth="1"/>
    <col min="2325" max="2325" width="9.453125" style="41" customWidth="1"/>
    <col min="2326" max="2337" width="7.81640625" style="41" customWidth="1"/>
    <col min="2338" max="2338" width="8.1796875" style="41" customWidth="1"/>
    <col min="2339" max="2339" width="9.7265625" style="41" customWidth="1"/>
    <col min="2340" max="2344" width="8.7265625" style="41" customWidth="1"/>
    <col min="2345" max="2345" width="6.26953125" style="41" customWidth="1"/>
    <col min="2346" max="2349" width="8.7265625" style="41" customWidth="1"/>
    <col min="2350" max="2565" width="9.1796875" style="41" customWidth="1"/>
    <col min="2566" max="2566" width="16.26953125" style="41"/>
    <col min="2567" max="2567" width="20.81640625" style="41" customWidth="1"/>
    <col min="2568" max="2572" width="7.81640625" style="41" customWidth="1"/>
    <col min="2573" max="2573" width="8.54296875" style="41" customWidth="1"/>
    <col min="2574" max="2579" width="7.81640625" style="41" customWidth="1"/>
    <col min="2580" max="2580" width="8.54296875" style="41" customWidth="1"/>
    <col min="2581" max="2581" width="9.453125" style="41" customWidth="1"/>
    <col min="2582" max="2593" width="7.81640625" style="41" customWidth="1"/>
    <col min="2594" max="2594" width="8.1796875" style="41" customWidth="1"/>
    <col min="2595" max="2595" width="9.7265625" style="41" customWidth="1"/>
    <col min="2596" max="2600" width="8.7265625" style="41" customWidth="1"/>
    <col min="2601" max="2601" width="6.26953125" style="41" customWidth="1"/>
    <col min="2602" max="2605" width="8.7265625" style="41" customWidth="1"/>
    <col min="2606" max="2821" width="9.1796875" style="41" customWidth="1"/>
    <col min="2822" max="2822" width="16.26953125" style="41"/>
    <col min="2823" max="2823" width="20.81640625" style="41" customWidth="1"/>
    <col min="2824" max="2828" width="7.81640625" style="41" customWidth="1"/>
    <col min="2829" max="2829" width="8.54296875" style="41" customWidth="1"/>
    <col min="2830" max="2835" width="7.81640625" style="41" customWidth="1"/>
    <col min="2836" max="2836" width="8.54296875" style="41" customWidth="1"/>
    <col min="2837" max="2837" width="9.453125" style="41" customWidth="1"/>
    <col min="2838" max="2849" width="7.81640625" style="41" customWidth="1"/>
    <col min="2850" max="2850" width="8.1796875" style="41" customWidth="1"/>
    <col min="2851" max="2851" width="9.7265625" style="41" customWidth="1"/>
    <col min="2852" max="2856" width="8.7265625" style="41" customWidth="1"/>
    <col min="2857" max="2857" width="6.26953125" style="41" customWidth="1"/>
    <col min="2858" max="2861" width="8.7265625" style="41" customWidth="1"/>
    <col min="2862" max="3077" width="9.1796875" style="41" customWidth="1"/>
    <col min="3078" max="3078" width="16.26953125" style="41"/>
    <col min="3079" max="3079" width="20.81640625" style="41" customWidth="1"/>
    <col min="3080" max="3084" width="7.81640625" style="41" customWidth="1"/>
    <col min="3085" max="3085" width="8.54296875" style="41" customWidth="1"/>
    <col min="3086" max="3091" width="7.81640625" style="41" customWidth="1"/>
    <col min="3092" max="3092" width="8.54296875" style="41" customWidth="1"/>
    <col min="3093" max="3093" width="9.453125" style="41" customWidth="1"/>
    <col min="3094" max="3105" width="7.81640625" style="41" customWidth="1"/>
    <col min="3106" max="3106" width="8.1796875" style="41" customWidth="1"/>
    <col min="3107" max="3107" width="9.7265625" style="41" customWidth="1"/>
    <col min="3108" max="3112" width="8.7265625" style="41" customWidth="1"/>
    <col min="3113" max="3113" width="6.26953125" style="41" customWidth="1"/>
    <col min="3114" max="3117" width="8.7265625" style="41" customWidth="1"/>
    <col min="3118" max="3333" width="9.1796875" style="41" customWidth="1"/>
    <col min="3334" max="3334" width="16.26953125" style="41"/>
    <col min="3335" max="3335" width="20.81640625" style="41" customWidth="1"/>
    <col min="3336" max="3340" width="7.81640625" style="41" customWidth="1"/>
    <col min="3341" max="3341" width="8.54296875" style="41" customWidth="1"/>
    <col min="3342" max="3347" width="7.81640625" style="41" customWidth="1"/>
    <col min="3348" max="3348" width="8.54296875" style="41" customWidth="1"/>
    <col min="3349" max="3349" width="9.453125" style="41" customWidth="1"/>
    <col min="3350" max="3361" width="7.81640625" style="41" customWidth="1"/>
    <col min="3362" max="3362" width="8.1796875" style="41" customWidth="1"/>
    <col min="3363" max="3363" width="9.7265625" style="41" customWidth="1"/>
    <col min="3364" max="3368" width="8.7265625" style="41" customWidth="1"/>
    <col min="3369" max="3369" width="6.26953125" style="41" customWidth="1"/>
    <col min="3370" max="3373" width="8.7265625" style="41" customWidth="1"/>
    <col min="3374" max="3589" width="9.1796875" style="41" customWidth="1"/>
    <col min="3590" max="3590" width="16.26953125" style="41"/>
    <col min="3591" max="3591" width="20.81640625" style="41" customWidth="1"/>
    <col min="3592" max="3596" width="7.81640625" style="41" customWidth="1"/>
    <col min="3597" max="3597" width="8.54296875" style="41" customWidth="1"/>
    <col min="3598" max="3603" width="7.81640625" style="41" customWidth="1"/>
    <col min="3604" max="3604" width="8.54296875" style="41" customWidth="1"/>
    <col min="3605" max="3605" width="9.453125" style="41" customWidth="1"/>
    <col min="3606" max="3617" width="7.81640625" style="41" customWidth="1"/>
    <col min="3618" max="3618" width="8.1796875" style="41" customWidth="1"/>
    <col min="3619" max="3619" width="9.7265625" style="41" customWidth="1"/>
    <col min="3620" max="3624" width="8.7265625" style="41" customWidth="1"/>
    <col min="3625" max="3625" width="6.26953125" style="41" customWidth="1"/>
    <col min="3626" max="3629" width="8.7265625" style="41" customWidth="1"/>
    <col min="3630" max="3845" width="9.1796875" style="41" customWidth="1"/>
    <col min="3846" max="3846" width="16.26953125" style="41"/>
    <col min="3847" max="3847" width="20.81640625" style="41" customWidth="1"/>
    <col min="3848" max="3852" width="7.81640625" style="41" customWidth="1"/>
    <col min="3853" max="3853" width="8.54296875" style="41" customWidth="1"/>
    <col min="3854" max="3859" width="7.81640625" style="41" customWidth="1"/>
    <col min="3860" max="3860" width="8.54296875" style="41" customWidth="1"/>
    <col min="3861" max="3861" width="9.453125" style="41" customWidth="1"/>
    <col min="3862" max="3873" width="7.81640625" style="41" customWidth="1"/>
    <col min="3874" max="3874" width="8.1796875" style="41" customWidth="1"/>
    <col min="3875" max="3875" width="9.7265625" style="41" customWidth="1"/>
    <col min="3876" max="3880" width="8.7265625" style="41" customWidth="1"/>
    <col min="3881" max="3881" width="6.26953125" style="41" customWidth="1"/>
    <col min="3882" max="3885" width="8.7265625" style="41" customWidth="1"/>
    <col min="3886" max="4101" width="9.1796875" style="41" customWidth="1"/>
    <col min="4102" max="4102" width="16.26953125" style="41"/>
    <col min="4103" max="4103" width="20.81640625" style="41" customWidth="1"/>
    <col min="4104" max="4108" width="7.81640625" style="41" customWidth="1"/>
    <col min="4109" max="4109" width="8.54296875" style="41" customWidth="1"/>
    <col min="4110" max="4115" width="7.81640625" style="41" customWidth="1"/>
    <col min="4116" max="4116" width="8.54296875" style="41" customWidth="1"/>
    <col min="4117" max="4117" width="9.453125" style="41" customWidth="1"/>
    <col min="4118" max="4129" width="7.81640625" style="41" customWidth="1"/>
    <col min="4130" max="4130" width="8.1796875" style="41" customWidth="1"/>
    <col min="4131" max="4131" width="9.7265625" style="41" customWidth="1"/>
    <col min="4132" max="4136" width="8.7265625" style="41" customWidth="1"/>
    <col min="4137" max="4137" width="6.26953125" style="41" customWidth="1"/>
    <col min="4138" max="4141" width="8.7265625" style="41" customWidth="1"/>
    <col min="4142" max="4357" width="9.1796875" style="41" customWidth="1"/>
    <col min="4358" max="4358" width="16.26953125" style="41"/>
    <col min="4359" max="4359" width="20.81640625" style="41" customWidth="1"/>
    <col min="4360" max="4364" width="7.81640625" style="41" customWidth="1"/>
    <col min="4365" max="4365" width="8.54296875" style="41" customWidth="1"/>
    <col min="4366" max="4371" width="7.81640625" style="41" customWidth="1"/>
    <col min="4372" max="4372" width="8.54296875" style="41" customWidth="1"/>
    <col min="4373" max="4373" width="9.453125" style="41" customWidth="1"/>
    <col min="4374" max="4385" width="7.81640625" style="41" customWidth="1"/>
    <col min="4386" max="4386" width="8.1796875" style="41" customWidth="1"/>
    <col min="4387" max="4387" width="9.7265625" style="41" customWidth="1"/>
    <col min="4388" max="4392" width="8.7265625" style="41" customWidth="1"/>
    <col min="4393" max="4393" width="6.26953125" style="41" customWidth="1"/>
    <col min="4394" max="4397" width="8.7265625" style="41" customWidth="1"/>
    <col min="4398" max="4613" width="9.1796875" style="41" customWidth="1"/>
    <col min="4614" max="4614" width="16.26953125" style="41"/>
    <col min="4615" max="4615" width="20.81640625" style="41" customWidth="1"/>
    <col min="4616" max="4620" width="7.81640625" style="41" customWidth="1"/>
    <col min="4621" max="4621" width="8.54296875" style="41" customWidth="1"/>
    <col min="4622" max="4627" width="7.81640625" style="41" customWidth="1"/>
    <col min="4628" max="4628" width="8.54296875" style="41" customWidth="1"/>
    <col min="4629" max="4629" width="9.453125" style="41" customWidth="1"/>
    <col min="4630" max="4641" width="7.81640625" style="41" customWidth="1"/>
    <col min="4642" max="4642" width="8.1796875" style="41" customWidth="1"/>
    <col min="4643" max="4643" width="9.7265625" style="41" customWidth="1"/>
    <col min="4644" max="4648" width="8.7265625" style="41" customWidth="1"/>
    <col min="4649" max="4649" width="6.26953125" style="41" customWidth="1"/>
    <col min="4650" max="4653" width="8.7265625" style="41" customWidth="1"/>
    <col min="4654" max="4869" width="9.1796875" style="41" customWidth="1"/>
    <col min="4870" max="4870" width="16.26953125" style="41"/>
    <col min="4871" max="4871" width="20.81640625" style="41" customWidth="1"/>
    <col min="4872" max="4876" width="7.81640625" style="41" customWidth="1"/>
    <col min="4877" max="4877" width="8.54296875" style="41" customWidth="1"/>
    <col min="4878" max="4883" width="7.81640625" style="41" customWidth="1"/>
    <col min="4884" max="4884" width="8.54296875" style="41" customWidth="1"/>
    <col min="4885" max="4885" width="9.453125" style="41" customWidth="1"/>
    <col min="4886" max="4897" width="7.81640625" style="41" customWidth="1"/>
    <col min="4898" max="4898" width="8.1796875" style="41" customWidth="1"/>
    <col min="4899" max="4899" width="9.7265625" style="41" customWidth="1"/>
    <col min="4900" max="4904" width="8.7265625" style="41" customWidth="1"/>
    <col min="4905" max="4905" width="6.26953125" style="41" customWidth="1"/>
    <col min="4906" max="4909" width="8.7265625" style="41" customWidth="1"/>
    <col min="4910" max="5125" width="9.1796875" style="41" customWidth="1"/>
    <col min="5126" max="5126" width="16.26953125" style="41"/>
    <col min="5127" max="5127" width="20.81640625" style="41" customWidth="1"/>
    <col min="5128" max="5132" width="7.81640625" style="41" customWidth="1"/>
    <col min="5133" max="5133" width="8.54296875" style="41" customWidth="1"/>
    <col min="5134" max="5139" width="7.81640625" style="41" customWidth="1"/>
    <col min="5140" max="5140" width="8.54296875" style="41" customWidth="1"/>
    <col min="5141" max="5141" width="9.453125" style="41" customWidth="1"/>
    <col min="5142" max="5153" width="7.81640625" style="41" customWidth="1"/>
    <col min="5154" max="5154" width="8.1796875" style="41" customWidth="1"/>
    <col min="5155" max="5155" width="9.7265625" style="41" customWidth="1"/>
    <col min="5156" max="5160" width="8.7265625" style="41" customWidth="1"/>
    <col min="5161" max="5161" width="6.26953125" style="41" customWidth="1"/>
    <col min="5162" max="5165" width="8.7265625" style="41" customWidth="1"/>
    <col min="5166" max="5381" width="9.1796875" style="41" customWidth="1"/>
    <col min="5382" max="5382" width="16.26953125" style="41"/>
    <col min="5383" max="5383" width="20.81640625" style="41" customWidth="1"/>
    <col min="5384" max="5388" width="7.81640625" style="41" customWidth="1"/>
    <col min="5389" max="5389" width="8.54296875" style="41" customWidth="1"/>
    <col min="5390" max="5395" width="7.81640625" style="41" customWidth="1"/>
    <col min="5396" max="5396" width="8.54296875" style="41" customWidth="1"/>
    <col min="5397" max="5397" width="9.453125" style="41" customWidth="1"/>
    <col min="5398" max="5409" width="7.81640625" style="41" customWidth="1"/>
    <col min="5410" max="5410" width="8.1796875" style="41" customWidth="1"/>
    <col min="5411" max="5411" width="9.7265625" style="41" customWidth="1"/>
    <col min="5412" max="5416" width="8.7265625" style="41" customWidth="1"/>
    <col min="5417" max="5417" width="6.26953125" style="41" customWidth="1"/>
    <col min="5418" max="5421" width="8.7265625" style="41" customWidth="1"/>
    <col min="5422" max="5637" width="9.1796875" style="41" customWidth="1"/>
    <col min="5638" max="5638" width="16.26953125" style="41"/>
    <col min="5639" max="5639" width="20.81640625" style="41" customWidth="1"/>
    <col min="5640" max="5644" width="7.81640625" style="41" customWidth="1"/>
    <col min="5645" max="5645" width="8.54296875" style="41" customWidth="1"/>
    <col min="5646" max="5651" width="7.81640625" style="41" customWidth="1"/>
    <col min="5652" max="5652" width="8.54296875" style="41" customWidth="1"/>
    <col min="5653" max="5653" width="9.453125" style="41" customWidth="1"/>
    <col min="5654" max="5665" width="7.81640625" style="41" customWidth="1"/>
    <col min="5666" max="5666" width="8.1796875" style="41" customWidth="1"/>
    <col min="5667" max="5667" width="9.7265625" style="41" customWidth="1"/>
    <col min="5668" max="5672" width="8.7265625" style="41" customWidth="1"/>
    <col min="5673" max="5673" width="6.26953125" style="41" customWidth="1"/>
    <col min="5674" max="5677" width="8.7265625" style="41" customWidth="1"/>
    <col min="5678" max="5893" width="9.1796875" style="41" customWidth="1"/>
    <col min="5894" max="5894" width="16.26953125" style="41"/>
    <col min="5895" max="5895" width="20.81640625" style="41" customWidth="1"/>
    <col min="5896" max="5900" width="7.81640625" style="41" customWidth="1"/>
    <col min="5901" max="5901" width="8.54296875" style="41" customWidth="1"/>
    <col min="5902" max="5907" width="7.81640625" style="41" customWidth="1"/>
    <col min="5908" max="5908" width="8.54296875" style="41" customWidth="1"/>
    <col min="5909" max="5909" width="9.453125" style="41" customWidth="1"/>
    <col min="5910" max="5921" width="7.81640625" style="41" customWidth="1"/>
    <col min="5922" max="5922" width="8.1796875" style="41" customWidth="1"/>
    <col min="5923" max="5923" width="9.7265625" style="41" customWidth="1"/>
    <col min="5924" max="5928" width="8.7265625" style="41" customWidth="1"/>
    <col min="5929" max="5929" width="6.26953125" style="41" customWidth="1"/>
    <col min="5930" max="5933" width="8.7265625" style="41" customWidth="1"/>
    <col min="5934" max="6149" width="9.1796875" style="41" customWidth="1"/>
    <col min="6150" max="6150" width="16.26953125" style="41"/>
    <col min="6151" max="6151" width="20.81640625" style="41" customWidth="1"/>
    <col min="6152" max="6156" width="7.81640625" style="41" customWidth="1"/>
    <col min="6157" max="6157" width="8.54296875" style="41" customWidth="1"/>
    <col min="6158" max="6163" width="7.81640625" style="41" customWidth="1"/>
    <col min="6164" max="6164" width="8.54296875" style="41" customWidth="1"/>
    <col min="6165" max="6165" width="9.453125" style="41" customWidth="1"/>
    <col min="6166" max="6177" width="7.81640625" style="41" customWidth="1"/>
    <col min="6178" max="6178" width="8.1796875" style="41" customWidth="1"/>
    <col min="6179" max="6179" width="9.7265625" style="41" customWidth="1"/>
    <col min="6180" max="6184" width="8.7265625" style="41" customWidth="1"/>
    <col min="6185" max="6185" width="6.26953125" style="41" customWidth="1"/>
    <col min="6186" max="6189" width="8.7265625" style="41" customWidth="1"/>
    <col min="6190" max="6405" width="9.1796875" style="41" customWidth="1"/>
    <col min="6406" max="6406" width="16.26953125" style="41"/>
    <col min="6407" max="6407" width="20.81640625" style="41" customWidth="1"/>
    <col min="6408" max="6412" width="7.81640625" style="41" customWidth="1"/>
    <col min="6413" max="6413" width="8.54296875" style="41" customWidth="1"/>
    <col min="6414" max="6419" width="7.81640625" style="41" customWidth="1"/>
    <col min="6420" max="6420" width="8.54296875" style="41" customWidth="1"/>
    <col min="6421" max="6421" width="9.453125" style="41" customWidth="1"/>
    <col min="6422" max="6433" width="7.81640625" style="41" customWidth="1"/>
    <col min="6434" max="6434" width="8.1796875" style="41" customWidth="1"/>
    <col min="6435" max="6435" width="9.7265625" style="41" customWidth="1"/>
    <col min="6436" max="6440" width="8.7265625" style="41" customWidth="1"/>
    <col min="6441" max="6441" width="6.26953125" style="41" customWidth="1"/>
    <col min="6442" max="6445" width="8.7265625" style="41" customWidth="1"/>
    <col min="6446" max="6661" width="9.1796875" style="41" customWidth="1"/>
    <col min="6662" max="6662" width="16.26953125" style="41"/>
    <col min="6663" max="6663" width="20.81640625" style="41" customWidth="1"/>
    <col min="6664" max="6668" width="7.81640625" style="41" customWidth="1"/>
    <col min="6669" max="6669" width="8.54296875" style="41" customWidth="1"/>
    <col min="6670" max="6675" width="7.81640625" style="41" customWidth="1"/>
    <col min="6676" max="6676" width="8.54296875" style="41" customWidth="1"/>
    <col min="6677" max="6677" width="9.453125" style="41" customWidth="1"/>
    <col min="6678" max="6689" width="7.81640625" style="41" customWidth="1"/>
    <col min="6690" max="6690" width="8.1796875" style="41" customWidth="1"/>
    <col min="6691" max="6691" width="9.7265625" style="41" customWidth="1"/>
    <col min="6692" max="6696" width="8.7265625" style="41" customWidth="1"/>
    <col min="6697" max="6697" width="6.26953125" style="41" customWidth="1"/>
    <col min="6698" max="6701" width="8.7265625" style="41" customWidth="1"/>
    <col min="6702" max="6917" width="9.1796875" style="41" customWidth="1"/>
    <col min="6918" max="6918" width="16.26953125" style="41"/>
    <col min="6919" max="6919" width="20.81640625" style="41" customWidth="1"/>
    <col min="6920" max="6924" width="7.81640625" style="41" customWidth="1"/>
    <col min="6925" max="6925" width="8.54296875" style="41" customWidth="1"/>
    <col min="6926" max="6931" width="7.81640625" style="41" customWidth="1"/>
    <col min="6932" max="6932" width="8.54296875" style="41" customWidth="1"/>
    <col min="6933" max="6933" width="9.453125" style="41" customWidth="1"/>
    <col min="6934" max="6945" width="7.81640625" style="41" customWidth="1"/>
    <col min="6946" max="6946" width="8.1796875" style="41" customWidth="1"/>
    <col min="6947" max="6947" width="9.7265625" style="41" customWidth="1"/>
    <col min="6948" max="6952" width="8.7265625" style="41" customWidth="1"/>
    <col min="6953" max="6953" width="6.26953125" style="41" customWidth="1"/>
    <col min="6954" max="6957" width="8.7265625" style="41" customWidth="1"/>
    <col min="6958" max="7173" width="9.1796875" style="41" customWidth="1"/>
    <col min="7174" max="7174" width="16.26953125" style="41"/>
    <col min="7175" max="7175" width="20.81640625" style="41" customWidth="1"/>
    <col min="7176" max="7180" width="7.81640625" style="41" customWidth="1"/>
    <col min="7181" max="7181" width="8.54296875" style="41" customWidth="1"/>
    <col min="7182" max="7187" width="7.81640625" style="41" customWidth="1"/>
    <col min="7188" max="7188" width="8.54296875" style="41" customWidth="1"/>
    <col min="7189" max="7189" width="9.453125" style="41" customWidth="1"/>
    <col min="7190" max="7201" width="7.81640625" style="41" customWidth="1"/>
    <col min="7202" max="7202" width="8.1796875" style="41" customWidth="1"/>
    <col min="7203" max="7203" width="9.7265625" style="41" customWidth="1"/>
    <col min="7204" max="7208" width="8.7265625" style="41" customWidth="1"/>
    <col min="7209" max="7209" width="6.26953125" style="41" customWidth="1"/>
    <col min="7210" max="7213" width="8.7265625" style="41" customWidth="1"/>
    <col min="7214" max="7429" width="9.1796875" style="41" customWidth="1"/>
    <col min="7430" max="7430" width="16.26953125" style="41"/>
    <col min="7431" max="7431" width="20.81640625" style="41" customWidth="1"/>
    <col min="7432" max="7436" width="7.81640625" style="41" customWidth="1"/>
    <col min="7437" max="7437" width="8.54296875" style="41" customWidth="1"/>
    <col min="7438" max="7443" width="7.81640625" style="41" customWidth="1"/>
    <col min="7444" max="7444" width="8.54296875" style="41" customWidth="1"/>
    <col min="7445" max="7445" width="9.453125" style="41" customWidth="1"/>
    <col min="7446" max="7457" width="7.81640625" style="41" customWidth="1"/>
    <col min="7458" max="7458" width="8.1796875" style="41" customWidth="1"/>
    <col min="7459" max="7459" width="9.7265625" style="41" customWidth="1"/>
    <col min="7460" max="7464" width="8.7265625" style="41" customWidth="1"/>
    <col min="7465" max="7465" width="6.26953125" style="41" customWidth="1"/>
    <col min="7466" max="7469" width="8.7265625" style="41" customWidth="1"/>
    <col min="7470" max="7685" width="9.1796875" style="41" customWidth="1"/>
    <col min="7686" max="7686" width="16.26953125" style="41"/>
    <col min="7687" max="7687" width="20.81640625" style="41" customWidth="1"/>
    <col min="7688" max="7692" width="7.81640625" style="41" customWidth="1"/>
    <col min="7693" max="7693" width="8.54296875" style="41" customWidth="1"/>
    <col min="7694" max="7699" width="7.81640625" style="41" customWidth="1"/>
    <col min="7700" max="7700" width="8.54296875" style="41" customWidth="1"/>
    <col min="7701" max="7701" width="9.453125" style="41" customWidth="1"/>
    <col min="7702" max="7713" width="7.81640625" style="41" customWidth="1"/>
    <col min="7714" max="7714" width="8.1796875" style="41" customWidth="1"/>
    <col min="7715" max="7715" width="9.7265625" style="41" customWidth="1"/>
    <col min="7716" max="7720" width="8.7265625" style="41" customWidth="1"/>
    <col min="7721" max="7721" width="6.26953125" style="41" customWidth="1"/>
    <col min="7722" max="7725" width="8.7265625" style="41" customWidth="1"/>
    <col min="7726" max="7941" width="9.1796875" style="41" customWidth="1"/>
    <col min="7942" max="7942" width="16.26953125" style="41"/>
    <col min="7943" max="7943" width="20.81640625" style="41" customWidth="1"/>
    <col min="7944" max="7948" width="7.81640625" style="41" customWidth="1"/>
    <col min="7949" max="7949" width="8.54296875" style="41" customWidth="1"/>
    <col min="7950" max="7955" width="7.81640625" style="41" customWidth="1"/>
    <col min="7956" max="7956" width="8.54296875" style="41" customWidth="1"/>
    <col min="7957" max="7957" width="9.453125" style="41" customWidth="1"/>
    <col min="7958" max="7969" width="7.81640625" style="41" customWidth="1"/>
    <col min="7970" max="7970" width="8.1796875" style="41" customWidth="1"/>
    <col min="7971" max="7971" width="9.7265625" style="41" customWidth="1"/>
    <col min="7972" max="7976" width="8.7265625" style="41" customWidth="1"/>
    <col min="7977" max="7977" width="6.26953125" style="41" customWidth="1"/>
    <col min="7978" max="7981" width="8.7265625" style="41" customWidth="1"/>
    <col min="7982" max="8197" width="9.1796875" style="41" customWidth="1"/>
    <col min="8198" max="8198" width="16.26953125" style="41"/>
    <col min="8199" max="8199" width="20.81640625" style="41" customWidth="1"/>
    <col min="8200" max="8204" width="7.81640625" style="41" customWidth="1"/>
    <col min="8205" max="8205" width="8.54296875" style="41" customWidth="1"/>
    <col min="8206" max="8211" width="7.81640625" style="41" customWidth="1"/>
    <col min="8212" max="8212" width="8.54296875" style="41" customWidth="1"/>
    <col min="8213" max="8213" width="9.453125" style="41" customWidth="1"/>
    <col min="8214" max="8225" width="7.81640625" style="41" customWidth="1"/>
    <col min="8226" max="8226" width="8.1796875" style="41" customWidth="1"/>
    <col min="8227" max="8227" width="9.7265625" style="41" customWidth="1"/>
    <col min="8228" max="8232" width="8.7265625" style="41" customWidth="1"/>
    <col min="8233" max="8233" width="6.26953125" style="41" customWidth="1"/>
    <col min="8234" max="8237" width="8.7265625" style="41" customWidth="1"/>
    <col min="8238" max="8453" width="9.1796875" style="41" customWidth="1"/>
    <col min="8454" max="8454" width="16.26953125" style="41"/>
    <col min="8455" max="8455" width="20.81640625" style="41" customWidth="1"/>
    <col min="8456" max="8460" width="7.81640625" style="41" customWidth="1"/>
    <col min="8461" max="8461" width="8.54296875" style="41" customWidth="1"/>
    <col min="8462" max="8467" width="7.81640625" style="41" customWidth="1"/>
    <col min="8468" max="8468" width="8.54296875" style="41" customWidth="1"/>
    <col min="8469" max="8469" width="9.453125" style="41" customWidth="1"/>
    <col min="8470" max="8481" width="7.81640625" style="41" customWidth="1"/>
    <col min="8482" max="8482" width="8.1796875" style="41" customWidth="1"/>
    <col min="8483" max="8483" width="9.7265625" style="41" customWidth="1"/>
    <col min="8484" max="8488" width="8.7265625" style="41" customWidth="1"/>
    <col min="8489" max="8489" width="6.26953125" style="41" customWidth="1"/>
    <col min="8490" max="8493" width="8.7265625" style="41" customWidth="1"/>
    <col min="8494" max="8709" width="9.1796875" style="41" customWidth="1"/>
    <col min="8710" max="8710" width="16.26953125" style="41"/>
    <col min="8711" max="8711" width="20.81640625" style="41" customWidth="1"/>
    <col min="8712" max="8716" width="7.81640625" style="41" customWidth="1"/>
    <col min="8717" max="8717" width="8.54296875" style="41" customWidth="1"/>
    <col min="8718" max="8723" width="7.81640625" style="41" customWidth="1"/>
    <col min="8724" max="8724" width="8.54296875" style="41" customWidth="1"/>
    <col min="8725" max="8725" width="9.453125" style="41" customWidth="1"/>
    <col min="8726" max="8737" width="7.81640625" style="41" customWidth="1"/>
    <col min="8738" max="8738" width="8.1796875" style="41" customWidth="1"/>
    <col min="8739" max="8739" width="9.7265625" style="41" customWidth="1"/>
    <col min="8740" max="8744" width="8.7265625" style="41" customWidth="1"/>
    <col min="8745" max="8745" width="6.26953125" style="41" customWidth="1"/>
    <col min="8746" max="8749" width="8.7265625" style="41" customWidth="1"/>
    <col min="8750" max="8965" width="9.1796875" style="41" customWidth="1"/>
    <col min="8966" max="8966" width="16.26953125" style="41"/>
    <col min="8967" max="8967" width="20.81640625" style="41" customWidth="1"/>
    <col min="8968" max="8972" width="7.81640625" style="41" customWidth="1"/>
    <col min="8973" max="8973" width="8.54296875" style="41" customWidth="1"/>
    <col min="8974" max="8979" width="7.81640625" style="41" customWidth="1"/>
    <col min="8980" max="8980" width="8.54296875" style="41" customWidth="1"/>
    <col min="8981" max="8981" width="9.453125" style="41" customWidth="1"/>
    <col min="8982" max="8993" width="7.81640625" style="41" customWidth="1"/>
    <col min="8994" max="8994" width="8.1796875" style="41" customWidth="1"/>
    <col min="8995" max="8995" width="9.7265625" style="41" customWidth="1"/>
    <col min="8996" max="9000" width="8.7265625" style="41" customWidth="1"/>
    <col min="9001" max="9001" width="6.26953125" style="41" customWidth="1"/>
    <col min="9002" max="9005" width="8.7265625" style="41" customWidth="1"/>
    <col min="9006" max="9221" width="9.1796875" style="41" customWidth="1"/>
    <col min="9222" max="9222" width="16.26953125" style="41"/>
    <col min="9223" max="9223" width="20.81640625" style="41" customWidth="1"/>
    <col min="9224" max="9228" width="7.81640625" style="41" customWidth="1"/>
    <col min="9229" max="9229" width="8.54296875" style="41" customWidth="1"/>
    <col min="9230" max="9235" width="7.81640625" style="41" customWidth="1"/>
    <col min="9236" max="9236" width="8.54296875" style="41" customWidth="1"/>
    <col min="9237" max="9237" width="9.453125" style="41" customWidth="1"/>
    <col min="9238" max="9249" width="7.81640625" style="41" customWidth="1"/>
    <col min="9250" max="9250" width="8.1796875" style="41" customWidth="1"/>
    <col min="9251" max="9251" width="9.7265625" style="41" customWidth="1"/>
    <col min="9252" max="9256" width="8.7265625" style="41" customWidth="1"/>
    <col min="9257" max="9257" width="6.26953125" style="41" customWidth="1"/>
    <col min="9258" max="9261" width="8.7265625" style="41" customWidth="1"/>
    <col min="9262" max="9477" width="9.1796875" style="41" customWidth="1"/>
    <col min="9478" max="9478" width="16.26953125" style="41"/>
    <col min="9479" max="9479" width="20.81640625" style="41" customWidth="1"/>
    <col min="9480" max="9484" width="7.81640625" style="41" customWidth="1"/>
    <col min="9485" max="9485" width="8.54296875" style="41" customWidth="1"/>
    <col min="9486" max="9491" width="7.81640625" style="41" customWidth="1"/>
    <col min="9492" max="9492" width="8.54296875" style="41" customWidth="1"/>
    <col min="9493" max="9493" width="9.453125" style="41" customWidth="1"/>
    <col min="9494" max="9505" width="7.81640625" style="41" customWidth="1"/>
    <col min="9506" max="9506" width="8.1796875" style="41" customWidth="1"/>
    <col min="9507" max="9507" width="9.7265625" style="41" customWidth="1"/>
    <col min="9508" max="9512" width="8.7265625" style="41" customWidth="1"/>
    <col min="9513" max="9513" width="6.26953125" style="41" customWidth="1"/>
    <col min="9514" max="9517" width="8.7265625" style="41" customWidth="1"/>
    <col min="9518" max="9733" width="9.1796875" style="41" customWidth="1"/>
    <col min="9734" max="9734" width="16.26953125" style="41"/>
    <col min="9735" max="9735" width="20.81640625" style="41" customWidth="1"/>
    <col min="9736" max="9740" width="7.81640625" style="41" customWidth="1"/>
    <col min="9741" max="9741" width="8.54296875" style="41" customWidth="1"/>
    <col min="9742" max="9747" width="7.81640625" style="41" customWidth="1"/>
    <col min="9748" max="9748" width="8.54296875" style="41" customWidth="1"/>
    <col min="9749" max="9749" width="9.453125" style="41" customWidth="1"/>
    <col min="9750" max="9761" width="7.81640625" style="41" customWidth="1"/>
    <col min="9762" max="9762" width="8.1796875" style="41" customWidth="1"/>
    <col min="9763" max="9763" width="9.7265625" style="41" customWidth="1"/>
    <col min="9764" max="9768" width="8.7265625" style="41" customWidth="1"/>
    <col min="9769" max="9769" width="6.26953125" style="41" customWidth="1"/>
    <col min="9770" max="9773" width="8.7265625" style="41" customWidth="1"/>
    <col min="9774" max="9989" width="9.1796875" style="41" customWidth="1"/>
    <col min="9990" max="9990" width="16.26953125" style="41"/>
    <col min="9991" max="9991" width="20.81640625" style="41" customWidth="1"/>
    <col min="9992" max="9996" width="7.81640625" style="41" customWidth="1"/>
    <col min="9997" max="9997" width="8.54296875" style="41" customWidth="1"/>
    <col min="9998" max="10003" width="7.81640625" style="41" customWidth="1"/>
    <col min="10004" max="10004" width="8.54296875" style="41" customWidth="1"/>
    <col min="10005" max="10005" width="9.453125" style="41" customWidth="1"/>
    <col min="10006" max="10017" width="7.81640625" style="41" customWidth="1"/>
    <col min="10018" max="10018" width="8.1796875" style="41" customWidth="1"/>
    <col min="10019" max="10019" width="9.7265625" style="41" customWidth="1"/>
    <col min="10020" max="10024" width="8.7265625" style="41" customWidth="1"/>
    <col min="10025" max="10025" width="6.26953125" style="41" customWidth="1"/>
    <col min="10026" max="10029" width="8.7265625" style="41" customWidth="1"/>
    <col min="10030" max="10245" width="9.1796875" style="41" customWidth="1"/>
    <col min="10246" max="10246" width="16.26953125" style="41"/>
    <col min="10247" max="10247" width="20.81640625" style="41" customWidth="1"/>
    <col min="10248" max="10252" width="7.81640625" style="41" customWidth="1"/>
    <col min="10253" max="10253" width="8.54296875" style="41" customWidth="1"/>
    <col min="10254" max="10259" width="7.81640625" style="41" customWidth="1"/>
    <col min="10260" max="10260" width="8.54296875" style="41" customWidth="1"/>
    <col min="10261" max="10261" width="9.453125" style="41" customWidth="1"/>
    <col min="10262" max="10273" width="7.81640625" style="41" customWidth="1"/>
    <col min="10274" max="10274" width="8.1796875" style="41" customWidth="1"/>
    <col min="10275" max="10275" width="9.7265625" style="41" customWidth="1"/>
    <col min="10276" max="10280" width="8.7265625" style="41" customWidth="1"/>
    <col min="10281" max="10281" width="6.26953125" style="41" customWidth="1"/>
    <col min="10282" max="10285" width="8.7265625" style="41" customWidth="1"/>
    <col min="10286" max="10501" width="9.1796875" style="41" customWidth="1"/>
    <col min="10502" max="10502" width="16.26953125" style="41"/>
    <col min="10503" max="10503" width="20.81640625" style="41" customWidth="1"/>
    <col min="10504" max="10508" width="7.81640625" style="41" customWidth="1"/>
    <col min="10509" max="10509" width="8.54296875" style="41" customWidth="1"/>
    <col min="10510" max="10515" width="7.81640625" style="41" customWidth="1"/>
    <col min="10516" max="10516" width="8.54296875" style="41" customWidth="1"/>
    <col min="10517" max="10517" width="9.453125" style="41" customWidth="1"/>
    <col min="10518" max="10529" width="7.81640625" style="41" customWidth="1"/>
    <col min="10530" max="10530" width="8.1796875" style="41" customWidth="1"/>
    <col min="10531" max="10531" width="9.7265625" style="41" customWidth="1"/>
    <col min="10532" max="10536" width="8.7265625" style="41" customWidth="1"/>
    <col min="10537" max="10537" width="6.26953125" style="41" customWidth="1"/>
    <col min="10538" max="10541" width="8.7265625" style="41" customWidth="1"/>
    <col min="10542" max="10757" width="9.1796875" style="41" customWidth="1"/>
    <col min="10758" max="10758" width="16.26953125" style="41"/>
    <col min="10759" max="10759" width="20.81640625" style="41" customWidth="1"/>
    <col min="10760" max="10764" width="7.81640625" style="41" customWidth="1"/>
    <col min="10765" max="10765" width="8.54296875" style="41" customWidth="1"/>
    <col min="10766" max="10771" width="7.81640625" style="41" customWidth="1"/>
    <col min="10772" max="10772" width="8.54296875" style="41" customWidth="1"/>
    <col min="10773" max="10773" width="9.453125" style="41" customWidth="1"/>
    <col min="10774" max="10785" width="7.81640625" style="41" customWidth="1"/>
    <col min="10786" max="10786" width="8.1796875" style="41" customWidth="1"/>
    <col min="10787" max="10787" width="9.7265625" style="41" customWidth="1"/>
    <col min="10788" max="10792" width="8.7265625" style="41" customWidth="1"/>
    <col min="10793" max="10793" width="6.26953125" style="41" customWidth="1"/>
    <col min="10794" max="10797" width="8.7265625" style="41" customWidth="1"/>
    <col min="10798" max="11013" width="9.1796875" style="41" customWidth="1"/>
    <col min="11014" max="11014" width="16.26953125" style="41"/>
    <col min="11015" max="11015" width="20.81640625" style="41" customWidth="1"/>
    <col min="11016" max="11020" width="7.81640625" style="41" customWidth="1"/>
    <col min="11021" max="11021" width="8.54296875" style="41" customWidth="1"/>
    <col min="11022" max="11027" width="7.81640625" style="41" customWidth="1"/>
    <col min="11028" max="11028" width="8.54296875" style="41" customWidth="1"/>
    <col min="11029" max="11029" width="9.453125" style="41" customWidth="1"/>
    <col min="11030" max="11041" width="7.81640625" style="41" customWidth="1"/>
    <col min="11042" max="11042" width="8.1796875" style="41" customWidth="1"/>
    <col min="11043" max="11043" width="9.7265625" style="41" customWidth="1"/>
    <col min="11044" max="11048" width="8.7265625" style="41" customWidth="1"/>
    <col min="11049" max="11049" width="6.26953125" style="41" customWidth="1"/>
    <col min="11050" max="11053" width="8.7265625" style="41" customWidth="1"/>
    <col min="11054" max="11269" width="9.1796875" style="41" customWidth="1"/>
    <col min="11270" max="11270" width="16.26953125" style="41"/>
    <col min="11271" max="11271" width="20.81640625" style="41" customWidth="1"/>
    <col min="11272" max="11276" width="7.81640625" style="41" customWidth="1"/>
    <col min="11277" max="11277" width="8.54296875" style="41" customWidth="1"/>
    <col min="11278" max="11283" width="7.81640625" style="41" customWidth="1"/>
    <col min="11284" max="11284" width="8.54296875" style="41" customWidth="1"/>
    <col min="11285" max="11285" width="9.453125" style="41" customWidth="1"/>
    <col min="11286" max="11297" width="7.81640625" style="41" customWidth="1"/>
    <col min="11298" max="11298" width="8.1796875" style="41" customWidth="1"/>
    <col min="11299" max="11299" width="9.7265625" style="41" customWidth="1"/>
    <col min="11300" max="11304" width="8.7265625" style="41" customWidth="1"/>
    <col min="11305" max="11305" width="6.26953125" style="41" customWidth="1"/>
    <col min="11306" max="11309" width="8.7265625" style="41" customWidth="1"/>
    <col min="11310" max="11525" width="9.1796875" style="41" customWidth="1"/>
    <col min="11526" max="11526" width="16.26953125" style="41"/>
    <col min="11527" max="11527" width="20.81640625" style="41" customWidth="1"/>
    <col min="11528" max="11532" width="7.81640625" style="41" customWidth="1"/>
    <col min="11533" max="11533" width="8.54296875" style="41" customWidth="1"/>
    <col min="11534" max="11539" width="7.81640625" style="41" customWidth="1"/>
    <col min="11540" max="11540" width="8.54296875" style="41" customWidth="1"/>
    <col min="11541" max="11541" width="9.453125" style="41" customWidth="1"/>
    <col min="11542" max="11553" width="7.81640625" style="41" customWidth="1"/>
    <col min="11554" max="11554" width="8.1796875" style="41" customWidth="1"/>
    <col min="11555" max="11555" width="9.7265625" style="41" customWidth="1"/>
    <col min="11556" max="11560" width="8.7265625" style="41" customWidth="1"/>
    <col min="11561" max="11561" width="6.26953125" style="41" customWidth="1"/>
    <col min="11562" max="11565" width="8.7265625" style="41" customWidth="1"/>
    <col min="11566" max="11781" width="9.1796875" style="41" customWidth="1"/>
    <col min="11782" max="11782" width="16.26953125" style="41"/>
    <col min="11783" max="11783" width="20.81640625" style="41" customWidth="1"/>
    <col min="11784" max="11788" width="7.81640625" style="41" customWidth="1"/>
    <col min="11789" max="11789" width="8.54296875" style="41" customWidth="1"/>
    <col min="11790" max="11795" width="7.81640625" style="41" customWidth="1"/>
    <col min="11796" max="11796" width="8.54296875" style="41" customWidth="1"/>
    <col min="11797" max="11797" width="9.453125" style="41" customWidth="1"/>
    <col min="11798" max="11809" width="7.81640625" style="41" customWidth="1"/>
    <col min="11810" max="11810" width="8.1796875" style="41" customWidth="1"/>
    <col min="11811" max="11811" width="9.7265625" style="41" customWidth="1"/>
    <col min="11812" max="11816" width="8.7265625" style="41" customWidth="1"/>
    <col min="11817" max="11817" width="6.26953125" style="41" customWidth="1"/>
    <col min="11818" max="11821" width="8.7265625" style="41" customWidth="1"/>
    <col min="11822" max="12037" width="9.1796875" style="41" customWidth="1"/>
    <col min="12038" max="12038" width="16.26953125" style="41"/>
    <col min="12039" max="12039" width="20.81640625" style="41" customWidth="1"/>
    <col min="12040" max="12044" width="7.81640625" style="41" customWidth="1"/>
    <col min="12045" max="12045" width="8.54296875" style="41" customWidth="1"/>
    <col min="12046" max="12051" width="7.81640625" style="41" customWidth="1"/>
    <col min="12052" max="12052" width="8.54296875" style="41" customWidth="1"/>
    <col min="12053" max="12053" width="9.453125" style="41" customWidth="1"/>
    <col min="12054" max="12065" width="7.81640625" style="41" customWidth="1"/>
    <col min="12066" max="12066" width="8.1796875" style="41" customWidth="1"/>
    <col min="12067" max="12067" width="9.7265625" style="41" customWidth="1"/>
    <col min="12068" max="12072" width="8.7265625" style="41" customWidth="1"/>
    <col min="12073" max="12073" width="6.26953125" style="41" customWidth="1"/>
    <col min="12074" max="12077" width="8.7265625" style="41" customWidth="1"/>
    <col min="12078" max="12293" width="9.1796875" style="41" customWidth="1"/>
    <col min="12294" max="12294" width="16.26953125" style="41"/>
    <col min="12295" max="12295" width="20.81640625" style="41" customWidth="1"/>
    <col min="12296" max="12300" width="7.81640625" style="41" customWidth="1"/>
    <col min="12301" max="12301" width="8.54296875" style="41" customWidth="1"/>
    <col min="12302" max="12307" width="7.81640625" style="41" customWidth="1"/>
    <col min="12308" max="12308" width="8.54296875" style="41" customWidth="1"/>
    <col min="12309" max="12309" width="9.453125" style="41" customWidth="1"/>
    <col min="12310" max="12321" width="7.81640625" style="41" customWidth="1"/>
    <col min="12322" max="12322" width="8.1796875" style="41" customWidth="1"/>
    <col min="12323" max="12323" width="9.7265625" style="41" customWidth="1"/>
    <col min="12324" max="12328" width="8.7265625" style="41" customWidth="1"/>
    <col min="12329" max="12329" width="6.26953125" style="41" customWidth="1"/>
    <col min="12330" max="12333" width="8.7265625" style="41" customWidth="1"/>
    <col min="12334" max="12549" width="9.1796875" style="41" customWidth="1"/>
    <col min="12550" max="12550" width="16.26953125" style="41"/>
    <col min="12551" max="12551" width="20.81640625" style="41" customWidth="1"/>
    <col min="12552" max="12556" width="7.81640625" style="41" customWidth="1"/>
    <col min="12557" max="12557" width="8.54296875" style="41" customWidth="1"/>
    <col min="12558" max="12563" width="7.81640625" style="41" customWidth="1"/>
    <col min="12564" max="12564" width="8.54296875" style="41" customWidth="1"/>
    <col min="12565" max="12565" width="9.453125" style="41" customWidth="1"/>
    <col min="12566" max="12577" width="7.81640625" style="41" customWidth="1"/>
    <col min="12578" max="12578" width="8.1796875" style="41" customWidth="1"/>
    <col min="12579" max="12579" width="9.7265625" style="41" customWidth="1"/>
    <col min="12580" max="12584" width="8.7265625" style="41" customWidth="1"/>
    <col min="12585" max="12585" width="6.26953125" style="41" customWidth="1"/>
    <col min="12586" max="12589" width="8.7265625" style="41" customWidth="1"/>
    <col min="12590" max="12805" width="9.1796875" style="41" customWidth="1"/>
    <col min="12806" max="12806" width="16.26953125" style="41"/>
    <col min="12807" max="12807" width="20.81640625" style="41" customWidth="1"/>
    <col min="12808" max="12812" width="7.81640625" style="41" customWidth="1"/>
    <col min="12813" max="12813" width="8.54296875" style="41" customWidth="1"/>
    <col min="12814" max="12819" width="7.81640625" style="41" customWidth="1"/>
    <col min="12820" max="12820" width="8.54296875" style="41" customWidth="1"/>
    <col min="12821" max="12821" width="9.453125" style="41" customWidth="1"/>
    <col min="12822" max="12833" width="7.81640625" style="41" customWidth="1"/>
    <col min="12834" max="12834" width="8.1796875" style="41" customWidth="1"/>
    <col min="12835" max="12835" width="9.7265625" style="41" customWidth="1"/>
    <col min="12836" max="12840" width="8.7265625" style="41" customWidth="1"/>
    <col min="12841" max="12841" width="6.26953125" style="41" customWidth="1"/>
    <col min="12842" max="12845" width="8.7265625" style="41" customWidth="1"/>
    <col min="12846" max="13061" width="9.1796875" style="41" customWidth="1"/>
    <col min="13062" max="13062" width="16.26953125" style="41"/>
    <col min="13063" max="13063" width="20.81640625" style="41" customWidth="1"/>
    <col min="13064" max="13068" width="7.81640625" style="41" customWidth="1"/>
    <col min="13069" max="13069" width="8.54296875" style="41" customWidth="1"/>
    <col min="13070" max="13075" width="7.81640625" style="41" customWidth="1"/>
    <col min="13076" max="13076" width="8.54296875" style="41" customWidth="1"/>
    <col min="13077" max="13077" width="9.453125" style="41" customWidth="1"/>
    <col min="13078" max="13089" width="7.81640625" style="41" customWidth="1"/>
    <col min="13090" max="13090" width="8.1796875" style="41" customWidth="1"/>
    <col min="13091" max="13091" width="9.7265625" style="41" customWidth="1"/>
    <col min="13092" max="13096" width="8.7265625" style="41" customWidth="1"/>
    <col min="13097" max="13097" width="6.26953125" style="41" customWidth="1"/>
    <col min="13098" max="13101" width="8.7265625" style="41" customWidth="1"/>
    <col min="13102" max="13317" width="9.1796875" style="41" customWidth="1"/>
    <col min="13318" max="13318" width="16.26953125" style="41"/>
    <col min="13319" max="13319" width="20.81640625" style="41" customWidth="1"/>
    <col min="13320" max="13324" width="7.81640625" style="41" customWidth="1"/>
    <col min="13325" max="13325" width="8.54296875" style="41" customWidth="1"/>
    <col min="13326" max="13331" width="7.81640625" style="41" customWidth="1"/>
    <col min="13332" max="13332" width="8.54296875" style="41" customWidth="1"/>
    <col min="13333" max="13333" width="9.453125" style="41" customWidth="1"/>
    <col min="13334" max="13345" width="7.81640625" style="41" customWidth="1"/>
    <col min="13346" max="13346" width="8.1796875" style="41" customWidth="1"/>
    <col min="13347" max="13347" width="9.7265625" style="41" customWidth="1"/>
    <col min="13348" max="13352" width="8.7265625" style="41" customWidth="1"/>
    <col min="13353" max="13353" width="6.26953125" style="41" customWidth="1"/>
    <col min="13354" max="13357" width="8.7265625" style="41" customWidth="1"/>
    <col min="13358" max="13573" width="9.1796875" style="41" customWidth="1"/>
    <col min="13574" max="13574" width="16.26953125" style="41"/>
    <col min="13575" max="13575" width="20.81640625" style="41" customWidth="1"/>
    <col min="13576" max="13580" width="7.81640625" style="41" customWidth="1"/>
    <col min="13581" max="13581" width="8.54296875" style="41" customWidth="1"/>
    <col min="13582" max="13587" width="7.81640625" style="41" customWidth="1"/>
    <col min="13588" max="13588" width="8.54296875" style="41" customWidth="1"/>
    <col min="13589" max="13589" width="9.453125" style="41" customWidth="1"/>
    <col min="13590" max="13601" width="7.81640625" style="41" customWidth="1"/>
    <col min="13602" max="13602" width="8.1796875" style="41" customWidth="1"/>
    <col min="13603" max="13603" width="9.7265625" style="41" customWidth="1"/>
    <col min="13604" max="13608" width="8.7265625" style="41" customWidth="1"/>
    <col min="13609" max="13609" width="6.26953125" style="41" customWidth="1"/>
    <col min="13610" max="13613" width="8.7265625" style="41" customWidth="1"/>
    <col min="13614" max="13829" width="9.1796875" style="41" customWidth="1"/>
    <col min="13830" max="13830" width="16.26953125" style="41"/>
    <col min="13831" max="13831" width="20.81640625" style="41" customWidth="1"/>
    <col min="13832" max="13836" width="7.81640625" style="41" customWidth="1"/>
    <col min="13837" max="13837" width="8.54296875" style="41" customWidth="1"/>
    <col min="13838" max="13843" width="7.81640625" style="41" customWidth="1"/>
    <col min="13844" max="13844" width="8.54296875" style="41" customWidth="1"/>
    <col min="13845" max="13845" width="9.453125" style="41" customWidth="1"/>
    <col min="13846" max="13857" width="7.81640625" style="41" customWidth="1"/>
    <col min="13858" max="13858" width="8.1796875" style="41" customWidth="1"/>
    <col min="13859" max="13859" width="9.7265625" style="41" customWidth="1"/>
    <col min="13860" max="13864" width="8.7265625" style="41" customWidth="1"/>
    <col min="13865" max="13865" width="6.26953125" style="41" customWidth="1"/>
    <col min="13866" max="13869" width="8.7265625" style="41" customWidth="1"/>
    <col min="13870" max="14085" width="9.1796875" style="41" customWidth="1"/>
    <col min="14086" max="14086" width="16.26953125" style="41"/>
    <col min="14087" max="14087" width="20.81640625" style="41" customWidth="1"/>
    <col min="14088" max="14092" width="7.81640625" style="41" customWidth="1"/>
    <col min="14093" max="14093" width="8.54296875" style="41" customWidth="1"/>
    <col min="14094" max="14099" width="7.81640625" style="41" customWidth="1"/>
    <col min="14100" max="14100" width="8.54296875" style="41" customWidth="1"/>
    <col min="14101" max="14101" width="9.453125" style="41" customWidth="1"/>
    <col min="14102" max="14113" width="7.81640625" style="41" customWidth="1"/>
    <col min="14114" max="14114" width="8.1796875" style="41" customWidth="1"/>
    <col min="14115" max="14115" width="9.7265625" style="41" customWidth="1"/>
    <col min="14116" max="14120" width="8.7265625" style="41" customWidth="1"/>
    <col min="14121" max="14121" width="6.26953125" style="41" customWidth="1"/>
    <col min="14122" max="14125" width="8.7265625" style="41" customWidth="1"/>
    <col min="14126" max="14341" width="9.1796875" style="41" customWidth="1"/>
    <col min="14342" max="14342" width="16.26953125" style="41"/>
    <col min="14343" max="14343" width="20.81640625" style="41" customWidth="1"/>
    <col min="14344" max="14348" width="7.81640625" style="41" customWidth="1"/>
    <col min="14349" max="14349" width="8.54296875" style="41" customWidth="1"/>
    <col min="14350" max="14355" width="7.81640625" style="41" customWidth="1"/>
    <col min="14356" max="14356" width="8.54296875" style="41" customWidth="1"/>
    <col min="14357" max="14357" width="9.453125" style="41" customWidth="1"/>
    <col min="14358" max="14369" width="7.81640625" style="41" customWidth="1"/>
    <col min="14370" max="14370" width="8.1796875" style="41" customWidth="1"/>
    <col min="14371" max="14371" width="9.7265625" style="41" customWidth="1"/>
    <col min="14372" max="14376" width="8.7265625" style="41" customWidth="1"/>
    <col min="14377" max="14377" width="6.26953125" style="41" customWidth="1"/>
    <col min="14378" max="14381" width="8.7265625" style="41" customWidth="1"/>
    <col min="14382" max="14597" width="9.1796875" style="41" customWidth="1"/>
    <col min="14598" max="14598" width="16.26953125" style="41"/>
    <col min="14599" max="14599" width="20.81640625" style="41" customWidth="1"/>
    <col min="14600" max="14604" width="7.81640625" style="41" customWidth="1"/>
    <col min="14605" max="14605" width="8.54296875" style="41" customWidth="1"/>
    <col min="14606" max="14611" width="7.81640625" style="41" customWidth="1"/>
    <col min="14612" max="14612" width="8.54296875" style="41" customWidth="1"/>
    <col min="14613" max="14613" width="9.453125" style="41" customWidth="1"/>
    <col min="14614" max="14625" width="7.81640625" style="41" customWidth="1"/>
    <col min="14626" max="14626" width="8.1796875" style="41" customWidth="1"/>
    <col min="14627" max="14627" width="9.7265625" style="41" customWidth="1"/>
    <col min="14628" max="14632" width="8.7265625" style="41" customWidth="1"/>
    <col min="14633" max="14633" width="6.26953125" style="41" customWidth="1"/>
    <col min="14634" max="14637" width="8.7265625" style="41" customWidth="1"/>
    <col min="14638" max="14853" width="9.1796875" style="41" customWidth="1"/>
    <col min="14854" max="14854" width="16.26953125" style="41"/>
    <col min="14855" max="14855" width="20.81640625" style="41" customWidth="1"/>
    <col min="14856" max="14860" width="7.81640625" style="41" customWidth="1"/>
    <col min="14861" max="14861" width="8.54296875" style="41" customWidth="1"/>
    <col min="14862" max="14867" width="7.81640625" style="41" customWidth="1"/>
    <col min="14868" max="14868" width="8.54296875" style="41" customWidth="1"/>
    <col min="14869" max="14869" width="9.453125" style="41" customWidth="1"/>
    <col min="14870" max="14881" width="7.81640625" style="41" customWidth="1"/>
    <col min="14882" max="14882" width="8.1796875" style="41" customWidth="1"/>
    <col min="14883" max="14883" width="9.7265625" style="41" customWidth="1"/>
    <col min="14884" max="14888" width="8.7265625" style="41" customWidth="1"/>
    <col min="14889" max="14889" width="6.26953125" style="41" customWidth="1"/>
    <col min="14890" max="14893" width="8.7265625" style="41" customWidth="1"/>
    <col min="14894" max="15109" width="9.1796875" style="41" customWidth="1"/>
    <col min="15110" max="15110" width="16.26953125" style="41"/>
    <col min="15111" max="15111" width="20.81640625" style="41" customWidth="1"/>
    <col min="15112" max="15116" width="7.81640625" style="41" customWidth="1"/>
    <col min="15117" max="15117" width="8.54296875" style="41" customWidth="1"/>
    <col min="15118" max="15123" width="7.81640625" style="41" customWidth="1"/>
    <col min="15124" max="15124" width="8.54296875" style="41" customWidth="1"/>
    <col min="15125" max="15125" width="9.453125" style="41" customWidth="1"/>
    <col min="15126" max="15137" width="7.81640625" style="41" customWidth="1"/>
    <col min="15138" max="15138" width="8.1796875" style="41" customWidth="1"/>
    <col min="15139" max="15139" width="9.7265625" style="41" customWidth="1"/>
    <col min="15140" max="15144" width="8.7265625" style="41" customWidth="1"/>
    <col min="15145" max="15145" width="6.26953125" style="41" customWidth="1"/>
    <col min="15146" max="15149" width="8.7265625" style="41" customWidth="1"/>
    <col min="15150" max="15365" width="9.1796875" style="41" customWidth="1"/>
    <col min="15366" max="15366" width="16.26953125" style="41"/>
    <col min="15367" max="15367" width="20.81640625" style="41" customWidth="1"/>
    <col min="15368" max="15372" width="7.81640625" style="41" customWidth="1"/>
    <col min="15373" max="15373" width="8.54296875" style="41" customWidth="1"/>
    <col min="15374" max="15379" width="7.81640625" style="41" customWidth="1"/>
    <col min="15380" max="15380" width="8.54296875" style="41" customWidth="1"/>
    <col min="15381" max="15381" width="9.453125" style="41" customWidth="1"/>
    <col min="15382" max="15393" width="7.81640625" style="41" customWidth="1"/>
    <col min="15394" max="15394" width="8.1796875" style="41" customWidth="1"/>
    <col min="15395" max="15395" width="9.7265625" style="41" customWidth="1"/>
    <col min="15396" max="15400" width="8.7265625" style="41" customWidth="1"/>
    <col min="15401" max="15401" width="6.26953125" style="41" customWidth="1"/>
    <col min="15402" max="15405" width="8.7265625" style="41" customWidth="1"/>
    <col min="15406" max="15621" width="9.1796875" style="41" customWidth="1"/>
    <col min="15622" max="15622" width="16.26953125" style="41"/>
    <col min="15623" max="15623" width="20.81640625" style="41" customWidth="1"/>
    <col min="15624" max="15628" width="7.81640625" style="41" customWidth="1"/>
    <col min="15629" max="15629" width="8.54296875" style="41" customWidth="1"/>
    <col min="15630" max="15635" width="7.81640625" style="41" customWidth="1"/>
    <col min="15636" max="15636" width="8.54296875" style="41" customWidth="1"/>
    <col min="15637" max="15637" width="9.453125" style="41" customWidth="1"/>
    <col min="15638" max="15649" width="7.81640625" style="41" customWidth="1"/>
    <col min="15650" max="15650" width="8.1796875" style="41" customWidth="1"/>
    <col min="15651" max="15651" width="9.7265625" style="41" customWidth="1"/>
    <col min="15652" max="15656" width="8.7265625" style="41" customWidth="1"/>
    <col min="15657" max="15657" width="6.26953125" style="41" customWidth="1"/>
    <col min="15658" max="15661" width="8.7265625" style="41" customWidth="1"/>
    <col min="15662" max="15877" width="9.1796875" style="41" customWidth="1"/>
    <col min="15878" max="15878" width="16.26953125" style="41"/>
    <col min="15879" max="15879" width="20.81640625" style="41" customWidth="1"/>
    <col min="15880" max="15884" width="7.81640625" style="41" customWidth="1"/>
    <col min="15885" max="15885" width="8.54296875" style="41" customWidth="1"/>
    <col min="15886" max="15891" width="7.81640625" style="41" customWidth="1"/>
    <col min="15892" max="15892" width="8.54296875" style="41" customWidth="1"/>
    <col min="15893" max="15893" width="9.453125" style="41" customWidth="1"/>
    <col min="15894" max="15905" width="7.81640625" style="41" customWidth="1"/>
    <col min="15906" max="15906" width="8.1796875" style="41" customWidth="1"/>
    <col min="15907" max="15907" width="9.7265625" style="41" customWidth="1"/>
    <col min="15908" max="15912" width="8.7265625" style="41" customWidth="1"/>
    <col min="15913" max="15913" width="6.26953125" style="41" customWidth="1"/>
    <col min="15914" max="15917" width="8.7265625" style="41" customWidth="1"/>
    <col min="15918" max="16133" width="9.1796875" style="41" customWidth="1"/>
    <col min="16134" max="16134" width="16.26953125" style="41"/>
    <col min="16135" max="16135" width="20.81640625" style="41" customWidth="1"/>
    <col min="16136" max="16140" width="7.81640625" style="41" customWidth="1"/>
    <col min="16141" max="16141" width="8.54296875" style="41" customWidth="1"/>
    <col min="16142" max="16147" width="7.81640625" style="41" customWidth="1"/>
    <col min="16148" max="16148" width="8.54296875" style="41" customWidth="1"/>
    <col min="16149" max="16149" width="9.453125" style="41" customWidth="1"/>
    <col min="16150" max="16161" width="7.81640625" style="41" customWidth="1"/>
    <col min="16162" max="16162" width="8.1796875" style="41" customWidth="1"/>
    <col min="16163" max="16163" width="9.7265625" style="41" customWidth="1"/>
    <col min="16164" max="16168" width="8.7265625" style="41" customWidth="1"/>
    <col min="16169" max="16169" width="6.26953125" style="41" customWidth="1"/>
    <col min="16170" max="16173" width="8.7265625" style="41" customWidth="1"/>
    <col min="16174" max="16384" width="9.1796875" style="41" customWidth="1"/>
  </cols>
  <sheetData>
    <row r="1" spans="1:27" ht="15" customHeight="1" x14ac:dyDescent="0.35">
      <c r="A1" s="134" t="s">
        <v>102</v>
      </c>
      <c r="B1" s="225" t="s">
        <v>103</v>
      </c>
      <c r="C1" s="226"/>
      <c r="D1" s="124"/>
      <c r="E1" s="227" t="s">
        <v>53</v>
      </c>
      <c r="F1" s="227"/>
      <c r="G1" s="225" t="s">
        <v>104</v>
      </c>
      <c r="H1" s="226"/>
      <c r="J1" s="215" t="s">
        <v>105</v>
      </c>
      <c r="K1" s="216"/>
      <c r="L1" s="217"/>
      <c r="M1" s="218" t="s">
        <v>106</v>
      </c>
      <c r="N1" s="218"/>
      <c r="O1" s="218"/>
      <c r="P1" s="106"/>
      <c r="Q1" s="106"/>
      <c r="R1" s="212" t="s">
        <v>107</v>
      </c>
      <c r="S1" s="213"/>
      <c r="T1" s="214"/>
    </row>
    <row r="2" spans="1:27" ht="13.5" customHeight="1" x14ac:dyDescent="0.35">
      <c r="A2" s="134" t="s">
        <v>108</v>
      </c>
      <c r="B2" s="225" t="s">
        <v>109</v>
      </c>
      <c r="C2" s="226"/>
      <c r="D2" s="124"/>
      <c r="E2" s="227" t="s">
        <v>110</v>
      </c>
      <c r="F2" s="227"/>
      <c r="G2" s="225" t="s">
        <v>111</v>
      </c>
      <c r="H2" s="226"/>
      <c r="J2" s="133" t="s">
        <v>112</v>
      </c>
      <c r="K2" s="132" t="s">
        <v>113</v>
      </c>
      <c r="L2" s="42" t="s">
        <v>114</v>
      </c>
      <c r="M2" s="133" t="s">
        <v>115</v>
      </c>
      <c r="N2" s="133" t="s">
        <v>116</v>
      </c>
      <c r="O2" s="42" t="s">
        <v>114</v>
      </c>
      <c r="P2" s="107"/>
      <c r="Q2" s="107"/>
      <c r="R2" s="43" t="s">
        <v>112</v>
      </c>
      <c r="S2" s="131" t="s">
        <v>113</v>
      </c>
      <c r="T2" s="44" t="s">
        <v>114</v>
      </c>
    </row>
    <row r="3" spans="1:27" ht="13.5" customHeight="1" x14ac:dyDescent="0.35">
      <c r="A3" s="134" t="s">
        <v>117</v>
      </c>
      <c r="B3" s="228">
        <v>6000000</v>
      </c>
      <c r="C3" s="229"/>
      <c r="D3" s="124"/>
      <c r="E3" s="227" t="s">
        <v>118</v>
      </c>
      <c r="F3" s="227"/>
      <c r="G3" s="225" t="s">
        <v>119</v>
      </c>
      <c r="H3" s="226"/>
      <c r="J3" s="133" t="s">
        <v>120</v>
      </c>
      <c r="K3" s="45">
        <f>C310/B310</f>
        <v>1</v>
      </c>
      <c r="L3" s="46">
        <f>D310</f>
        <v>0</v>
      </c>
      <c r="M3" s="1">
        <v>0</v>
      </c>
      <c r="N3" s="103">
        <f>F316</f>
        <v>0</v>
      </c>
      <c r="O3" s="47">
        <f>J316</f>
        <v>0</v>
      </c>
      <c r="P3" s="108"/>
      <c r="Q3" s="108"/>
      <c r="R3" s="133" t="s">
        <v>71</v>
      </c>
      <c r="S3" s="48">
        <f>I310/E17</f>
        <v>0.95000000000000007</v>
      </c>
      <c r="T3" s="46">
        <f>J310</f>
        <v>-0.21052631578947345</v>
      </c>
      <c r="V3" s="43" t="s">
        <v>112</v>
      </c>
      <c r="W3" s="131" t="s">
        <v>116</v>
      </c>
      <c r="X3" s="43" t="s">
        <v>113</v>
      </c>
    </row>
    <row r="4" spans="1:27" s="49" customFormat="1" ht="13.5" customHeight="1" x14ac:dyDescent="0.35">
      <c r="A4" s="134" t="s">
        <v>121</v>
      </c>
      <c r="B4" s="228">
        <v>1900</v>
      </c>
      <c r="C4" s="229"/>
      <c r="E4" s="227" t="s">
        <v>122</v>
      </c>
      <c r="F4" s="134" t="s">
        <v>123</v>
      </c>
      <c r="G4" s="225" t="s">
        <v>124</v>
      </c>
      <c r="H4" s="226"/>
      <c r="J4" s="133" t="s">
        <v>63</v>
      </c>
      <c r="K4" s="45">
        <f>C311/B311</f>
        <v>1</v>
      </c>
      <c r="L4" s="46">
        <f>D311</f>
        <v>0</v>
      </c>
      <c r="M4" s="1">
        <v>0</v>
      </c>
      <c r="N4" s="103">
        <f>G316</f>
        <v>0</v>
      </c>
      <c r="O4" s="47">
        <f>K316</f>
        <v>0</v>
      </c>
      <c r="P4" s="108"/>
      <c r="Q4" s="108"/>
      <c r="R4" s="133" t="s">
        <v>125</v>
      </c>
      <c r="S4" s="48">
        <f>B471/H311</f>
        <v>1.0449999999999999</v>
      </c>
      <c r="T4" s="46">
        <f>J311</f>
        <v>0.94736842105263008</v>
      </c>
      <c r="V4" s="133" t="s">
        <v>126</v>
      </c>
      <c r="W4" s="50">
        <f>I312</f>
        <v>3</v>
      </c>
      <c r="X4" s="51">
        <f>I312/I311</f>
        <v>0.13636363636363635</v>
      </c>
    </row>
    <row r="5" spans="1:27" s="49" customFormat="1" ht="13.5" customHeight="1" x14ac:dyDescent="0.35">
      <c r="A5" s="134" t="s">
        <v>127</v>
      </c>
      <c r="B5" s="225">
        <v>125</v>
      </c>
      <c r="C5" s="226"/>
      <c r="E5" s="227"/>
      <c r="F5" s="134" t="s">
        <v>110</v>
      </c>
      <c r="G5" s="225" t="s">
        <v>128</v>
      </c>
      <c r="H5" s="226"/>
      <c r="J5" s="133" t="s">
        <v>129</v>
      </c>
      <c r="K5" s="45">
        <f>C312/B312</f>
        <v>1</v>
      </c>
      <c r="L5" s="46">
        <f>D312</f>
        <v>0</v>
      </c>
      <c r="M5" s="1">
        <v>1</v>
      </c>
      <c r="N5" s="103">
        <f>H316</f>
        <v>0</v>
      </c>
      <c r="O5" s="47">
        <f>L316</f>
        <v>-1</v>
      </c>
      <c r="P5" s="108"/>
      <c r="Q5" s="108"/>
      <c r="R5" s="52" t="s">
        <v>130</v>
      </c>
      <c r="S5" s="53">
        <f>SUM(I310:I311)/SUM(H310:H311)</f>
        <v>1.0291666666666666</v>
      </c>
      <c r="T5" s="54">
        <f>SUM(T3:T4)</f>
        <v>0.73684210526315663</v>
      </c>
      <c r="V5" s="133" t="s">
        <v>131</v>
      </c>
      <c r="W5" s="50">
        <f>AF299</f>
        <v>2</v>
      </c>
      <c r="X5" s="51">
        <f>W5/$I$311</f>
        <v>9.0909090909090912E-2</v>
      </c>
      <c r="AA5" s="55"/>
    </row>
    <row r="6" spans="1:27" s="49" customFormat="1" ht="13.5" customHeight="1" x14ac:dyDescent="0.35">
      <c r="A6" s="172" t="s">
        <v>132</v>
      </c>
      <c r="G6" s="123"/>
      <c r="J6" s="56" t="s">
        <v>130</v>
      </c>
      <c r="K6" s="57">
        <f>C313/B313</f>
        <v>1</v>
      </c>
      <c r="L6" s="58">
        <f>SUM(L3:L5)</f>
        <v>0</v>
      </c>
      <c r="M6" s="56" t="s">
        <v>130</v>
      </c>
      <c r="N6" s="104">
        <f>$M4/SUM($M$3:$M$5)*$N4+$M5/SUM($M$3:$M$5)*$N5+$M3/SUM($M$3:$M$5)*$N3</f>
        <v>0</v>
      </c>
      <c r="O6" s="59">
        <f>IF(M316&lt;0,M316,O3+O4+O5)</f>
        <v>-1</v>
      </c>
      <c r="P6" s="105"/>
      <c r="Q6" s="105"/>
      <c r="R6" s="105"/>
      <c r="S6" s="102"/>
      <c r="V6" s="133" t="s">
        <v>133</v>
      </c>
      <c r="W6" s="50">
        <f>AG299</f>
        <v>4</v>
      </c>
      <c r="X6" s="51">
        <f t="shared" ref="X6:X13" si="0">W6/$I$311</f>
        <v>0.18181818181818182</v>
      </c>
    </row>
    <row r="7" spans="1:27" s="49" customFormat="1" ht="13.5" customHeight="1" x14ac:dyDescent="0.35">
      <c r="A7" s="173"/>
      <c r="G7" s="123"/>
      <c r="J7" s="111"/>
      <c r="K7" s="112"/>
      <c r="L7" s="113"/>
      <c r="M7" s="111"/>
      <c r="N7" s="105"/>
      <c r="O7" s="114"/>
      <c r="P7" s="105"/>
      <c r="Q7" s="105"/>
      <c r="R7" s="105"/>
      <c r="S7" s="102"/>
      <c r="V7" s="133" t="s">
        <v>134</v>
      </c>
      <c r="W7" s="50">
        <f>AH299</f>
        <v>5</v>
      </c>
      <c r="X7" s="51">
        <f t="shared" si="0"/>
        <v>0.22727272727272727</v>
      </c>
    </row>
    <row r="8" spans="1:27" s="49" customFormat="1" ht="13.5" customHeight="1" x14ac:dyDescent="0.35">
      <c r="A8" s="173"/>
      <c r="G8" s="123"/>
      <c r="J8" s="111"/>
      <c r="K8" s="112"/>
      <c r="L8" s="113"/>
      <c r="M8" s="111"/>
      <c r="N8" s="105"/>
      <c r="O8" s="114"/>
      <c r="P8" s="105"/>
      <c r="Q8" s="105"/>
      <c r="R8" s="105"/>
      <c r="S8" s="102"/>
      <c r="V8" s="133" t="s">
        <v>135</v>
      </c>
      <c r="W8" s="50">
        <f>AI299</f>
        <v>4</v>
      </c>
      <c r="X8" s="51">
        <f t="shared" si="0"/>
        <v>0.18181818181818182</v>
      </c>
    </row>
    <row r="9" spans="1:27" s="49" customFormat="1" ht="13.5" customHeight="1" x14ac:dyDescent="0.35">
      <c r="A9" s="173"/>
      <c r="G9" s="123"/>
      <c r="J9" s="111"/>
      <c r="K9" s="112"/>
      <c r="L9" s="113"/>
      <c r="M9" s="111"/>
      <c r="N9" s="105"/>
      <c r="O9" s="114"/>
      <c r="P9" s="105"/>
      <c r="Q9" s="105"/>
      <c r="R9" s="105"/>
      <c r="S9" s="102"/>
      <c r="V9" s="133" t="s">
        <v>136</v>
      </c>
      <c r="W9" s="50">
        <f>AJ299</f>
        <v>3</v>
      </c>
      <c r="X9" s="51">
        <f t="shared" si="0"/>
        <v>0.13636363636363635</v>
      </c>
    </row>
    <row r="10" spans="1:27" s="49" customFormat="1" ht="13.5" customHeight="1" x14ac:dyDescent="0.35">
      <c r="A10" s="173"/>
      <c r="G10" s="123"/>
      <c r="J10" s="111"/>
      <c r="K10" s="112"/>
      <c r="L10" s="113"/>
      <c r="M10" s="111"/>
      <c r="N10" s="105"/>
      <c r="O10" s="114"/>
      <c r="P10" s="105"/>
      <c r="Q10" s="105"/>
      <c r="R10" s="105"/>
      <c r="S10" s="102"/>
      <c r="V10" s="133" t="s">
        <v>137</v>
      </c>
      <c r="W10" s="50">
        <f>AK299</f>
        <v>2</v>
      </c>
      <c r="X10" s="51">
        <f t="shared" si="0"/>
        <v>9.0909090909090912E-2</v>
      </c>
    </row>
    <row r="11" spans="1:27" s="49" customFormat="1" ht="13.5" customHeight="1" x14ac:dyDescent="0.35">
      <c r="A11" s="173"/>
      <c r="G11" s="123"/>
      <c r="J11" s="111"/>
      <c r="K11" s="112"/>
      <c r="L11" s="113"/>
      <c r="M11" s="111"/>
      <c r="N11" s="105"/>
      <c r="O11" s="114"/>
      <c r="P11" s="105"/>
      <c r="Q11" s="105"/>
      <c r="R11" s="105"/>
      <c r="S11" s="102"/>
      <c r="V11" s="133" t="s">
        <v>138</v>
      </c>
      <c r="W11" s="50">
        <f>AL299</f>
        <v>4</v>
      </c>
      <c r="X11" s="51">
        <f t="shared" si="0"/>
        <v>0.18181818181818182</v>
      </c>
    </row>
    <row r="12" spans="1:27" s="49" customFormat="1" ht="13.5" customHeight="1" x14ac:dyDescent="0.35">
      <c r="A12" s="173"/>
      <c r="G12" s="123"/>
      <c r="J12" s="111"/>
      <c r="K12" s="112"/>
      <c r="L12" s="113"/>
      <c r="M12" s="111"/>
      <c r="N12" s="105"/>
      <c r="O12" s="114"/>
      <c r="P12" s="105"/>
      <c r="Q12" s="105"/>
      <c r="R12" s="105"/>
      <c r="S12" s="102"/>
      <c r="V12" s="133" t="s">
        <v>139</v>
      </c>
      <c r="W12" s="50">
        <f>AM299</f>
        <v>2</v>
      </c>
      <c r="X12" s="51">
        <f t="shared" si="0"/>
        <v>9.0909090909090912E-2</v>
      </c>
    </row>
    <row r="13" spans="1:27" s="49" customFormat="1" ht="13.5" customHeight="1" x14ac:dyDescent="0.35">
      <c r="A13" s="173"/>
      <c r="G13" s="123"/>
      <c r="J13" s="111"/>
      <c r="K13" s="112"/>
      <c r="L13" s="113"/>
      <c r="M13" s="111"/>
      <c r="N13" s="105"/>
      <c r="O13" s="114"/>
      <c r="P13" s="105"/>
      <c r="Q13" s="105"/>
      <c r="R13" s="105"/>
      <c r="S13" s="102"/>
      <c r="V13" s="133" t="s">
        <v>140</v>
      </c>
      <c r="W13" s="50">
        <f>AN299</f>
        <v>1</v>
      </c>
      <c r="X13" s="51">
        <f t="shared" si="0"/>
        <v>4.5454545454545456E-2</v>
      </c>
    </row>
    <row r="14" spans="1:27" s="49" customFormat="1" ht="13.5" customHeight="1" x14ac:dyDescent="0.35">
      <c r="A14" s="173"/>
      <c r="G14" s="123"/>
      <c r="J14" s="111"/>
      <c r="K14" s="112"/>
      <c r="L14" s="113"/>
      <c r="M14" s="111"/>
      <c r="N14" s="105"/>
      <c r="O14" s="114"/>
      <c r="P14" s="105"/>
      <c r="Q14" s="105"/>
      <c r="R14" s="105"/>
      <c r="S14" s="102"/>
      <c r="V14" s="122"/>
    </row>
    <row r="15" spans="1:27" ht="12" customHeight="1" x14ac:dyDescent="0.35">
      <c r="A15" s="174"/>
      <c r="B15" s="41"/>
      <c r="C15" s="41"/>
      <c r="D15" s="41"/>
      <c r="E15" s="122"/>
      <c r="F15" s="122"/>
      <c r="G15" s="122"/>
      <c r="H15" s="122"/>
      <c r="I15" s="61"/>
      <c r="J15" s="61"/>
      <c r="K15" s="61"/>
      <c r="L15" s="61"/>
      <c r="M15" s="61"/>
    </row>
    <row r="16" spans="1:27" ht="15" customHeight="1" x14ac:dyDescent="0.35">
      <c r="A16" s="233" t="s">
        <v>141</v>
      </c>
      <c r="B16" s="138" t="s">
        <v>120</v>
      </c>
      <c r="C16" s="139" t="s">
        <v>63</v>
      </c>
      <c r="D16" s="139" t="s">
        <v>129</v>
      </c>
      <c r="E16" s="139" t="s">
        <v>71</v>
      </c>
      <c r="F16" s="140" t="s">
        <v>125</v>
      </c>
      <c r="G16" s="230" t="s">
        <v>142</v>
      </c>
      <c r="H16" s="231" t="s">
        <v>143</v>
      </c>
      <c r="I16" s="219" t="s">
        <v>144</v>
      </c>
      <c r="J16" s="220"/>
      <c r="K16" s="220"/>
      <c r="L16" s="220"/>
      <c r="M16" s="220"/>
      <c r="N16" s="220"/>
      <c r="O16" s="220"/>
      <c r="P16" s="220"/>
      <c r="Q16" s="220"/>
      <c r="R16" s="221"/>
      <c r="S16" s="220" t="s">
        <v>145</v>
      </c>
      <c r="T16" s="220"/>
      <c r="U16" s="220"/>
      <c r="V16" s="220"/>
      <c r="W16" s="221"/>
    </row>
    <row r="17" spans="1:55" ht="15" customHeight="1" x14ac:dyDescent="0.35">
      <c r="A17" s="234"/>
      <c r="B17" s="1">
        <v>1</v>
      </c>
      <c r="C17" s="1">
        <v>1</v>
      </c>
      <c r="D17" s="1">
        <v>4</v>
      </c>
      <c r="E17" s="141">
        <f>F17/6</f>
        <v>4.2105263157894735</v>
      </c>
      <c r="F17" s="141">
        <f>IF(B4=0,,B3/B4/B5)</f>
        <v>25.263157894736842</v>
      </c>
      <c r="G17" s="230"/>
      <c r="H17" s="231"/>
      <c r="I17" s="222"/>
      <c r="J17" s="223"/>
      <c r="K17" s="223"/>
      <c r="L17" s="223"/>
      <c r="M17" s="223"/>
      <c r="N17" s="223"/>
      <c r="O17" s="223"/>
      <c r="P17" s="223"/>
      <c r="Q17" s="223"/>
      <c r="R17" s="224"/>
      <c r="S17" s="223"/>
      <c r="T17" s="223"/>
      <c r="U17" s="223"/>
      <c r="V17" s="223"/>
      <c r="W17" s="224"/>
    </row>
    <row r="18" spans="1:55" ht="6" customHeight="1" x14ac:dyDescent="0.35">
      <c r="A18" s="62"/>
      <c r="B18" s="63"/>
      <c r="C18" s="63"/>
      <c r="D18" s="63"/>
      <c r="E18" s="63"/>
      <c r="F18" s="63"/>
      <c r="G18" s="128"/>
      <c r="H18" s="63"/>
      <c r="I18" s="63"/>
      <c r="J18" s="63"/>
      <c r="K18" s="63"/>
      <c r="L18" s="63"/>
      <c r="M18" s="63"/>
      <c r="N18" s="63"/>
      <c r="O18" s="63"/>
      <c r="P18" s="63"/>
      <c r="Q18" s="63"/>
      <c r="R18" s="63"/>
      <c r="S18" s="63"/>
      <c r="T18" s="63"/>
      <c r="U18" s="63"/>
      <c r="V18" s="63"/>
      <c r="W18" s="63"/>
    </row>
    <row r="19" spans="1:55" ht="20.25" customHeight="1" x14ac:dyDescent="0.35">
      <c r="A19" s="64" t="s">
        <v>120</v>
      </c>
      <c r="B19" s="204" t="s">
        <v>146</v>
      </c>
      <c r="C19" s="195"/>
      <c r="D19" s="195"/>
      <c r="E19" s="195"/>
      <c r="F19" s="195"/>
      <c r="G19" s="189">
        <v>42278</v>
      </c>
      <c r="H19" s="142" t="s">
        <v>84</v>
      </c>
      <c r="I19" s="155" t="s">
        <v>147</v>
      </c>
      <c r="J19" s="156"/>
      <c r="K19" s="156"/>
      <c r="L19" s="156"/>
      <c r="M19" s="156"/>
      <c r="N19" s="156"/>
      <c r="O19" s="156"/>
      <c r="P19" s="156"/>
      <c r="Q19" s="156"/>
      <c r="R19" s="156"/>
      <c r="S19" s="162" t="s">
        <v>148</v>
      </c>
      <c r="T19" s="162"/>
      <c r="U19" s="162"/>
      <c r="V19" s="162"/>
      <c r="W19" s="163"/>
    </row>
    <row r="20" spans="1:55" s="66" customFormat="1" ht="30.75" customHeight="1" x14ac:dyDescent="0.35">
      <c r="A20" s="65" t="s">
        <v>149</v>
      </c>
      <c r="B20" s="202" t="s">
        <v>120</v>
      </c>
      <c r="C20" s="203"/>
      <c r="D20" s="203"/>
      <c r="E20" s="203"/>
      <c r="F20" s="203"/>
      <c r="G20" s="232"/>
      <c r="H20" s="97">
        <v>42418</v>
      </c>
      <c r="I20" s="158"/>
      <c r="J20" s="159"/>
      <c r="K20" s="159"/>
      <c r="L20" s="159"/>
      <c r="M20" s="159"/>
      <c r="N20" s="159"/>
      <c r="O20" s="159"/>
      <c r="P20" s="159"/>
      <c r="Q20" s="159"/>
      <c r="R20" s="159"/>
      <c r="S20" s="165"/>
      <c r="T20" s="165"/>
      <c r="U20" s="165"/>
      <c r="V20" s="165"/>
      <c r="W20" s="166"/>
      <c r="BC20" s="41"/>
    </row>
    <row r="21" spans="1:55" ht="6" customHeight="1" x14ac:dyDescent="0.35">
      <c r="A21" s="143"/>
      <c r="B21" s="63"/>
      <c r="C21" s="63"/>
      <c r="D21" s="63"/>
      <c r="E21" s="63"/>
      <c r="F21" s="63"/>
      <c r="G21" s="128"/>
      <c r="H21" s="63"/>
      <c r="I21" s="63"/>
      <c r="J21" s="63"/>
      <c r="K21" s="63"/>
      <c r="L21" s="63"/>
      <c r="M21" s="63"/>
      <c r="N21" s="63"/>
      <c r="O21" s="63"/>
      <c r="P21" s="63"/>
      <c r="Q21" s="63"/>
      <c r="R21" s="63"/>
      <c r="S21" s="63"/>
      <c r="T21" s="63"/>
      <c r="U21" s="63"/>
      <c r="V21" s="63"/>
      <c r="W21" s="63"/>
    </row>
    <row r="22" spans="1:55" ht="23.15" customHeight="1" x14ac:dyDescent="0.35">
      <c r="A22" s="64" t="s">
        <v>150</v>
      </c>
      <c r="B22" s="200" t="s">
        <v>151</v>
      </c>
      <c r="C22" s="201"/>
      <c r="D22" s="201"/>
      <c r="E22" s="201"/>
      <c r="F22" s="201"/>
      <c r="G22" s="189">
        <v>42196</v>
      </c>
      <c r="H22" s="142" t="s">
        <v>152</v>
      </c>
      <c r="I22" s="155" t="s">
        <v>153</v>
      </c>
      <c r="J22" s="156"/>
      <c r="K22" s="156"/>
      <c r="L22" s="156"/>
      <c r="M22" s="156"/>
      <c r="N22" s="156"/>
      <c r="O22" s="156"/>
      <c r="P22" s="156"/>
      <c r="Q22" s="156"/>
      <c r="R22" s="157"/>
      <c r="S22" s="161" t="s">
        <v>154</v>
      </c>
      <c r="T22" s="162"/>
      <c r="U22" s="162"/>
      <c r="V22" s="162"/>
      <c r="W22" s="163"/>
    </row>
    <row r="23" spans="1:55" s="66" customFormat="1" ht="23.15" customHeight="1" x14ac:dyDescent="0.35">
      <c r="A23" s="65" t="s">
        <v>149</v>
      </c>
      <c r="B23" s="202" t="s">
        <v>63</v>
      </c>
      <c r="C23" s="203"/>
      <c r="D23" s="203"/>
      <c r="E23" s="203"/>
      <c r="F23" s="203"/>
      <c r="G23" s="190"/>
      <c r="H23" s="97">
        <v>42401</v>
      </c>
      <c r="I23" s="158"/>
      <c r="J23" s="159"/>
      <c r="K23" s="159"/>
      <c r="L23" s="159"/>
      <c r="M23" s="159"/>
      <c r="N23" s="159"/>
      <c r="O23" s="159"/>
      <c r="P23" s="159"/>
      <c r="Q23" s="159"/>
      <c r="R23" s="160"/>
      <c r="S23" s="164"/>
      <c r="T23" s="165"/>
      <c r="U23" s="165"/>
      <c r="V23" s="165"/>
      <c r="W23" s="166"/>
      <c r="AY23" s="41"/>
      <c r="AZ23" s="41"/>
      <c r="BA23" s="41"/>
      <c r="BB23" s="41">
        <v>0</v>
      </c>
      <c r="BC23" s="41"/>
    </row>
    <row r="24" spans="1:55" ht="23.15" customHeight="1" x14ac:dyDescent="0.35">
      <c r="A24" s="64" t="s">
        <v>155</v>
      </c>
      <c r="B24" s="200"/>
      <c r="C24" s="201"/>
      <c r="D24" s="201"/>
      <c r="E24" s="201"/>
      <c r="F24" s="201"/>
      <c r="G24" s="189"/>
      <c r="H24" s="142"/>
      <c r="I24" s="155"/>
      <c r="J24" s="156"/>
      <c r="K24" s="156"/>
      <c r="L24" s="156"/>
      <c r="M24" s="156"/>
      <c r="N24" s="156"/>
      <c r="O24" s="156"/>
      <c r="P24" s="156"/>
      <c r="Q24" s="156"/>
      <c r="R24" s="157"/>
      <c r="S24" s="161"/>
      <c r="T24" s="162"/>
      <c r="U24" s="162"/>
      <c r="V24" s="162"/>
      <c r="W24" s="163"/>
      <c r="AY24" s="41" t="s">
        <v>156</v>
      </c>
      <c r="AZ24" s="61" t="s">
        <v>157</v>
      </c>
      <c r="BA24" s="41" t="s">
        <v>76</v>
      </c>
      <c r="BB24" s="41">
        <v>1</v>
      </c>
      <c r="BC24" s="41" t="s">
        <v>131</v>
      </c>
    </row>
    <row r="25" spans="1:55" s="66" customFormat="1" ht="23.15" customHeight="1" x14ac:dyDescent="0.35">
      <c r="A25" s="65" t="s">
        <v>149</v>
      </c>
      <c r="B25" s="202"/>
      <c r="C25" s="203"/>
      <c r="D25" s="203"/>
      <c r="E25" s="203"/>
      <c r="F25" s="203"/>
      <c r="G25" s="190"/>
      <c r="H25" s="97"/>
      <c r="I25" s="158"/>
      <c r="J25" s="159"/>
      <c r="K25" s="159"/>
      <c r="L25" s="159"/>
      <c r="M25" s="159"/>
      <c r="N25" s="159"/>
      <c r="O25" s="159"/>
      <c r="P25" s="159"/>
      <c r="Q25" s="159"/>
      <c r="R25" s="160"/>
      <c r="S25" s="164"/>
      <c r="T25" s="165"/>
      <c r="U25" s="165"/>
      <c r="V25" s="165"/>
      <c r="W25" s="166"/>
      <c r="AY25" s="41" t="s">
        <v>158</v>
      </c>
      <c r="AZ25" s="61" t="s">
        <v>159</v>
      </c>
      <c r="BA25" s="41" t="s">
        <v>78</v>
      </c>
      <c r="BB25" s="41">
        <v>2</v>
      </c>
      <c r="BC25" s="41" t="s">
        <v>133</v>
      </c>
    </row>
    <row r="26" spans="1:55" s="66" customFormat="1" ht="23.15" customHeight="1" x14ac:dyDescent="0.35">
      <c r="A26" s="64" t="s">
        <v>160</v>
      </c>
      <c r="B26" s="200"/>
      <c r="C26" s="201"/>
      <c r="D26" s="201"/>
      <c r="E26" s="201"/>
      <c r="F26" s="201"/>
      <c r="G26" s="189"/>
      <c r="H26" s="142"/>
      <c r="I26" s="155"/>
      <c r="J26" s="156"/>
      <c r="K26" s="156"/>
      <c r="L26" s="156"/>
      <c r="M26" s="156"/>
      <c r="N26" s="156"/>
      <c r="O26" s="156"/>
      <c r="P26" s="156"/>
      <c r="Q26" s="156"/>
      <c r="R26" s="157"/>
      <c r="S26" s="161"/>
      <c r="T26" s="162"/>
      <c r="U26" s="162"/>
      <c r="V26" s="162"/>
      <c r="W26" s="163"/>
      <c r="AY26" s="41" t="s">
        <v>161</v>
      </c>
      <c r="AZ26" s="61" t="s">
        <v>53</v>
      </c>
      <c r="BA26" s="41" t="s">
        <v>80</v>
      </c>
      <c r="BB26" s="41">
        <v>3</v>
      </c>
      <c r="BC26" s="41" t="s">
        <v>134</v>
      </c>
    </row>
    <row r="27" spans="1:55" s="66" customFormat="1" ht="23.15" customHeight="1" x14ac:dyDescent="0.35">
      <c r="A27" s="65" t="s">
        <v>149</v>
      </c>
      <c r="B27" s="202"/>
      <c r="C27" s="203"/>
      <c r="D27" s="203"/>
      <c r="E27" s="203"/>
      <c r="F27" s="203"/>
      <c r="G27" s="190"/>
      <c r="H27" s="97"/>
      <c r="I27" s="158"/>
      <c r="J27" s="159"/>
      <c r="K27" s="159"/>
      <c r="L27" s="159"/>
      <c r="M27" s="159"/>
      <c r="N27" s="159"/>
      <c r="O27" s="159"/>
      <c r="P27" s="159"/>
      <c r="Q27" s="159"/>
      <c r="R27" s="160"/>
      <c r="S27" s="164"/>
      <c r="T27" s="165"/>
      <c r="U27" s="165"/>
      <c r="V27" s="165"/>
      <c r="W27" s="166"/>
      <c r="AY27" s="41" t="s">
        <v>103</v>
      </c>
      <c r="AZ27" s="61" t="s">
        <v>162</v>
      </c>
      <c r="BA27" s="41" t="s">
        <v>84</v>
      </c>
      <c r="BB27" s="41">
        <v>4</v>
      </c>
      <c r="BC27" s="41" t="s">
        <v>135</v>
      </c>
    </row>
    <row r="28" spans="1:55" ht="6.75" customHeight="1" x14ac:dyDescent="0.35">
      <c r="A28" s="143"/>
      <c r="B28" s="63"/>
      <c r="C28" s="63"/>
      <c r="D28" s="63"/>
      <c r="E28" s="63"/>
      <c r="F28" s="63"/>
      <c r="G28" s="128"/>
      <c r="H28" s="63"/>
      <c r="I28" s="63"/>
      <c r="J28" s="63"/>
      <c r="K28" s="63"/>
      <c r="L28" s="63"/>
      <c r="M28" s="63"/>
      <c r="N28" s="63"/>
      <c r="O28" s="63"/>
      <c r="P28" s="63"/>
      <c r="Q28" s="63"/>
      <c r="R28" s="63"/>
      <c r="S28" s="63"/>
      <c r="T28" s="63"/>
      <c r="U28" s="63"/>
      <c r="V28" s="63"/>
      <c r="W28" s="63"/>
      <c r="AY28" s="41" t="s">
        <v>163</v>
      </c>
      <c r="AZ28" s="61" t="s">
        <v>120</v>
      </c>
      <c r="BA28" s="41" t="s">
        <v>82</v>
      </c>
      <c r="BB28" s="41">
        <v>5</v>
      </c>
      <c r="BC28" s="41" t="s">
        <v>136</v>
      </c>
    </row>
    <row r="29" spans="1:55" ht="23.15" customHeight="1" x14ac:dyDescent="0.35">
      <c r="A29" s="64" t="s">
        <v>164</v>
      </c>
      <c r="B29" s="204" t="s">
        <v>165</v>
      </c>
      <c r="C29" s="195"/>
      <c r="D29" s="195"/>
      <c r="E29" s="195"/>
      <c r="F29" s="195"/>
      <c r="G29" s="189">
        <v>42065</v>
      </c>
      <c r="H29" s="142" t="s">
        <v>82</v>
      </c>
      <c r="I29" s="155" t="s">
        <v>166</v>
      </c>
      <c r="J29" s="156"/>
      <c r="K29" s="156"/>
      <c r="L29" s="156"/>
      <c r="M29" s="156"/>
      <c r="N29" s="156"/>
      <c r="O29" s="156"/>
      <c r="P29" s="156"/>
      <c r="Q29" s="156"/>
      <c r="R29" s="157"/>
      <c r="S29" s="161" t="s">
        <v>167</v>
      </c>
      <c r="T29" s="162"/>
      <c r="U29" s="162"/>
      <c r="V29" s="162"/>
      <c r="W29" s="163"/>
      <c r="AY29" s="41" t="s">
        <v>168</v>
      </c>
      <c r="AZ29" s="61" t="s">
        <v>59</v>
      </c>
      <c r="BA29" s="41" t="s">
        <v>86</v>
      </c>
      <c r="BB29" s="41">
        <v>6</v>
      </c>
      <c r="BC29" s="41" t="s">
        <v>137</v>
      </c>
    </row>
    <row r="30" spans="1:55" s="66" customFormat="1" ht="23.15" customHeight="1" x14ac:dyDescent="0.35">
      <c r="A30" s="65" t="s">
        <v>149</v>
      </c>
      <c r="B30" s="192" t="s">
        <v>129</v>
      </c>
      <c r="C30" s="193"/>
      <c r="D30" s="193"/>
      <c r="E30" s="193"/>
      <c r="F30" s="193"/>
      <c r="G30" s="190"/>
      <c r="H30" s="97">
        <v>42064</v>
      </c>
      <c r="I30" s="158"/>
      <c r="J30" s="159"/>
      <c r="K30" s="159"/>
      <c r="L30" s="159"/>
      <c r="M30" s="159"/>
      <c r="N30" s="159"/>
      <c r="O30" s="159"/>
      <c r="P30" s="159"/>
      <c r="Q30" s="159"/>
      <c r="R30" s="160"/>
      <c r="S30" s="164"/>
      <c r="T30" s="165"/>
      <c r="U30" s="165"/>
      <c r="V30" s="165"/>
      <c r="W30" s="166"/>
      <c r="AY30" s="41" t="s">
        <v>169</v>
      </c>
      <c r="AZ30" s="61" t="s">
        <v>170</v>
      </c>
      <c r="BA30" s="41" t="s">
        <v>88</v>
      </c>
      <c r="BB30" s="41">
        <v>7</v>
      </c>
      <c r="BC30" s="41" t="s">
        <v>138</v>
      </c>
    </row>
    <row r="31" spans="1:55" ht="23.15" customHeight="1" x14ac:dyDescent="0.35">
      <c r="A31" s="64" t="s">
        <v>171</v>
      </c>
      <c r="B31" s="204" t="s">
        <v>172</v>
      </c>
      <c r="C31" s="195"/>
      <c r="D31" s="195"/>
      <c r="E31" s="195"/>
      <c r="F31" s="195"/>
      <c r="G31" s="189">
        <v>42190</v>
      </c>
      <c r="H31" s="142" t="s">
        <v>82</v>
      </c>
      <c r="I31" s="155" t="s">
        <v>173</v>
      </c>
      <c r="J31" s="156"/>
      <c r="K31" s="156"/>
      <c r="L31" s="156"/>
      <c r="M31" s="156"/>
      <c r="N31" s="156"/>
      <c r="O31" s="156"/>
      <c r="P31" s="156"/>
      <c r="Q31" s="156"/>
      <c r="R31" s="157"/>
      <c r="S31" s="161" t="s">
        <v>174</v>
      </c>
      <c r="T31" s="162"/>
      <c r="U31" s="162"/>
      <c r="V31" s="162"/>
      <c r="W31" s="163"/>
      <c r="AY31" s="41" t="s">
        <v>175</v>
      </c>
      <c r="AZ31" s="61" t="s">
        <v>63</v>
      </c>
      <c r="BA31" s="41" t="s">
        <v>152</v>
      </c>
      <c r="BB31" s="41">
        <v>8</v>
      </c>
      <c r="BC31" s="41" t="s">
        <v>139</v>
      </c>
    </row>
    <row r="32" spans="1:55" s="66" customFormat="1" ht="23.15" customHeight="1" x14ac:dyDescent="0.35">
      <c r="A32" s="65" t="s">
        <v>149</v>
      </c>
      <c r="B32" s="192" t="s">
        <v>129</v>
      </c>
      <c r="C32" s="193"/>
      <c r="D32" s="193"/>
      <c r="E32" s="193"/>
      <c r="F32" s="193"/>
      <c r="G32" s="190"/>
      <c r="H32" s="97">
        <v>42348</v>
      </c>
      <c r="I32" s="158"/>
      <c r="J32" s="159"/>
      <c r="K32" s="159"/>
      <c r="L32" s="159"/>
      <c r="M32" s="159"/>
      <c r="N32" s="159"/>
      <c r="O32" s="159"/>
      <c r="P32" s="159"/>
      <c r="Q32" s="159"/>
      <c r="R32" s="160"/>
      <c r="S32" s="164"/>
      <c r="T32" s="165"/>
      <c r="U32" s="165"/>
      <c r="V32" s="165"/>
      <c r="W32" s="166"/>
      <c r="AY32" s="41" t="s">
        <v>176</v>
      </c>
      <c r="AZ32" s="61" t="s">
        <v>177</v>
      </c>
      <c r="BA32" s="41" t="s">
        <v>178</v>
      </c>
      <c r="BB32" s="41"/>
      <c r="BC32" s="41" t="s">
        <v>140</v>
      </c>
    </row>
    <row r="33" spans="1:63" ht="23.15" customHeight="1" x14ac:dyDescent="0.35">
      <c r="A33" s="64" t="s">
        <v>179</v>
      </c>
      <c r="B33" s="204" t="s">
        <v>180</v>
      </c>
      <c r="C33" s="195"/>
      <c r="D33" s="195"/>
      <c r="E33" s="195"/>
      <c r="F33" s="195"/>
      <c r="G33" s="189">
        <v>42248</v>
      </c>
      <c r="H33" s="142" t="s">
        <v>84</v>
      </c>
      <c r="I33" s="155" t="s">
        <v>166</v>
      </c>
      <c r="J33" s="156"/>
      <c r="K33" s="156"/>
      <c r="L33" s="156"/>
      <c r="M33" s="156"/>
      <c r="N33" s="156"/>
      <c r="O33" s="156"/>
      <c r="P33" s="156"/>
      <c r="Q33" s="156"/>
      <c r="R33" s="157"/>
      <c r="S33" s="161" t="s">
        <v>181</v>
      </c>
      <c r="T33" s="162"/>
      <c r="U33" s="162"/>
      <c r="V33" s="162"/>
      <c r="W33" s="163"/>
      <c r="AY33" s="41" t="s">
        <v>182</v>
      </c>
      <c r="AZ33" s="61" t="s">
        <v>129</v>
      </c>
      <c r="BA33" s="41" t="s">
        <v>183</v>
      </c>
      <c r="BC33" s="41" t="s">
        <v>184</v>
      </c>
    </row>
    <row r="34" spans="1:63" s="66" customFormat="1" ht="23.15" customHeight="1" x14ac:dyDescent="0.35">
      <c r="A34" s="65" t="s">
        <v>149</v>
      </c>
      <c r="B34" s="192" t="s">
        <v>129</v>
      </c>
      <c r="C34" s="193"/>
      <c r="D34" s="193"/>
      <c r="E34" s="193"/>
      <c r="F34" s="193"/>
      <c r="G34" s="190"/>
      <c r="H34" s="97">
        <v>42309</v>
      </c>
      <c r="I34" s="158"/>
      <c r="J34" s="159"/>
      <c r="K34" s="159"/>
      <c r="L34" s="159"/>
      <c r="M34" s="159"/>
      <c r="N34" s="159"/>
      <c r="O34" s="159"/>
      <c r="P34" s="159"/>
      <c r="Q34" s="159"/>
      <c r="R34" s="160"/>
      <c r="S34" s="164"/>
      <c r="T34" s="165"/>
      <c r="U34" s="165"/>
      <c r="V34" s="165"/>
      <c r="W34" s="166"/>
      <c r="AY34" s="41" t="s">
        <v>185</v>
      </c>
      <c r="AZ34" s="61" t="s">
        <v>186</v>
      </c>
      <c r="BA34" s="41" t="s">
        <v>92</v>
      </c>
      <c r="BB34" s="41"/>
      <c r="BC34" s="41" t="s">
        <v>187</v>
      </c>
    </row>
    <row r="35" spans="1:63" ht="23.15" customHeight="1" x14ac:dyDescent="0.35">
      <c r="A35" s="64" t="s">
        <v>188</v>
      </c>
      <c r="B35" s="204" t="s">
        <v>189</v>
      </c>
      <c r="C35" s="195"/>
      <c r="D35" s="195"/>
      <c r="E35" s="195"/>
      <c r="F35" s="195"/>
      <c r="G35" s="189">
        <v>42430</v>
      </c>
      <c r="H35" s="142" t="s">
        <v>84</v>
      </c>
      <c r="I35" s="155" t="s">
        <v>190</v>
      </c>
      <c r="J35" s="156"/>
      <c r="K35" s="156"/>
      <c r="L35" s="156"/>
      <c r="M35" s="156"/>
      <c r="N35" s="156"/>
      <c r="O35" s="156"/>
      <c r="P35" s="156"/>
      <c r="Q35" s="156"/>
      <c r="R35" s="157"/>
      <c r="S35" s="161" t="s">
        <v>191</v>
      </c>
      <c r="T35" s="162"/>
      <c r="U35" s="162"/>
      <c r="V35" s="162"/>
      <c r="W35" s="163"/>
      <c r="AY35" s="41" t="s">
        <v>192</v>
      </c>
      <c r="AZ35" s="61" t="s">
        <v>71</v>
      </c>
      <c r="BA35" s="41" t="s">
        <v>94</v>
      </c>
      <c r="BC35" s="41" t="s">
        <v>193</v>
      </c>
    </row>
    <row r="36" spans="1:63" s="66" customFormat="1" ht="23.15" customHeight="1" x14ac:dyDescent="0.35">
      <c r="A36" s="65" t="s">
        <v>149</v>
      </c>
      <c r="B36" s="192" t="s">
        <v>129</v>
      </c>
      <c r="C36" s="193"/>
      <c r="D36" s="193"/>
      <c r="E36" s="193"/>
      <c r="F36" s="193"/>
      <c r="G36" s="190"/>
      <c r="H36" s="97">
        <v>42430</v>
      </c>
      <c r="I36" s="158"/>
      <c r="J36" s="159"/>
      <c r="K36" s="159"/>
      <c r="L36" s="159"/>
      <c r="M36" s="159"/>
      <c r="N36" s="159"/>
      <c r="O36" s="159"/>
      <c r="P36" s="159"/>
      <c r="Q36" s="159"/>
      <c r="R36" s="160"/>
      <c r="S36" s="164"/>
      <c r="T36" s="165"/>
      <c r="U36" s="165"/>
      <c r="V36" s="165"/>
      <c r="W36" s="166"/>
      <c r="AZ36" s="61" t="s">
        <v>73</v>
      </c>
    </row>
    <row r="37" spans="1:63" s="66" customFormat="1" ht="23.15" customHeight="1" x14ac:dyDescent="0.35">
      <c r="A37" s="64" t="s">
        <v>194</v>
      </c>
      <c r="B37" s="204"/>
      <c r="C37" s="195"/>
      <c r="D37" s="195"/>
      <c r="E37" s="195"/>
      <c r="F37" s="195"/>
      <c r="G37" s="189"/>
      <c r="H37" s="142"/>
      <c r="I37" s="155"/>
      <c r="J37" s="156"/>
      <c r="K37" s="156"/>
      <c r="L37" s="156"/>
      <c r="M37" s="156"/>
      <c r="N37" s="156"/>
      <c r="O37" s="156"/>
      <c r="P37" s="156"/>
      <c r="Q37" s="156"/>
      <c r="R37" s="157"/>
      <c r="S37" s="161"/>
      <c r="T37" s="162"/>
      <c r="U37" s="162"/>
      <c r="V37" s="162"/>
      <c r="W37" s="163"/>
      <c r="AZ37" s="61"/>
    </row>
    <row r="38" spans="1:63" s="66" customFormat="1" ht="23.15" customHeight="1" x14ac:dyDescent="0.35">
      <c r="A38" s="65" t="s">
        <v>149</v>
      </c>
      <c r="B38" s="192"/>
      <c r="C38" s="193"/>
      <c r="D38" s="193"/>
      <c r="E38" s="193"/>
      <c r="F38" s="193"/>
      <c r="G38" s="190"/>
      <c r="H38" s="97"/>
      <c r="I38" s="158"/>
      <c r="J38" s="159"/>
      <c r="K38" s="159"/>
      <c r="L38" s="159"/>
      <c r="M38" s="159"/>
      <c r="N38" s="159"/>
      <c r="O38" s="159"/>
      <c r="P38" s="159"/>
      <c r="Q38" s="159"/>
      <c r="R38" s="160"/>
      <c r="S38" s="164"/>
      <c r="T38" s="165"/>
      <c r="U38" s="165"/>
      <c r="V38" s="165"/>
      <c r="W38" s="166"/>
      <c r="AZ38" s="61"/>
    </row>
    <row r="39" spans="1:63" s="66" customFormat="1" ht="23.15" customHeight="1" x14ac:dyDescent="0.35">
      <c r="A39" s="64" t="s">
        <v>195</v>
      </c>
      <c r="B39" s="204"/>
      <c r="C39" s="195"/>
      <c r="D39" s="195"/>
      <c r="E39" s="195"/>
      <c r="F39" s="195"/>
      <c r="G39" s="189"/>
      <c r="H39" s="142"/>
      <c r="I39" s="155"/>
      <c r="J39" s="156"/>
      <c r="K39" s="156"/>
      <c r="L39" s="156"/>
      <c r="M39" s="156"/>
      <c r="N39" s="156"/>
      <c r="O39" s="156"/>
      <c r="P39" s="156"/>
      <c r="Q39" s="156"/>
      <c r="R39" s="157"/>
      <c r="S39" s="161"/>
      <c r="T39" s="162"/>
      <c r="U39" s="162"/>
      <c r="V39" s="162"/>
      <c r="W39" s="163"/>
      <c r="AZ39" s="61"/>
    </row>
    <row r="40" spans="1:63" s="66" customFormat="1" ht="23.15" customHeight="1" x14ac:dyDescent="0.35">
      <c r="A40" s="65" t="s">
        <v>149</v>
      </c>
      <c r="B40" s="196"/>
      <c r="C40" s="197"/>
      <c r="D40" s="197"/>
      <c r="E40" s="197"/>
      <c r="F40" s="197"/>
      <c r="G40" s="191"/>
      <c r="H40" s="2"/>
      <c r="I40" s="158"/>
      <c r="J40" s="159"/>
      <c r="K40" s="159"/>
      <c r="L40" s="159"/>
      <c r="M40" s="159"/>
      <c r="N40" s="159"/>
      <c r="O40" s="159"/>
      <c r="P40" s="159"/>
      <c r="Q40" s="159"/>
      <c r="R40" s="160"/>
      <c r="S40" s="164"/>
      <c r="T40" s="165"/>
      <c r="U40" s="165"/>
      <c r="V40" s="165"/>
      <c r="W40" s="166"/>
      <c r="AZ40" s="61"/>
    </row>
    <row r="41" spans="1:63" s="60" customFormat="1" ht="23.15" customHeight="1" x14ac:dyDescent="0.35">
      <c r="A41" s="64" t="s">
        <v>196</v>
      </c>
      <c r="B41" s="204"/>
      <c r="C41" s="195"/>
      <c r="D41" s="195"/>
      <c r="E41" s="195"/>
      <c r="F41" s="195"/>
      <c r="G41" s="189"/>
      <c r="H41" s="142"/>
      <c r="I41" s="155"/>
      <c r="J41" s="156"/>
      <c r="K41" s="156"/>
      <c r="L41" s="156"/>
      <c r="M41" s="156"/>
      <c r="N41" s="156"/>
      <c r="O41" s="156"/>
      <c r="P41" s="156"/>
      <c r="Q41" s="156"/>
      <c r="R41" s="157"/>
      <c r="S41" s="161"/>
      <c r="T41" s="162"/>
      <c r="U41" s="162"/>
      <c r="V41" s="162"/>
      <c r="W41" s="163"/>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122"/>
      <c r="AZ41" s="61" t="s">
        <v>197</v>
      </c>
      <c r="BA41" s="122"/>
      <c r="BB41" s="122"/>
      <c r="BC41" s="122"/>
      <c r="BD41" s="122"/>
      <c r="BE41" s="122"/>
      <c r="BF41" s="122"/>
      <c r="BG41" s="67"/>
      <c r="BH41" s="67"/>
      <c r="BI41" s="67"/>
      <c r="BJ41" s="67"/>
      <c r="BK41" s="67"/>
    </row>
    <row r="42" spans="1:63" s="68" customFormat="1" ht="23.15" customHeight="1" x14ac:dyDescent="0.35">
      <c r="A42" s="65" t="s">
        <v>149</v>
      </c>
      <c r="B42" s="192"/>
      <c r="C42" s="193"/>
      <c r="D42" s="193"/>
      <c r="E42" s="193"/>
      <c r="F42" s="193"/>
      <c r="G42" s="190"/>
      <c r="H42" s="97"/>
      <c r="I42" s="158"/>
      <c r="J42" s="159"/>
      <c r="K42" s="159"/>
      <c r="L42" s="159"/>
      <c r="M42" s="159"/>
      <c r="N42" s="159"/>
      <c r="O42" s="159"/>
      <c r="P42" s="159"/>
      <c r="Q42" s="159"/>
      <c r="R42" s="160"/>
      <c r="S42" s="164"/>
      <c r="T42" s="165"/>
      <c r="U42" s="165"/>
      <c r="V42" s="165"/>
      <c r="W42" s="166"/>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BG42" s="67"/>
      <c r="BH42" s="3"/>
      <c r="BI42" s="3"/>
      <c r="BJ42" s="3"/>
      <c r="BK42" s="3"/>
    </row>
    <row r="43" spans="1:63" s="60" customFormat="1" ht="23.15" customHeight="1" x14ac:dyDescent="0.35">
      <c r="A43" s="64" t="s">
        <v>198</v>
      </c>
      <c r="B43" s="204"/>
      <c r="C43" s="195"/>
      <c r="D43" s="195"/>
      <c r="E43" s="195"/>
      <c r="F43" s="195"/>
      <c r="G43" s="189"/>
      <c r="H43" s="142"/>
      <c r="I43" s="155"/>
      <c r="J43" s="156"/>
      <c r="K43" s="156"/>
      <c r="L43" s="156"/>
      <c r="M43" s="156"/>
      <c r="N43" s="156"/>
      <c r="O43" s="156"/>
      <c r="P43" s="156"/>
      <c r="Q43" s="156"/>
      <c r="R43" s="157"/>
      <c r="S43" s="161"/>
      <c r="T43" s="162"/>
      <c r="U43" s="162"/>
      <c r="V43" s="162"/>
      <c r="W43" s="163"/>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122"/>
      <c r="AZ43" s="122"/>
      <c r="BA43" s="122"/>
      <c r="BB43" s="122"/>
      <c r="BC43" s="122"/>
      <c r="BD43" s="122"/>
      <c r="BE43" s="122"/>
      <c r="BF43" s="122"/>
      <c r="BG43" s="67"/>
      <c r="BH43" s="67"/>
      <c r="BI43" s="67"/>
      <c r="BJ43" s="67"/>
      <c r="BK43" s="67"/>
    </row>
    <row r="44" spans="1:63" s="68" customFormat="1" ht="23.15" customHeight="1" x14ac:dyDescent="0.35">
      <c r="A44" s="65" t="s">
        <v>149</v>
      </c>
      <c r="B44" s="196"/>
      <c r="C44" s="197"/>
      <c r="D44" s="197"/>
      <c r="E44" s="197"/>
      <c r="F44" s="197"/>
      <c r="G44" s="191"/>
      <c r="H44" s="2"/>
      <c r="I44" s="158"/>
      <c r="J44" s="159"/>
      <c r="K44" s="159"/>
      <c r="L44" s="159"/>
      <c r="M44" s="159"/>
      <c r="N44" s="159"/>
      <c r="O44" s="159"/>
      <c r="P44" s="159"/>
      <c r="Q44" s="159"/>
      <c r="R44" s="160"/>
      <c r="S44" s="164"/>
      <c r="T44" s="165"/>
      <c r="U44" s="165"/>
      <c r="V44" s="165"/>
      <c r="W44" s="166"/>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BG44" s="67"/>
      <c r="BH44" s="3"/>
      <c r="BI44" s="3"/>
      <c r="BJ44" s="3"/>
      <c r="BK44" s="3"/>
    </row>
    <row r="45" spans="1:63" ht="12" customHeight="1" x14ac:dyDescent="0.35">
      <c r="A45" s="144" t="s">
        <v>199</v>
      </c>
      <c r="B45" s="198" t="str">
        <f>IF(B74=FALSE,$A74,IF(B75=FALSE,$A75,IF(B76=FALSE,$A76,"OK")))</f>
        <v>OK</v>
      </c>
      <c r="C45" s="199"/>
      <c r="D45" s="199"/>
      <c r="E45" s="199"/>
      <c r="F45" s="199"/>
      <c r="G45" s="145"/>
      <c r="H45" s="146"/>
      <c r="I45" s="146"/>
      <c r="J45" s="146"/>
      <c r="K45" s="146"/>
      <c r="L45" s="146"/>
      <c r="M45" s="146"/>
      <c r="N45" s="146"/>
      <c r="O45" s="146"/>
      <c r="P45" s="146"/>
      <c r="Q45" s="146"/>
      <c r="R45" s="146"/>
      <c r="S45" s="146"/>
      <c r="T45" s="146"/>
      <c r="U45" s="146"/>
      <c r="V45" s="146"/>
      <c r="W45" s="147"/>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BG45" s="67"/>
      <c r="BH45" s="3"/>
      <c r="BI45" s="3"/>
      <c r="BJ45" s="3"/>
      <c r="BK45" s="3"/>
    </row>
    <row r="46" spans="1:63" ht="12.4" customHeight="1" x14ac:dyDescent="0.35">
      <c r="A46" s="70" t="s">
        <v>200</v>
      </c>
      <c r="B46" s="240" t="str">
        <f>IF(B78=TRUE,"OK",$A78)</f>
        <v>OK</v>
      </c>
      <c r="C46" s="241"/>
      <c r="D46" s="241"/>
      <c r="E46" s="241"/>
      <c r="F46" s="241"/>
      <c r="G46" s="71"/>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BG46" s="67"/>
      <c r="BH46" s="4"/>
      <c r="BI46" s="4"/>
      <c r="BJ46" s="4"/>
      <c r="BK46" s="4"/>
    </row>
    <row r="47" spans="1:63" s="69" customFormat="1" ht="10.5" hidden="1" customHeight="1" x14ac:dyDescent="0.35">
      <c r="A47" s="69" t="s">
        <v>201</v>
      </c>
      <c r="B47" s="239">
        <f>IF(B19&gt;0,1,0)</f>
        <v>1</v>
      </c>
      <c r="C47" s="239"/>
      <c r="D47" s="239"/>
      <c r="E47" s="239"/>
      <c r="F47" s="239"/>
      <c r="G47" s="148"/>
      <c r="H47" s="149"/>
      <c r="I47" s="167"/>
      <c r="J47" s="167"/>
      <c r="K47" s="167"/>
      <c r="L47" s="167"/>
      <c r="M47" s="167"/>
      <c r="N47" s="167"/>
      <c r="O47" s="122"/>
      <c r="P47" s="122"/>
      <c r="Q47" s="122"/>
      <c r="R47" s="122"/>
      <c r="S47" s="167"/>
      <c r="T47" s="167"/>
      <c r="U47" s="167"/>
      <c r="V47" s="167"/>
      <c r="W47" s="167"/>
      <c r="X47" s="167"/>
      <c r="Y47" s="167"/>
      <c r="Z47" s="167"/>
      <c r="AA47" s="167"/>
      <c r="AB47" s="238"/>
      <c r="AC47" s="238"/>
      <c r="AD47" s="238"/>
      <c r="AE47" s="167"/>
      <c r="AF47" s="167"/>
      <c r="AG47" s="167"/>
      <c r="AH47" s="167"/>
      <c r="AI47" s="167"/>
      <c r="AJ47" s="167"/>
      <c r="AK47" s="167"/>
      <c r="AL47" s="167"/>
      <c r="AM47" s="167"/>
      <c r="BG47" s="67"/>
      <c r="BH47" s="3"/>
      <c r="BI47" s="3"/>
      <c r="BJ47" s="3"/>
      <c r="BK47" s="3"/>
    </row>
    <row r="48" spans="1:63" s="69" customFormat="1" ht="10.5" hidden="1" customHeight="1" x14ac:dyDescent="0.35">
      <c r="A48" s="69" t="s">
        <v>149</v>
      </c>
      <c r="B48" s="205">
        <f>IF(B20&gt;0,1,0)</f>
        <v>1</v>
      </c>
      <c r="C48" s="205"/>
      <c r="D48" s="205"/>
      <c r="E48" s="205"/>
      <c r="F48" s="205"/>
      <c r="G48" s="122"/>
      <c r="H48" s="41"/>
      <c r="I48" s="167"/>
      <c r="J48" s="167"/>
      <c r="K48" s="167"/>
      <c r="L48" s="167"/>
      <c r="M48" s="167"/>
      <c r="N48" s="167"/>
      <c r="O48" s="122"/>
      <c r="P48" s="122"/>
      <c r="Q48" s="122"/>
      <c r="R48" s="122"/>
      <c r="S48" s="167"/>
      <c r="T48" s="167"/>
      <c r="U48" s="167"/>
      <c r="V48" s="167"/>
      <c r="W48" s="167"/>
      <c r="X48" s="167"/>
      <c r="Y48" s="167"/>
      <c r="Z48" s="167"/>
      <c r="AA48" s="167"/>
      <c r="AB48" s="167"/>
      <c r="AC48" s="167"/>
      <c r="AD48" s="167"/>
      <c r="AE48" s="167"/>
      <c r="AF48" s="167"/>
      <c r="AG48" s="167"/>
      <c r="AH48" s="167"/>
      <c r="AI48" s="167"/>
      <c r="AJ48" s="167"/>
      <c r="AK48" s="167"/>
      <c r="AL48" s="167"/>
      <c r="AM48" s="167"/>
      <c r="AN48" s="73"/>
      <c r="AO48" s="73"/>
      <c r="AP48" s="73"/>
      <c r="AQ48" s="73"/>
      <c r="AR48" s="73"/>
      <c r="AS48" s="73"/>
      <c r="AT48" s="73"/>
      <c r="AU48" s="73"/>
      <c r="AV48" s="73"/>
      <c r="AW48" s="73"/>
      <c r="AX48" s="73"/>
      <c r="BG48" s="67"/>
      <c r="BH48" s="5"/>
      <c r="BI48" s="5"/>
      <c r="BJ48" s="5"/>
      <c r="BK48" s="5"/>
    </row>
    <row r="49" spans="1:63" ht="10.5" hidden="1" customHeight="1" x14ac:dyDescent="0.35">
      <c r="A49" s="69" t="s">
        <v>201</v>
      </c>
      <c r="B49" s="242">
        <f>IF(B22&gt;0,1,0)</f>
        <v>1</v>
      </c>
      <c r="C49" s="242"/>
      <c r="D49" s="242"/>
      <c r="E49" s="242"/>
      <c r="F49" s="242"/>
      <c r="G49" s="122"/>
      <c r="H49" s="41"/>
      <c r="I49" s="167"/>
      <c r="J49" s="167"/>
      <c r="K49" s="167"/>
      <c r="L49" s="167"/>
      <c r="M49" s="167"/>
      <c r="N49" s="167"/>
      <c r="O49" s="122"/>
      <c r="P49" s="122"/>
      <c r="Q49" s="122"/>
      <c r="R49" s="122"/>
      <c r="S49" s="167"/>
      <c r="T49" s="167"/>
      <c r="U49" s="167"/>
      <c r="V49" s="167"/>
      <c r="W49" s="167"/>
      <c r="X49" s="167"/>
      <c r="Y49" s="167"/>
      <c r="Z49" s="167"/>
      <c r="AA49" s="167"/>
      <c r="AB49" s="167"/>
      <c r="AC49" s="167"/>
      <c r="AD49" s="167"/>
      <c r="AE49" s="167"/>
      <c r="AF49" s="167"/>
      <c r="AG49" s="167"/>
      <c r="AH49" s="167"/>
      <c r="AI49" s="167"/>
      <c r="AJ49" s="167"/>
      <c r="AK49" s="167"/>
      <c r="AL49" s="167"/>
      <c r="AM49" s="167"/>
      <c r="BG49" s="67"/>
      <c r="BH49" s="67"/>
      <c r="BI49" s="67"/>
      <c r="BJ49" s="67"/>
      <c r="BK49" s="67"/>
    </row>
    <row r="50" spans="1:63" ht="10.5" hidden="1" customHeight="1" x14ac:dyDescent="0.35">
      <c r="A50" s="69" t="s">
        <v>201</v>
      </c>
      <c r="B50" s="242">
        <f>IF(B24&gt;0,1,0)</f>
        <v>0</v>
      </c>
      <c r="C50" s="242"/>
      <c r="D50" s="242"/>
      <c r="E50" s="242"/>
      <c r="F50" s="242"/>
      <c r="G50" s="122"/>
      <c r="H50" s="41"/>
      <c r="I50" s="167"/>
      <c r="J50" s="167"/>
      <c r="K50" s="167"/>
      <c r="L50" s="167"/>
      <c r="M50" s="167"/>
      <c r="N50" s="167"/>
      <c r="O50" s="122"/>
      <c r="P50" s="122"/>
      <c r="Q50" s="122"/>
      <c r="R50" s="122"/>
      <c r="S50" s="167"/>
      <c r="T50" s="167"/>
      <c r="U50" s="167"/>
      <c r="V50" s="167"/>
      <c r="W50" s="167"/>
      <c r="X50" s="167"/>
      <c r="Y50" s="167"/>
      <c r="Z50" s="167"/>
      <c r="AA50" s="167"/>
      <c r="AB50" s="167"/>
      <c r="AC50" s="167"/>
      <c r="AD50" s="167"/>
      <c r="AE50" s="167"/>
      <c r="AF50" s="167"/>
      <c r="AG50" s="167"/>
      <c r="AH50" s="167"/>
      <c r="AI50" s="167"/>
      <c r="AJ50" s="167"/>
      <c r="AK50" s="167"/>
      <c r="AL50" s="167"/>
      <c r="AM50" s="167"/>
      <c r="BG50" s="67"/>
      <c r="BH50" s="3"/>
      <c r="BI50" s="3"/>
      <c r="BJ50" s="3"/>
      <c r="BK50" s="3"/>
    </row>
    <row r="51" spans="1:63" ht="10.5" hidden="1" customHeight="1" x14ac:dyDescent="0.35">
      <c r="A51" s="69" t="s">
        <v>201</v>
      </c>
      <c r="B51" s="242">
        <f>IF(B26&gt;0,1,0)</f>
        <v>0</v>
      </c>
      <c r="C51" s="242"/>
      <c r="D51" s="242"/>
      <c r="E51" s="242"/>
      <c r="F51" s="242"/>
      <c r="G51" s="122"/>
      <c r="H51" s="41"/>
      <c r="I51" s="167"/>
      <c r="J51" s="167"/>
      <c r="K51" s="167"/>
      <c r="L51" s="167"/>
      <c r="M51" s="167"/>
      <c r="N51" s="167"/>
      <c r="O51" s="122"/>
      <c r="P51" s="122"/>
      <c r="Q51" s="122"/>
      <c r="R51" s="122"/>
      <c r="S51" s="167"/>
      <c r="T51" s="167"/>
      <c r="U51" s="167"/>
      <c r="V51" s="167"/>
      <c r="W51" s="167"/>
      <c r="X51" s="167"/>
      <c r="Y51" s="167"/>
      <c r="Z51" s="167"/>
      <c r="AA51" s="167"/>
      <c r="AB51" s="167"/>
      <c r="AC51" s="167"/>
      <c r="AD51" s="167"/>
      <c r="AE51" s="167"/>
      <c r="AF51" s="167"/>
      <c r="AG51" s="167"/>
      <c r="AH51" s="167"/>
      <c r="AI51" s="167"/>
      <c r="AJ51" s="167"/>
      <c r="AK51" s="167"/>
      <c r="AL51" s="167"/>
      <c r="AM51" s="167"/>
      <c r="BG51" s="67"/>
      <c r="BH51" s="3"/>
      <c r="BI51" s="3"/>
      <c r="BJ51" s="3"/>
      <c r="BK51" s="3"/>
    </row>
    <row r="52" spans="1:63" ht="10.5" hidden="1" customHeight="1" x14ac:dyDescent="0.35">
      <c r="A52" s="69" t="s">
        <v>149</v>
      </c>
      <c r="B52" s="242">
        <f>IF(B23&gt;0,1,0)</f>
        <v>1</v>
      </c>
      <c r="C52" s="242"/>
      <c r="D52" s="242"/>
      <c r="E52" s="242"/>
      <c r="F52" s="242"/>
      <c r="G52" s="122"/>
      <c r="H52" s="41"/>
      <c r="I52" s="167"/>
      <c r="J52" s="167"/>
      <c r="K52" s="167"/>
      <c r="L52" s="167"/>
      <c r="M52" s="167"/>
      <c r="N52" s="167"/>
      <c r="O52" s="122"/>
      <c r="P52" s="122"/>
      <c r="Q52" s="122"/>
      <c r="R52" s="122"/>
      <c r="S52" s="167"/>
      <c r="T52" s="167"/>
      <c r="U52" s="167"/>
      <c r="V52" s="167"/>
      <c r="W52" s="167"/>
      <c r="X52" s="167"/>
      <c r="Y52" s="167"/>
      <c r="Z52" s="167"/>
      <c r="AA52" s="167"/>
      <c r="AB52" s="167"/>
      <c r="AC52" s="167"/>
      <c r="AD52" s="167"/>
      <c r="AE52" s="167"/>
      <c r="AF52" s="167"/>
      <c r="AG52" s="167"/>
      <c r="AH52" s="167"/>
      <c r="AI52" s="167"/>
      <c r="AJ52" s="167"/>
      <c r="AK52" s="167"/>
      <c r="AL52" s="167"/>
      <c r="AM52" s="167"/>
      <c r="AN52" s="69"/>
      <c r="AO52" s="69"/>
      <c r="AP52" s="69"/>
      <c r="AQ52" s="69"/>
      <c r="AR52" s="69"/>
      <c r="AS52" s="69"/>
      <c r="AT52" s="69"/>
      <c r="AU52" s="69"/>
      <c r="AV52" s="69"/>
      <c r="AW52" s="69"/>
      <c r="AX52" s="69"/>
      <c r="BG52" s="67"/>
      <c r="BH52" s="3"/>
      <c r="BI52" s="3"/>
      <c r="BJ52" s="3"/>
      <c r="BK52" s="3"/>
    </row>
    <row r="53" spans="1:63" ht="10.5" hidden="1" customHeight="1" x14ac:dyDescent="0.35">
      <c r="A53" s="69" t="s">
        <v>149</v>
      </c>
      <c r="B53" s="242">
        <f>IF(B25&gt;0,1,0)</f>
        <v>0</v>
      </c>
      <c r="C53" s="242"/>
      <c r="D53" s="242"/>
      <c r="E53" s="242"/>
      <c r="F53" s="242"/>
      <c r="G53" s="122"/>
      <c r="H53" s="41"/>
      <c r="I53" s="167"/>
      <c r="J53" s="167"/>
      <c r="K53" s="167"/>
      <c r="L53" s="167"/>
      <c r="M53" s="167"/>
      <c r="N53" s="167"/>
      <c r="O53" s="122"/>
      <c r="P53" s="122"/>
      <c r="Q53" s="122"/>
      <c r="R53" s="122"/>
      <c r="S53" s="167"/>
      <c r="T53" s="167"/>
      <c r="U53" s="167"/>
      <c r="V53" s="167"/>
      <c r="W53" s="167"/>
      <c r="X53" s="167"/>
      <c r="Y53" s="167"/>
      <c r="Z53" s="167"/>
      <c r="AA53" s="167"/>
      <c r="AB53" s="167"/>
      <c r="AC53" s="167"/>
      <c r="AD53" s="167"/>
      <c r="AE53" s="167"/>
      <c r="AF53" s="167"/>
      <c r="AG53" s="167"/>
      <c r="AH53" s="167"/>
      <c r="AI53" s="167"/>
      <c r="AJ53" s="167"/>
      <c r="AK53" s="167"/>
      <c r="AL53" s="167"/>
      <c r="AM53" s="167"/>
      <c r="BG53" s="67"/>
      <c r="BH53" s="4"/>
      <c r="BI53" s="4"/>
      <c r="BJ53" s="4"/>
      <c r="BK53" s="4"/>
    </row>
    <row r="54" spans="1:63" ht="10.5" hidden="1" customHeight="1" x14ac:dyDescent="0.35">
      <c r="A54" s="69" t="s">
        <v>149</v>
      </c>
      <c r="B54" s="242">
        <f>IF(B27&gt;0,1,0)</f>
        <v>0</v>
      </c>
      <c r="C54" s="242"/>
      <c r="D54" s="242"/>
      <c r="E54" s="242"/>
      <c r="F54" s="242"/>
      <c r="G54" s="122"/>
      <c r="H54" s="41"/>
      <c r="I54" s="167"/>
      <c r="J54" s="167"/>
      <c r="K54" s="167"/>
      <c r="L54" s="167"/>
      <c r="M54" s="167"/>
      <c r="N54" s="167"/>
      <c r="O54" s="122"/>
      <c r="P54" s="122"/>
      <c r="Q54" s="122"/>
      <c r="R54" s="122"/>
      <c r="S54" s="167"/>
      <c r="T54" s="167"/>
      <c r="U54" s="167"/>
      <c r="V54" s="167"/>
      <c r="W54" s="167"/>
      <c r="X54" s="167"/>
      <c r="Y54" s="167"/>
      <c r="Z54" s="167"/>
      <c r="AA54" s="167"/>
      <c r="AB54" s="167"/>
      <c r="AC54" s="167"/>
      <c r="AD54" s="167"/>
      <c r="AE54" s="167"/>
      <c r="AF54" s="167"/>
      <c r="AG54" s="167"/>
      <c r="AH54" s="167"/>
      <c r="AI54" s="167"/>
      <c r="AJ54" s="167"/>
      <c r="AK54" s="167"/>
      <c r="AL54" s="167"/>
      <c r="AM54" s="167"/>
      <c r="BG54" s="67"/>
      <c r="BH54" s="4"/>
      <c r="BI54" s="4"/>
      <c r="BJ54" s="4"/>
      <c r="BK54" s="4"/>
    </row>
    <row r="55" spans="1:63" ht="10.5" hidden="1" customHeight="1" x14ac:dyDescent="0.35">
      <c r="A55" s="41" t="s">
        <v>202</v>
      </c>
      <c r="B55" s="243">
        <f>SUM(B49:D51)</f>
        <v>1</v>
      </c>
      <c r="C55" s="243"/>
      <c r="D55" s="243"/>
      <c r="E55" s="243"/>
      <c r="F55" s="243"/>
      <c r="G55" s="123"/>
      <c r="H55" s="49"/>
      <c r="I55" s="168"/>
      <c r="J55" s="168"/>
      <c r="K55" s="168"/>
      <c r="L55" s="168"/>
      <c r="M55" s="168"/>
      <c r="N55" s="168"/>
      <c r="O55" s="123"/>
      <c r="P55" s="123"/>
      <c r="Q55" s="123"/>
      <c r="R55" s="123"/>
      <c r="S55" s="168"/>
      <c r="T55" s="168"/>
      <c r="U55" s="168"/>
      <c r="V55" s="168"/>
      <c r="W55" s="168"/>
      <c r="X55" s="168"/>
      <c r="Y55" s="168"/>
      <c r="Z55" s="168"/>
      <c r="AA55" s="168"/>
      <c r="AB55" s="168"/>
      <c r="AC55" s="168"/>
      <c r="AD55" s="168"/>
      <c r="AE55" s="168"/>
      <c r="AF55" s="168"/>
      <c r="AG55" s="168"/>
      <c r="AH55" s="168"/>
      <c r="AI55" s="168"/>
      <c r="AJ55" s="168"/>
      <c r="AK55" s="168"/>
      <c r="AL55" s="168"/>
      <c r="AM55" s="168"/>
      <c r="AN55" s="72"/>
      <c r="AO55" s="72"/>
      <c r="AP55" s="72"/>
      <c r="AQ55" s="72"/>
      <c r="AR55" s="72"/>
      <c r="AS55" s="72"/>
      <c r="AT55" s="72"/>
      <c r="AU55" s="72"/>
      <c r="AV55" s="72"/>
      <c r="AW55" s="72"/>
      <c r="AX55" s="72"/>
      <c r="BG55" s="67"/>
      <c r="BH55" s="3"/>
      <c r="BI55" s="3"/>
      <c r="BJ55" s="3"/>
      <c r="BK55" s="3"/>
    </row>
    <row r="56" spans="1:63" ht="10.5" hidden="1" customHeight="1" x14ac:dyDescent="0.35">
      <c r="A56" s="69" t="s">
        <v>201</v>
      </c>
      <c r="B56" s="205">
        <f>IF(B29&gt;0,1,0)</f>
        <v>1</v>
      </c>
      <c r="C56" s="205"/>
      <c r="D56" s="205"/>
      <c r="E56" s="205"/>
      <c r="F56" s="205"/>
      <c r="G56" s="122"/>
      <c r="H56" s="41"/>
      <c r="I56" s="167"/>
      <c r="J56" s="167"/>
      <c r="K56" s="167"/>
      <c r="L56" s="167"/>
      <c r="M56" s="167"/>
      <c r="N56" s="167"/>
      <c r="O56" s="122"/>
      <c r="P56" s="122"/>
      <c r="Q56" s="122"/>
      <c r="R56" s="122"/>
      <c r="S56" s="167"/>
      <c r="T56" s="167"/>
      <c r="U56" s="167"/>
      <c r="V56" s="167"/>
      <c r="W56" s="167"/>
      <c r="X56" s="167"/>
      <c r="Y56" s="167"/>
      <c r="Z56" s="167"/>
      <c r="AA56" s="167"/>
      <c r="AB56" s="167"/>
      <c r="AC56" s="167"/>
      <c r="AD56" s="167"/>
      <c r="AE56" s="167"/>
      <c r="AF56" s="167"/>
      <c r="AG56" s="167"/>
      <c r="AH56" s="167"/>
      <c r="AI56" s="167"/>
      <c r="AJ56" s="167"/>
      <c r="AK56" s="167"/>
      <c r="AL56" s="167"/>
      <c r="AM56" s="167"/>
      <c r="BG56" s="67"/>
      <c r="BH56" s="5"/>
      <c r="BI56" s="5"/>
      <c r="BJ56" s="5"/>
      <c r="BK56" s="5"/>
    </row>
    <row r="57" spans="1:63" ht="10.5" hidden="1" customHeight="1" x14ac:dyDescent="0.35">
      <c r="A57" s="69" t="s">
        <v>201</v>
      </c>
      <c r="B57" s="205">
        <f>IF(B31&gt;0,1,0)</f>
        <v>1</v>
      </c>
      <c r="C57" s="205"/>
      <c r="D57" s="205"/>
      <c r="E57" s="205"/>
      <c r="F57" s="205"/>
      <c r="G57" s="122"/>
      <c r="H57" s="41"/>
      <c r="I57" s="167"/>
      <c r="J57" s="167"/>
      <c r="K57" s="167"/>
      <c r="L57" s="167"/>
      <c r="M57" s="167"/>
      <c r="N57" s="167"/>
      <c r="O57" s="122"/>
      <c r="P57" s="122"/>
      <c r="Q57" s="122"/>
      <c r="R57" s="122"/>
      <c r="S57" s="167"/>
      <c r="T57" s="167"/>
      <c r="U57" s="167"/>
      <c r="V57" s="167"/>
      <c r="W57" s="167"/>
      <c r="X57" s="167"/>
      <c r="Y57" s="167"/>
      <c r="Z57" s="167"/>
      <c r="AA57" s="167"/>
      <c r="AB57" s="167"/>
      <c r="AC57" s="167"/>
      <c r="AD57" s="167"/>
      <c r="AE57" s="167"/>
      <c r="AF57" s="167"/>
      <c r="AG57" s="167"/>
      <c r="AH57" s="167"/>
      <c r="AI57" s="167"/>
      <c r="AJ57" s="167"/>
      <c r="AK57" s="167"/>
      <c r="AL57" s="167"/>
      <c r="AM57" s="167"/>
      <c r="AN57" s="72"/>
      <c r="AO57" s="72"/>
      <c r="AP57" s="72"/>
      <c r="AQ57" s="72"/>
      <c r="AR57" s="72"/>
      <c r="AS57" s="72"/>
      <c r="AT57" s="72"/>
      <c r="AU57" s="72"/>
      <c r="AV57" s="72"/>
      <c r="AW57" s="72"/>
      <c r="AX57" s="72"/>
      <c r="BG57" s="67"/>
      <c r="BH57" s="3"/>
      <c r="BI57" s="3"/>
      <c r="BJ57" s="3"/>
      <c r="BK57" s="3"/>
    </row>
    <row r="58" spans="1:63" s="69" customFormat="1" ht="10.5" hidden="1" customHeight="1" x14ac:dyDescent="0.35">
      <c r="A58" s="69" t="s">
        <v>201</v>
      </c>
      <c r="B58" s="205">
        <f>IF(B33&gt;0,1,0)</f>
        <v>1</v>
      </c>
      <c r="C58" s="205"/>
      <c r="D58" s="205"/>
      <c r="E58" s="205"/>
      <c r="F58" s="205"/>
      <c r="G58" s="122"/>
      <c r="H58" s="41"/>
      <c r="I58" s="167"/>
      <c r="J58" s="167"/>
      <c r="K58" s="167"/>
      <c r="L58" s="167"/>
      <c r="M58" s="167"/>
      <c r="N58" s="167"/>
      <c r="O58" s="122"/>
      <c r="P58" s="122"/>
      <c r="Q58" s="122"/>
      <c r="R58" s="122"/>
      <c r="S58" s="167"/>
      <c r="T58" s="167"/>
      <c r="U58" s="167"/>
      <c r="V58" s="167"/>
      <c r="W58" s="167"/>
      <c r="X58" s="167"/>
      <c r="Y58" s="167"/>
      <c r="Z58" s="167"/>
      <c r="AA58" s="167"/>
      <c r="AB58" s="167"/>
      <c r="AC58" s="167"/>
      <c r="AD58" s="167"/>
      <c r="AE58" s="167"/>
      <c r="AF58" s="167"/>
      <c r="AG58" s="167"/>
      <c r="AH58" s="167"/>
      <c r="AI58" s="167"/>
      <c r="AJ58" s="167"/>
      <c r="AK58" s="167"/>
      <c r="AL58" s="167"/>
      <c r="AM58" s="167"/>
      <c r="AN58" s="122"/>
      <c r="AO58" s="122"/>
      <c r="AP58" s="122"/>
      <c r="AQ58" s="122"/>
      <c r="AR58" s="122"/>
      <c r="AS58" s="122"/>
      <c r="AT58" s="122"/>
      <c r="AU58" s="122"/>
      <c r="AV58" s="122"/>
      <c r="AW58" s="122"/>
      <c r="AX58" s="122"/>
      <c r="BG58" s="67"/>
      <c r="BH58" s="67"/>
      <c r="BI58" s="67"/>
      <c r="BJ58" s="67"/>
      <c r="BK58" s="67"/>
    </row>
    <row r="59" spans="1:63" s="69" customFormat="1" ht="10.5" hidden="1" customHeight="1" x14ac:dyDescent="0.35">
      <c r="A59" s="69" t="s">
        <v>201</v>
      </c>
      <c r="B59" s="205">
        <f>IF(B35&gt;0,1,0)</f>
        <v>1</v>
      </c>
      <c r="C59" s="205"/>
      <c r="D59" s="205"/>
      <c r="E59" s="205"/>
      <c r="F59" s="205"/>
      <c r="G59" s="122"/>
      <c r="H59" s="41"/>
      <c r="I59" s="167"/>
      <c r="J59" s="167"/>
      <c r="K59" s="167"/>
      <c r="L59" s="167"/>
      <c r="M59" s="167"/>
      <c r="N59" s="167"/>
      <c r="O59" s="122"/>
      <c r="P59" s="122"/>
      <c r="Q59" s="122"/>
      <c r="R59" s="122"/>
      <c r="S59" s="167"/>
      <c r="T59" s="167"/>
      <c r="U59" s="167"/>
      <c r="V59" s="167"/>
      <c r="W59" s="167"/>
      <c r="X59" s="167"/>
      <c r="Y59" s="167"/>
      <c r="Z59" s="167"/>
      <c r="AA59" s="167"/>
      <c r="AB59" s="167"/>
      <c r="AC59" s="167"/>
      <c r="AD59" s="167"/>
      <c r="AE59" s="167"/>
      <c r="AF59" s="167"/>
      <c r="AG59" s="167"/>
      <c r="AH59" s="167"/>
      <c r="AI59" s="167"/>
      <c r="AJ59" s="167"/>
      <c r="AK59" s="167"/>
      <c r="AL59" s="167"/>
      <c r="AM59" s="167"/>
      <c r="AN59" s="73"/>
      <c r="AO59" s="73"/>
      <c r="AP59" s="73"/>
      <c r="AQ59" s="73"/>
      <c r="AR59" s="73"/>
      <c r="AS59" s="73"/>
      <c r="AT59" s="73"/>
      <c r="AU59" s="73"/>
      <c r="AV59" s="73"/>
      <c r="AW59" s="73"/>
      <c r="AX59" s="73"/>
      <c r="BG59" s="67"/>
      <c r="BH59" s="67"/>
      <c r="BI59" s="67"/>
      <c r="BJ59" s="67"/>
      <c r="BK59" s="67"/>
    </row>
    <row r="60" spans="1:63" s="69" customFormat="1" ht="10.5" hidden="1" customHeight="1" x14ac:dyDescent="0.35">
      <c r="A60" s="69" t="s">
        <v>201</v>
      </c>
      <c r="B60" s="205">
        <f>IF(B37&gt;0,1,0)</f>
        <v>0</v>
      </c>
      <c r="C60" s="205"/>
      <c r="D60" s="205"/>
      <c r="E60" s="205"/>
      <c r="F60" s="205"/>
      <c r="G60" s="122"/>
      <c r="H60" s="41"/>
      <c r="I60" s="122"/>
      <c r="J60" s="122"/>
      <c r="K60" s="122"/>
      <c r="L60" s="122"/>
      <c r="M60" s="122"/>
      <c r="N60" s="122"/>
      <c r="O60" s="122"/>
      <c r="P60" s="122"/>
      <c r="Q60" s="122"/>
      <c r="R60" s="122"/>
      <c r="S60" s="122"/>
      <c r="T60" s="122"/>
      <c r="U60" s="122"/>
      <c r="V60" s="122"/>
      <c r="W60" s="122"/>
      <c r="X60" s="122"/>
      <c r="Y60" s="122"/>
      <c r="Z60" s="122"/>
      <c r="AA60" s="122"/>
      <c r="AB60" s="122"/>
      <c r="AC60" s="122"/>
      <c r="AD60" s="122"/>
      <c r="AE60" s="122"/>
      <c r="AF60" s="122"/>
      <c r="AG60" s="122"/>
      <c r="AH60" s="122"/>
      <c r="AI60" s="122"/>
      <c r="AJ60" s="122"/>
      <c r="AK60" s="122"/>
      <c r="AL60" s="122"/>
      <c r="AM60" s="122"/>
      <c r="AN60" s="73"/>
      <c r="AO60" s="73"/>
      <c r="AP60" s="73"/>
      <c r="AQ60" s="73"/>
      <c r="AR60" s="73"/>
      <c r="AS60" s="73"/>
      <c r="AT60" s="73"/>
      <c r="AU60" s="73"/>
      <c r="AV60" s="73"/>
      <c r="AW60" s="73"/>
      <c r="AX60" s="73"/>
      <c r="BG60" s="67"/>
      <c r="BH60" s="67"/>
      <c r="BI60" s="67"/>
      <c r="BJ60" s="67"/>
      <c r="BK60" s="67"/>
    </row>
    <row r="61" spans="1:63" s="69" customFormat="1" ht="10.5" hidden="1" customHeight="1" x14ac:dyDescent="0.35">
      <c r="A61" s="69" t="s">
        <v>201</v>
      </c>
      <c r="B61" s="205">
        <f>IF(B39&gt;0,1,0)</f>
        <v>0</v>
      </c>
      <c r="C61" s="205"/>
      <c r="D61" s="205"/>
      <c r="E61" s="205"/>
      <c r="F61" s="205"/>
      <c r="G61" s="122"/>
      <c r="H61" s="41"/>
      <c r="I61" s="122"/>
      <c r="J61" s="122"/>
      <c r="K61" s="122"/>
      <c r="L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73"/>
      <c r="AO61" s="73"/>
      <c r="AP61" s="73"/>
      <c r="AQ61" s="73"/>
      <c r="AR61" s="73"/>
      <c r="AS61" s="73"/>
      <c r="AT61" s="73"/>
      <c r="AU61" s="73"/>
      <c r="AV61" s="73"/>
      <c r="AW61" s="73"/>
      <c r="AX61" s="73"/>
      <c r="BG61" s="67"/>
      <c r="BH61" s="67"/>
      <c r="BI61" s="67"/>
      <c r="BJ61" s="67"/>
      <c r="BK61" s="67"/>
    </row>
    <row r="62" spans="1:63" ht="10.5" hidden="1" customHeight="1" x14ac:dyDescent="0.35">
      <c r="A62" s="69" t="s">
        <v>201</v>
      </c>
      <c r="B62" s="205">
        <f>IF(B41&gt;0,1,0)</f>
        <v>0</v>
      </c>
      <c r="C62" s="205"/>
      <c r="D62" s="205"/>
      <c r="E62" s="205"/>
      <c r="F62" s="205"/>
      <c r="G62" s="122"/>
      <c r="H62" s="41"/>
      <c r="I62" s="167"/>
      <c r="J62" s="167"/>
      <c r="K62" s="167"/>
      <c r="L62" s="167"/>
      <c r="M62" s="167"/>
      <c r="N62" s="167"/>
      <c r="O62" s="122"/>
      <c r="P62" s="122"/>
      <c r="Q62" s="122"/>
      <c r="R62" s="122"/>
      <c r="S62" s="167"/>
      <c r="T62" s="167"/>
      <c r="U62" s="167"/>
      <c r="V62" s="167"/>
      <c r="W62" s="167"/>
      <c r="X62" s="167"/>
      <c r="Y62" s="167"/>
      <c r="Z62" s="167"/>
      <c r="AA62" s="167"/>
      <c r="AB62" s="167"/>
      <c r="AC62" s="167"/>
      <c r="AD62" s="167"/>
      <c r="AE62" s="167"/>
      <c r="AF62" s="167"/>
      <c r="AG62" s="167"/>
      <c r="AH62" s="167"/>
      <c r="AI62" s="167"/>
      <c r="AJ62" s="167"/>
      <c r="AK62" s="167"/>
      <c r="AL62" s="167"/>
      <c r="AM62" s="167"/>
      <c r="AN62" s="73"/>
      <c r="AO62" s="73"/>
      <c r="AP62" s="73"/>
      <c r="AQ62" s="73"/>
      <c r="AR62" s="73"/>
      <c r="AS62" s="73"/>
      <c r="AT62" s="73"/>
      <c r="AU62" s="73"/>
      <c r="AV62" s="73"/>
      <c r="AW62" s="73"/>
      <c r="AX62" s="73"/>
      <c r="BG62" s="67"/>
      <c r="BH62" s="67"/>
      <c r="BI62" s="67"/>
      <c r="BJ62" s="67"/>
      <c r="BK62" s="67"/>
    </row>
    <row r="63" spans="1:63" ht="10.5" hidden="1" customHeight="1" x14ac:dyDescent="0.35">
      <c r="A63" s="69" t="s">
        <v>201</v>
      </c>
      <c r="B63" s="205">
        <f>IF(B43&gt;0,1,0)</f>
        <v>0</v>
      </c>
      <c r="C63" s="205"/>
      <c r="D63" s="205"/>
      <c r="E63" s="205"/>
      <c r="F63" s="205"/>
      <c r="G63" s="122"/>
      <c r="H63" s="41"/>
      <c r="I63" s="167"/>
      <c r="J63" s="167"/>
      <c r="K63" s="167"/>
      <c r="L63" s="167"/>
      <c r="M63" s="167"/>
      <c r="N63" s="167"/>
      <c r="O63" s="122"/>
      <c r="P63" s="122"/>
      <c r="Q63" s="122"/>
      <c r="R63" s="122"/>
      <c r="S63" s="167"/>
      <c r="T63" s="167"/>
      <c r="U63" s="167"/>
      <c r="V63" s="167"/>
      <c r="W63" s="167"/>
      <c r="X63" s="167"/>
      <c r="Y63" s="167"/>
      <c r="Z63" s="167"/>
      <c r="AA63" s="167"/>
      <c r="AB63" s="167"/>
      <c r="AC63" s="167"/>
      <c r="AD63" s="167"/>
      <c r="AE63" s="167"/>
      <c r="AF63" s="167"/>
      <c r="AG63" s="167"/>
      <c r="AH63" s="167"/>
      <c r="AI63" s="167"/>
      <c r="AJ63" s="167"/>
      <c r="AK63" s="167"/>
      <c r="AL63" s="167"/>
      <c r="AM63" s="167"/>
      <c r="AN63" s="73"/>
      <c r="AO63" s="73"/>
      <c r="AP63" s="73"/>
      <c r="AQ63" s="73"/>
      <c r="AR63" s="73"/>
      <c r="AS63" s="73"/>
      <c r="AT63" s="73"/>
      <c r="AU63" s="73"/>
      <c r="AV63" s="73"/>
      <c r="AW63" s="73"/>
      <c r="AX63" s="73"/>
      <c r="BG63" s="67"/>
      <c r="BH63" s="67"/>
      <c r="BI63" s="67"/>
      <c r="BJ63" s="67"/>
      <c r="BK63" s="67"/>
    </row>
    <row r="64" spans="1:63" ht="10.5" hidden="1" customHeight="1" x14ac:dyDescent="0.35">
      <c r="A64" s="41" t="s">
        <v>203</v>
      </c>
      <c r="B64" s="208">
        <f>SUM(B56:D63)</f>
        <v>4</v>
      </c>
      <c r="C64" s="208"/>
      <c r="D64" s="208"/>
      <c r="E64" s="208"/>
      <c r="F64" s="208"/>
      <c r="G64" s="123"/>
      <c r="H64" s="49"/>
      <c r="I64" s="168"/>
      <c r="J64" s="168"/>
      <c r="K64" s="168"/>
      <c r="L64" s="168"/>
      <c r="M64" s="168"/>
      <c r="N64" s="168"/>
      <c r="O64" s="123"/>
      <c r="P64" s="123"/>
      <c r="Q64" s="123"/>
      <c r="R64" s="123"/>
      <c r="S64" s="168"/>
      <c r="T64" s="168"/>
      <c r="U64" s="168"/>
      <c r="V64" s="168"/>
      <c r="W64" s="168"/>
      <c r="X64" s="168"/>
      <c r="Y64" s="168"/>
      <c r="Z64" s="168"/>
      <c r="AA64" s="168"/>
      <c r="AB64" s="168"/>
      <c r="AC64" s="168"/>
      <c r="AD64" s="168"/>
      <c r="AE64" s="168"/>
      <c r="AF64" s="168"/>
      <c r="AG64" s="168"/>
      <c r="AH64" s="168"/>
      <c r="AI64" s="168"/>
      <c r="AJ64" s="168"/>
      <c r="AK64" s="168"/>
      <c r="AL64" s="168"/>
      <c r="AM64" s="168"/>
      <c r="BG64" s="67"/>
      <c r="BH64" s="4"/>
      <c r="BI64" s="4"/>
      <c r="BJ64" s="4"/>
      <c r="BK64" s="4"/>
    </row>
    <row r="65" spans="1:63" ht="10.5" hidden="1" customHeight="1" x14ac:dyDescent="0.35">
      <c r="A65" s="69" t="s">
        <v>149</v>
      </c>
      <c r="B65" s="205">
        <f>IF(B30&gt;0,1,0)</f>
        <v>1</v>
      </c>
      <c r="C65" s="205"/>
      <c r="D65" s="205"/>
      <c r="E65" s="205"/>
      <c r="F65" s="205"/>
      <c r="G65" s="122"/>
      <c r="H65" s="41"/>
      <c r="I65" s="167"/>
      <c r="J65" s="167"/>
      <c r="K65" s="167"/>
      <c r="L65" s="167"/>
      <c r="M65" s="167"/>
      <c r="N65" s="167"/>
      <c r="O65" s="122"/>
      <c r="P65" s="122"/>
      <c r="Q65" s="122"/>
      <c r="R65" s="122"/>
      <c r="S65" s="167"/>
      <c r="T65" s="167"/>
      <c r="U65" s="167"/>
      <c r="V65" s="167"/>
      <c r="W65" s="167"/>
      <c r="X65" s="167"/>
      <c r="Y65" s="167"/>
      <c r="Z65" s="167"/>
      <c r="AA65" s="167"/>
      <c r="AB65" s="167"/>
      <c r="AC65" s="167"/>
      <c r="AD65" s="167"/>
      <c r="AE65" s="167"/>
      <c r="AF65" s="167"/>
      <c r="AG65" s="167"/>
      <c r="AH65" s="167"/>
      <c r="AI65" s="167"/>
      <c r="AJ65" s="167"/>
      <c r="AK65" s="167"/>
      <c r="AL65" s="167"/>
      <c r="AM65" s="167"/>
      <c r="BG65" s="67"/>
      <c r="BH65" s="67"/>
      <c r="BI65" s="67"/>
      <c r="BJ65" s="67"/>
      <c r="BK65" s="67"/>
    </row>
    <row r="66" spans="1:63" ht="10.5" hidden="1" customHeight="1" x14ac:dyDescent="0.35">
      <c r="A66" s="69" t="s">
        <v>149</v>
      </c>
      <c r="B66" s="205">
        <f>IF(B32&gt;0,1,0)</f>
        <v>1</v>
      </c>
      <c r="C66" s="205"/>
      <c r="D66" s="205"/>
      <c r="E66" s="205"/>
      <c r="F66" s="205"/>
      <c r="G66" s="122"/>
      <c r="H66" s="41"/>
      <c r="I66" s="167"/>
      <c r="J66" s="167"/>
      <c r="K66" s="167"/>
      <c r="L66" s="167"/>
      <c r="M66" s="167"/>
      <c r="N66" s="167"/>
      <c r="O66" s="122"/>
      <c r="P66" s="122"/>
      <c r="Q66" s="122"/>
      <c r="R66" s="122"/>
      <c r="S66" s="167"/>
      <c r="T66" s="167"/>
      <c r="U66" s="167"/>
      <c r="V66" s="167"/>
      <c r="W66" s="167"/>
      <c r="X66" s="167"/>
      <c r="Y66" s="167"/>
      <c r="Z66" s="167"/>
      <c r="AA66" s="167"/>
      <c r="AB66" s="167"/>
      <c r="AC66" s="167"/>
      <c r="AD66" s="167"/>
      <c r="AE66" s="167"/>
      <c r="AF66" s="167"/>
      <c r="AG66" s="167"/>
      <c r="AH66" s="167"/>
      <c r="AI66" s="167"/>
      <c r="AJ66" s="167"/>
      <c r="AK66" s="167"/>
      <c r="AL66" s="167"/>
      <c r="AM66" s="167"/>
      <c r="BG66" s="67"/>
      <c r="BH66" s="4"/>
      <c r="BI66" s="4"/>
      <c r="BJ66" s="4"/>
      <c r="BK66" s="4"/>
    </row>
    <row r="67" spans="1:63" ht="10.5" hidden="1" customHeight="1" x14ac:dyDescent="0.35">
      <c r="A67" s="69" t="s">
        <v>149</v>
      </c>
      <c r="B67" s="205">
        <f>IF(B34&gt;0,1,0)</f>
        <v>1</v>
      </c>
      <c r="C67" s="205"/>
      <c r="D67" s="205"/>
      <c r="E67" s="205"/>
      <c r="F67" s="205"/>
      <c r="G67" s="122"/>
      <c r="H67" s="41"/>
      <c r="I67" s="167"/>
      <c r="J67" s="167"/>
      <c r="K67" s="167"/>
      <c r="L67" s="167"/>
      <c r="M67" s="167"/>
      <c r="N67" s="167"/>
      <c r="O67" s="122"/>
      <c r="P67" s="122"/>
      <c r="Q67" s="122"/>
      <c r="R67" s="122"/>
      <c r="S67" s="167"/>
      <c r="T67" s="167"/>
      <c r="U67" s="167"/>
      <c r="V67" s="167"/>
      <c r="W67" s="167"/>
      <c r="X67" s="167"/>
      <c r="Y67" s="167"/>
      <c r="Z67" s="167"/>
      <c r="AA67" s="167"/>
      <c r="AB67" s="167"/>
      <c r="AC67" s="167"/>
      <c r="AD67" s="167"/>
      <c r="AE67" s="167"/>
      <c r="AF67" s="167"/>
      <c r="AG67" s="167"/>
      <c r="AH67" s="167"/>
      <c r="AI67" s="167"/>
      <c r="AJ67" s="167"/>
      <c r="AK67" s="167"/>
      <c r="AL67" s="167"/>
      <c r="AM67" s="167"/>
      <c r="BG67" s="67"/>
      <c r="BH67" s="122"/>
      <c r="BI67" s="122"/>
      <c r="BJ67" s="122"/>
      <c r="BK67" s="122"/>
    </row>
    <row r="68" spans="1:63" ht="10.5" hidden="1" customHeight="1" x14ac:dyDescent="0.35">
      <c r="A68" s="69" t="s">
        <v>149</v>
      </c>
      <c r="B68" s="205">
        <f>IF(B36&gt;0,1,0)</f>
        <v>1</v>
      </c>
      <c r="C68" s="205"/>
      <c r="D68" s="205"/>
      <c r="E68" s="205"/>
      <c r="F68" s="205"/>
      <c r="G68" s="122"/>
      <c r="H68" s="41"/>
      <c r="I68" s="167"/>
      <c r="J68" s="167"/>
      <c r="K68" s="167"/>
      <c r="L68" s="167"/>
      <c r="M68" s="167"/>
      <c r="N68" s="167"/>
      <c r="O68" s="122"/>
      <c r="P68" s="122"/>
      <c r="Q68" s="122"/>
      <c r="R68" s="122"/>
      <c r="S68" s="167"/>
      <c r="T68" s="167"/>
      <c r="U68" s="167"/>
      <c r="V68" s="167"/>
      <c r="W68" s="167"/>
      <c r="X68" s="167"/>
      <c r="Y68" s="167"/>
      <c r="Z68" s="167"/>
      <c r="AA68" s="167"/>
      <c r="AB68" s="167"/>
      <c r="AC68" s="167"/>
      <c r="AD68" s="167"/>
      <c r="AE68" s="167"/>
      <c r="AF68" s="167"/>
      <c r="AG68" s="167"/>
      <c r="AH68" s="167"/>
      <c r="AI68" s="167"/>
      <c r="AJ68" s="167"/>
      <c r="AK68" s="167"/>
      <c r="AL68" s="167"/>
      <c r="AM68" s="167"/>
      <c r="BG68" s="67"/>
      <c r="BH68" s="5"/>
      <c r="BI68" s="5"/>
      <c r="BJ68" s="5"/>
      <c r="BK68" s="5"/>
    </row>
    <row r="69" spans="1:63" ht="10.5" hidden="1" customHeight="1" x14ac:dyDescent="0.35">
      <c r="A69" s="69" t="s">
        <v>149</v>
      </c>
      <c r="B69" s="205">
        <f>IF(B38&gt;0,1,0)</f>
        <v>0</v>
      </c>
      <c r="C69" s="205"/>
      <c r="D69" s="205"/>
      <c r="E69" s="205"/>
      <c r="F69" s="205"/>
      <c r="G69" s="122"/>
      <c r="H69" s="41"/>
      <c r="I69" s="122"/>
      <c r="J69" s="122"/>
      <c r="K69" s="122"/>
      <c r="L69" s="122"/>
      <c r="M69" s="122"/>
      <c r="N69" s="122"/>
      <c r="O69" s="122"/>
      <c r="P69" s="122"/>
      <c r="Q69" s="122"/>
      <c r="R69" s="122"/>
      <c r="S69" s="122"/>
      <c r="T69" s="122"/>
      <c r="U69" s="122"/>
      <c r="V69" s="122"/>
      <c r="W69" s="122"/>
      <c r="X69" s="122"/>
      <c r="Y69" s="122"/>
      <c r="Z69" s="122"/>
      <c r="AA69" s="122"/>
      <c r="AB69" s="122"/>
      <c r="AC69" s="122"/>
      <c r="AD69" s="122"/>
      <c r="AE69" s="122"/>
      <c r="AF69" s="122"/>
      <c r="AG69" s="122"/>
      <c r="AH69" s="122"/>
      <c r="AI69" s="122"/>
      <c r="AJ69" s="122"/>
      <c r="AK69" s="122"/>
      <c r="AL69" s="122"/>
      <c r="AM69" s="122"/>
      <c r="BG69" s="67"/>
      <c r="BH69" s="5"/>
      <c r="BI69" s="5"/>
      <c r="BJ69" s="5"/>
      <c r="BK69" s="5"/>
    </row>
    <row r="70" spans="1:63" ht="10.5" hidden="1" customHeight="1" x14ac:dyDescent="0.35">
      <c r="A70" s="69" t="s">
        <v>149</v>
      </c>
      <c r="B70" s="205">
        <f>IF(B40&gt;0,1,0)</f>
        <v>0</v>
      </c>
      <c r="C70" s="205"/>
      <c r="D70" s="205"/>
      <c r="E70" s="205"/>
      <c r="F70" s="205"/>
      <c r="G70" s="122"/>
      <c r="H70" s="41"/>
      <c r="I70" s="122"/>
      <c r="J70" s="122"/>
      <c r="K70" s="122"/>
      <c r="L70" s="122"/>
      <c r="M70" s="122"/>
      <c r="N70" s="122"/>
      <c r="O70" s="122"/>
      <c r="P70" s="122"/>
      <c r="Q70" s="122"/>
      <c r="R70" s="122"/>
      <c r="S70" s="122"/>
      <c r="T70" s="122"/>
      <c r="U70" s="122"/>
      <c r="V70" s="122"/>
      <c r="W70" s="122"/>
      <c r="X70" s="122"/>
      <c r="Y70" s="122"/>
      <c r="Z70" s="122"/>
      <c r="AA70" s="122"/>
      <c r="AB70" s="122"/>
      <c r="AC70" s="122"/>
      <c r="AD70" s="122"/>
      <c r="AE70" s="122"/>
      <c r="AF70" s="122"/>
      <c r="AG70" s="122"/>
      <c r="AH70" s="122"/>
      <c r="AI70" s="122"/>
      <c r="AJ70" s="122"/>
      <c r="AK70" s="122"/>
      <c r="AL70" s="122"/>
      <c r="AM70" s="122"/>
      <c r="BG70" s="67"/>
      <c r="BH70" s="5"/>
      <c r="BI70" s="5"/>
      <c r="BJ70" s="5"/>
      <c r="BK70" s="5"/>
    </row>
    <row r="71" spans="1:63" ht="10.5" hidden="1" customHeight="1" x14ac:dyDescent="0.35">
      <c r="A71" s="69" t="s">
        <v>149</v>
      </c>
      <c r="B71" s="205">
        <f>IF(B42&gt;0,1,0)</f>
        <v>0</v>
      </c>
      <c r="C71" s="205"/>
      <c r="D71" s="205"/>
      <c r="E71" s="205"/>
      <c r="F71" s="205"/>
      <c r="G71" s="122"/>
      <c r="H71" s="41"/>
      <c r="I71" s="167"/>
      <c r="J71" s="167"/>
      <c r="K71" s="167"/>
      <c r="L71" s="167"/>
      <c r="M71" s="167"/>
      <c r="N71" s="167"/>
      <c r="O71" s="122"/>
      <c r="P71" s="122"/>
      <c r="Q71" s="122"/>
      <c r="R71" s="122"/>
      <c r="S71" s="167"/>
      <c r="T71" s="167"/>
      <c r="U71" s="167"/>
      <c r="V71" s="167"/>
      <c r="W71" s="167"/>
      <c r="X71" s="167"/>
      <c r="Y71" s="167"/>
      <c r="Z71" s="167"/>
      <c r="AA71" s="167"/>
      <c r="AB71" s="167"/>
      <c r="AC71" s="167"/>
      <c r="AD71" s="167"/>
      <c r="AE71" s="167"/>
      <c r="AF71" s="167"/>
      <c r="AG71" s="167"/>
      <c r="AH71" s="167"/>
      <c r="AI71" s="167"/>
      <c r="AJ71" s="167"/>
      <c r="AK71" s="167"/>
      <c r="AL71" s="167"/>
      <c r="AM71" s="167"/>
      <c r="BG71" s="67"/>
      <c r="BH71" s="5"/>
      <c r="BI71" s="5"/>
      <c r="BJ71" s="5"/>
      <c r="BK71" s="5"/>
    </row>
    <row r="72" spans="1:63" ht="10.5" hidden="1" customHeight="1" x14ac:dyDescent="0.35">
      <c r="A72" s="69" t="s">
        <v>149</v>
      </c>
      <c r="B72" s="205">
        <f>IF(B44&gt;0,1,0)</f>
        <v>0</v>
      </c>
      <c r="C72" s="205"/>
      <c r="D72" s="205"/>
      <c r="E72" s="205"/>
      <c r="F72" s="205"/>
      <c r="G72" s="122"/>
      <c r="H72" s="41"/>
      <c r="I72" s="167"/>
      <c r="J72" s="167"/>
      <c r="K72" s="167"/>
      <c r="L72" s="167"/>
      <c r="M72" s="167"/>
      <c r="N72" s="167"/>
      <c r="O72" s="122"/>
      <c r="P72" s="122"/>
      <c r="Q72" s="122"/>
      <c r="R72" s="122"/>
      <c r="S72" s="167"/>
      <c r="T72" s="167"/>
      <c r="U72" s="167"/>
      <c r="V72" s="167"/>
      <c r="W72" s="167"/>
      <c r="X72" s="167"/>
      <c r="Y72" s="167"/>
      <c r="Z72" s="167"/>
      <c r="AA72" s="167"/>
      <c r="AB72" s="167"/>
      <c r="AC72" s="167"/>
      <c r="AD72" s="167"/>
      <c r="AE72" s="167"/>
      <c r="AF72" s="167"/>
      <c r="AG72" s="167"/>
      <c r="AH72" s="167"/>
      <c r="AI72" s="167"/>
      <c r="AJ72" s="167"/>
      <c r="AK72" s="167"/>
      <c r="AL72" s="167"/>
      <c r="AM72" s="167"/>
      <c r="BG72" s="67"/>
      <c r="BH72" s="5"/>
      <c r="BI72" s="5"/>
      <c r="BJ72" s="5"/>
      <c r="BK72" s="5"/>
    </row>
    <row r="73" spans="1:63" ht="10.5" hidden="1" customHeight="1" x14ac:dyDescent="0.35">
      <c r="A73" s="41" t="s">
        <v>204</v>
      </c>
      <c r="B73" s="170">
        <f>B48+B52+B53+B54+B65+B66+B67+B68+B71+B72+B69+B70</f>
        <v>6</v>
      </c>
      <c r="C73" s="170"/>
      <c r="D73" s="170"/>
      <c r="E73" s="170"/>
      <c r="F73" s="170"/>
      <c r="G73" s="122"/>
      <c r="H73" s="41"/>
      <c r="I73" s="167"/>
      <c r="J73" s="167"/>
      <c r="K73" s="167"/>
      <c r="L73" s="167"/>
      <c r="M73" s="167"/>
      <c r="N73" s="167"/>
      <c r="O73" s="122"/>
      <c r="P73" s="122"/>
      <c r="Q73" s="122"/>
      <c r="R73" s="122"/>
      <c r="S73" s="167"/>
      <c r="T73" s="167"/>
      <c r="U73" s="167"/>
      <c r="V73" s="167"/>
      <c r="W73" s="167"/>
      <c r="X73" s="167"/>
      <c r="Y73" s="167"/>
      <c r="Z73" s="167"/>
      <c r="AA73" s="167"/>
      <c r="AB73" s="167"/>
      <c r="AC73" s="167"/>
      <c r="AD73" s="167"/>
      <c r="AE73" s="167"/>
      <c r="AF73" s="167"/>
      <c r="AG73" s="167"/>
      <c r="AH73" s="167"/>
      <c r="AI73" s="167"/>
      <c r="AJ73" s="167"/>
      <c r="AK73" s="167"/>
      <c r="AL73" s="167"/>
      <c r="AM73" s="167"/>
      <c r="BG73" s="67"/>
      <c r="BH73" s="61"/>
      <c r="BI73" s="61"/>
      <c r="BJ73" s="61"/>
      <c r="BK73" s="61"/>
    </row>
    <row r="74" spans="1:63" ht="10.5" hidden="1" customHeight="1" x14ac:dyDescent="0.35">
      <c r="A74" s="41" t="s">
        <v>205</v>
      </c>
      <c r="B74" s="170" t="b">
        <f>B17=B47</f>
        <v>1</v>
      </c>
      <c r="C74" s="170"/>
      <c r="D74" s="170"/>
      <c r="E74" s="170"/>
      <c r="F74" s="170"/>
      <c r="G74" s="122"/>
      <c r="H74" s="41"/>
      <c r="I74" s="167"/>
      <c r="J74" s="167"/>
      <c r="K74" s="167"/>
      <c r="L74" s="167"/>
      <c r="M74" s="167"/>
      <c r="N74" s="167"/>
      <c r="O74" s="122"/>
      <c r="P74" s="122"/>
      <c r="Q74" s="122"/>
      <c r="R74" s="122"/>
      <c r="S74" s="167"/>
      <c r="T74" s="167"/>
      <c r="U74" s="167"/>
      <c r="V74" s="167"/>
      <c r="W74" s="167"/>
      <c r="X74" s="167"/>
      <c r="Y74" s="167"/>
      <c r="Z74" s="167"/>
      <c r="AA74" s="167"/>
      <c r="AB74" s="167"/>
      <c r="AC74" s="167"/>
      <c r="AD74" s="167"/>
      <c r="AE74" s="167"/>
      <c r="AF74" s="167"/>
      <c r="AG74" s="167"/>
      <c r="AH74" s="167"/>
      <c r="AI74" s="167"/>
      <c r="AJ74" s="167"/>
      <c r="AK74" s="167"/>
      <c r="AL74" s="167"/>
      <c r="AM74" s="167"/>
      <c r="BG74" s="40"/>
      <c r="BH74" s="61"/>
      <c r="BI74" s="61"/>
      <c r="BJ74" s="61"/>
      <c r="BK74" s="61"/>
    </row>
    <row r="75" spans="1:63" ht="10.5" hidden="1" customHeight="1" x14ac:dyDescent="0.35">
      <c r="A75" s="41" t="s">
        <v>206</v>
      </c>
      <c r="B75" s="170" t="b">
        <f>C17=B55</f>
        <v>1</v>
      </c>
      <c r="C75" s="170"/>
      <c r="D75" s="170"/>
      <c r="E75" s="170"/>
      <c r="F75" s="170"/>
      <c r="G75" s="124"/>
      <c r="H75" s="74"/>
      <c r="I75" s="170"/>
      <c r="J75" s="170"/>
      <c r="K75" s="170"/>
      <c r="L75" s="170"/>
      <c r="M75" s="170"/>
      <c r="N75" s="170"/>
      <c r="O75" s="124"/>
      <c r="P75" s="124"/>
      <c r="Q75" s="124"/>
      <c r="R75" s="124"/>
      <c r="S75" s="170"/>
      <c r="T75" s="170"/>
      <c r="U75" s="170"/>
      <c r="V75" s="170"/>
      <c r="W75" s="170"/>
      <c r="X75" s="170"/>
      <c r="Y75" s="170"/>
      <c r="Z75" s="170"/>
      <c r="AA75" s="170"/>
      <c r="AB75" s="170"/>
      <c r="AC75" s="170"/>
      <c r="AD75" s="170"/>
      <c r="AE75" s="170"/>
      <c r="AF75" s="170"/>
      <c r="AG75" s="170"/>
      <c r="AH75" s="170"/>
      <c r="AI75" s="170"/>
      <c r="AJ75" s="170"/>
      <c r="AK75" s="170"/>
      <c r="AL75" s="170"/>
      <c r="AM75" s="170"/>
      <c r="BG75" s="40"/>
      <c r="BH75" s="61"/>
      <c r="BI75" s="61"/>
      <c r="BJ75" s="61"/>
      <c r="BK75" s="61"/>
    </row>
    <row r="76" spans="1:63" ht="10.5" hidden="1" customHeight="1" x14ac:dyDescent="0.35">
      <c r="A76" s="41" t="s">
        <v>207</v>
      </c>
      <c r="B76" s="170" t="b">
        <f>D17=B64</f>
        <v>1</v>
      </c>
      <c r="C76" s="170"/>
      <c r="D76" s="170"/>
      <c r="E76" s="170"/>
      <c r="F76" s="170"/>
      <c r="G76" s="124"/>
      <c r="H76" s="74"/>
      <c r="I76" s="170"/>
      <c r="J76" s="170"/>
      <c r="K76" s="170"/>
      <c r="L76" s="170"/>
      <c r="M76" s="170"/>
      <c r="N76" s="170"/>
      <c r="O76" s="124"/>
      <c r="P76" s="124"/>
      <c r="Q76" s="124"/>
      <c r="R76" s="124"/>
      <c r="S76" s="170"/>
      <c r="T76" s="170"/>
      <c r="U76" s="170"/>
      <c r="V76" s="170"/>
      <c r="W76" s="170"/>
      <c r="X76" s="170"/>
      <c r="Y76" s="170"/>
      <c r="Z76" s="170"/>
      <c r="AA76" s="170"/>
      <c r="AB76" s="170"/>
      <c r="AC76" s="170"/>
      <c r="AD76" s="170"/>
      <c r="AE76" s="170"/>
      <c r="AF76" s="170"/>
      <c r="AG76" s="170"/>
      <c r="AH76" s="170"/>
      <c r="AI76" s="170"/>
      <c r="AJ76" s="170"/>
      <c r="AK76" s="170"/>
      <c r="AL76" s="170"/>
      <c r="AM76" s="170"/>
      <c r="AY76" s="124"/>
      <c r="AZ76" s="124"/>
      <c r="BA76" s="124"/>
      <c r="BB76" s="124"/>
      <c r="BC76" s="124"/>
      <c r="BD76" s="124"/>
      <c r="BE76" s="124"/>
      <c r="BF76" s="124"/>
      <c r="BG76" s="40"/>
      <c r="BH76" s="61"/>
      <c r="BI76" s="61"/>
      <c r="BJ76" s="61"/>
      <c r="BK76" s="61"/>
    </row>
    <row r="77" spans="1:63" ht="10.5" hidden="1" customHeight="1" x14ac:dyDescent="0.35">
      <c r="A77" s="41"/>
      <c r="B77" s="41"/>
      <c r="C77" s="41"/>
      <c r="D77" s="41"/>
      <c r="E77" s="41"/>
      <c r="F77" s="41"/>
      <c r="G77" s="122"/>
      <c r="H77" s="41"/>
      <c r="I77" s="41"/>
      <c r="J77" s="41"/>
      <c r="K77" s="41"/>
      <c r="L77" s="41"/>
      <c r="M77" s="41"/>
      <c r="AY77" s="124"/>
      <c r="AZ77" s="124"/>
      <c r="BA77" s="124"/>
      <c r="BB77" s="124"/>
      <c r="BC77" s="124"/>
      <c r="BD77" s="124"/>
      <c r="BE77" s="124"/>
      <c r="BF77" s="124"/>
      <c r="BG77" s="40"/>
      <c r="BH77" s="61"/>
      <c r="BI77" s="61"/>
      <c r="BJ77" s="61"/>
      <c r="BK77" s="61"/>
    </row>
    <row r="78" spans="1:63" ht="10.5" hidden="1" customHeight="1" x14ac:dyDescent="0.35">
      <c r="A78" s="41" t="s">
        <v>208</v>
      </c>
      <c r="B78" s="170" t="b">
        <f>B47+B55+B64=B73</f>
        <v>1</v>
      </c>
      <c r="C78" s="170"/>
      <c r="D78" s="170"/>
      <c r="E78" s="170"/>
      <c r="F78" s="170"/>
      <c r="G78" s="124"/>
      <c r="H78" s="74"/>
      <c r="I78" s="170"/>
      <c r="J78" s="170"/>
      <c r="K78" s="170"/>
      <c r="L78" s="170"/>
      <c r="M78" s="170"/>
      <c r="N78" s="170"/>
      <c r="O78" s="124"/>
      <c r="P78" s="124"/>
      <c r="Q78" s="124"/>
      <c r="R78" s="124"/>
      <c r="S78" s="170"/>
      <c r="T78" s="170"/>
      <c r="U78" s="170"/>
      <c r="V78" s="170"/>
      <c r="W78" s="170"/>
      <c r="X78" s="170"/>
      <c r="Y78" s="170"/>
      <c r="Z78" s="170"/>
      <c r="AA78" s="170"/>
      <c r="AB78" s="170"/>
      <c r="AC78" s="170"/>
      <c r="AD78" s="170"/>
      <c r="AE78" s="170"/>
      <c r="AF78" s="170"/>
      <c r="AG78" s="170"/>
      <c r="AH78" s="170"/>
      <c r="AI78" s="170"/>
      <c r="AJ78" s="170"/>
      <c r="AK78" s="170"/>
      <c r="AL78" s="170"/>
      <c r="AM78" s="170"/>
      <c r="AY78" s="124"/>
      <c r="AZ78" s="124"/>
      <c r="BA78" s="124"/>
      <c r="BB78" s="124"/>
      <c r="BC78" s="124"/>
      <c r="BD78" s="124"/>
      <c r="BE78" s="124"/>
      <c r="BF78" s="124"/>
      <c r="BG78" s="40"/>
      <c r="BH78" s="61"/>
      <c r="BI78" s="61"/>
      <c r="BJ78" s="61"/>
      <c r="BK78" s="61"/>
    </row>
    <row r="79" spans="1:63" s="72" customFormat="1" ht="6.65" customHeight="1" x14ac:dyDescent="0.35">
      <c r="A79" s="75"/>
      <c r="B79" s="75"/>
      <c r="C79" s="75"/>
      <c r="D79" s="75"/>
      <c r="E79" s="75"/>
      <c r="F79" s="75"/>
      <c r="G79" s="75"/>
      <c r="H79" s="76"/>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41"/>
      <c r="AO79" s="41"/>
      <c r="AP79" s="41"/>
      <c r="AQ79" s="41"/>
      <c r="AR79" s="41"/>
      <c r="AS79" s="41"/>
      <c r="AT79" s="41"/>
      <c r="AU79" s="41"/>
      <c r="AV79" s="41"/>
      <c r="AW79" s="41"/>
      <c r="AX79" s="41"/>
      <c r="AY79" s="124"/>
      <c r="AZ79" s="124"/>
      <c r="BA79" s="124"/>
      <c r="BB79" s="124"/>
      <c r="BC79" s="124"/>
      <c r="BD79" s="124"/>
      <c r="BE79" s="124"/>
      <c r="BF79" s="124"/>
      <c r="BG79" s="40"/>
      <c r="BH79" s="61"/>
      <c r="BI79" s="61"/>
      <c r="BJ79" s="61"/>
      <c r="BK79" s="61"/>
    </row>
    <row r="80" spans="1:63" s="69" customFormat="1" ht="23.15" customHeight="1" x14ac:dyDescent="0.35">
      <c r="A80" s="235" t="s">
        <v>106</v>
      </c>
      <c r="B80" s="204" t="s">
        <v>209</v>
      </c>
      <c r="C80" s="195"/>
      <c r="D80" s="195"/>
      <c r="E80" s="195"/>
      <c r="F80" s="195"/>
      <c r="G80" s="189"/>
      <c r="H80" s="142" t="s">
        <v>84</v>
      </c>
      <c r="I80" s="155"/>
      <c r="J80" s="156"/>
      <c r="K80" s="156"/>
      <c r="L80" s="156"/>
      <c r="M80" s="156"/>
      <c r="N80" s="156"/>
      <c r="O80" s="156"/>
      <c r="P80" s="156"/>
      <c r="Q80" s="156"/>
      <c r="R80" s="157"/>
      <c r="S80" s="161" t="s">
        <v>210</v>
      </c>
      <c r="T80" s="162"/>
      <c r="U80" s="162"/>
      <c r="V80" s="162"/>
      <c r="W80" s="163"/>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124"/>
      <c r="AZ80" s="124"/>
      <c r="BA80" s="124"/>
      <c r="BB80" s="124"/>
      <c r="BC80" s="124"/>
      <c r="BD80" s="124"/>
      <c r="BE80" s="124"/>
      <c r="BF80" s="124"/>
      <c r="BG80" s="40"/>
      <c r="BH80" s="61"/>
      <c r="BI80" s="61"/>
      <c r="BJ80" s="61"/>
      <c r="BK80" s="61"/>
    </row>
    <row r="81" spans="1:63" s="73" customFormat="1" ht="23.15" customHeight="1" x14ac:dyDescent="0.35">
      <c r="A81" s="236"/>
      <c r="B81" s="192" t="s">
        <v>186</v>
      </c>
      <c r="C81" s="193"/>
      <c r="D81" s="193"/>
      <c r="E81" s="193"/>
      <c r="F81" s="193"/>
      <c r="G81" s="190"/>
      <c r="H81" s="97">
        <v>42466</v>
      </c>
      <c r="I81" s="158"/>
      <c r="J81" s="159"/>
      <c r="K81" s="159"/>
      <c r="L81" s="159"/>
      <c r="M81" s="159"/>
      <c r="N81" s="159"/>
      <c r="O81" s="159"/>
      <c r="P81" s="159"/>
      <c r="Q81" s="159"/>
      <c r="R81" s="160"/>
      <c r="S81" s="164"/>
      <c r="T81" s="165"/>
      <c r="U81" s="165"/>
      <c r="V81" s="165"/>
      <c r="W81" s="166"/>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row>
    <row r="82" spans="1:63" ht="23.15" customHeight="1" x14ac:dyDescent="0.35">
      <c r="A82" s="236"/>
      <c r="B82" s="194"/>
      <c r="C82" s="195"/>
      <c r="D82" s="195"/>
      <c r="E82" s="195"/>
      <c r="F82" s="195"/>
      <c r="G82" s="189"/>
      <c r="H82" s="142"/>
      <c r="I82" s="155"/>
      <c r="J82" s="156"/>
      <c r="K82" s="156"/>
      <c r="L82" s="156"/>
      <c r="M82" s="156"/>
      <c r="N82" s="156"/>
      <c r="O82" s="156"/>
      <c r="P82" s="156"/>
      <c r="Q82" s="156"/>
      <c r="R82" s="157"/>
      <c r="S82" s="161"/>
      <c r="T82" s="162"/>
      <c r="U82" s="162"/>
      <c r="V82" s="162"/>
      <c r="W82" s="163"/>
    </row>
    <row r="83" spans="1:63" ht="23.15" customHeight="1" x14ac:dyDescent="0.35">
      <c r="A83" s="236"/>
      <c r="B83" s="192"/>
      <c r="C83" s="193"/>
      <c r="D83" s="193"/>
      <c r="E83" s="193"/>
      <c r="F83" s="193"/>
      <c r="G83" s="190"/>
      <c r="H83" s="97"/>
      <c r="I83" s="158"/>
      <c r="J83" s="159"/>
      <c r="K83" s="159"/>
      <c r="L83" s="159"/>
      <c r="M83" s="159"/>
      <c r="N83" s="159"/>
      <c r="O83" s="159"/>
      <c r="P83" s="159"/>
      <c r="Q83" s="159"/>
      <c r="R83" s="160"/>
      <c r="S83" s="164"/>
      <c r="T83" s="165"/>
      <c r="U83" s="165"/>
      <c r="V83" s="165"/>
      <c r="W83" s="166"/>
    </row>
    <row r="84" spans="1:63" s="69" customFormat="1" ht="23.15" customHeight="1" x14ac:dyDescent="0.35">
      <c r="A84" s="236"/>
      <c r="B84" s="194"/>
      <c r="C84" s="195"/>
      <c r="D84" s="195"/>
      <c r="E84" s="195"/>
      <c r="F84" s="195"/>
      <c r="G84" s="189"/>
      <c r="H84" s="142"/>
      <c r="I84" s="155"/>
      <c r="J84" s="156"/>
      <c r="K84" s="156"/>
      <c r="L84" s="156"/>
      <c r="M84" s="156"/>
      <c r="N84" s="156"/>
      <c r="O84" s="156"/>
      <c r="P84" s="156"/>
      <c r="Q84" s="156"/>
      <c r="R84" s="157"/>
      <c r="S84" s="161"/>
      <c r="T84" s="162"/>
      <c r="U84" s="162"/>
      <c r="V84" s="162"/>
      <c r="W84" s="163"/>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1"/>
      <c r="BK84" s="41"/>
    </row>
    <row r="85" spans="1:63" s="72" customFormat="1" ht="23.15" customHeight="1" x14ac:dyDescent="0.35">
      <c r="A85" s="236"/>
      <c r="B85" s="192"/>
      <c r="C85" s="193"/>
      <c r="D85" s="193"/>
      <c r="E85" s="193"/>
      <c r="F85" s="193"/>
      <c r="G85" s="190"/>
      <c r="H85" s="97"/>
      <c r="I85" s="158"/>
      <c r="J85" s="159"/>
      <c r="K85" s="159"/>
      <c r="L85" s="159"/>
      <c r="M85" s="159"/>
      <c r="N85" s="159"/>
      <c r="O85" s="159"/>
      <c r="P85" s="159"/>
      <c r="Q85" s="159"/>
      <c r="R85" s="160"/>
      <c r="S85" s="164"/>
      <c r="T85" s="165"/>
      <c r="U85" s="165"/>
      <c r="V85" s="165"/>
      <c r="W85" s="166"/>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row>
    <row r="86" spans="1:63" s="69" customFormat="1" ht="23.15" customHeight="1" x14ac:dyDescent="0.35">
      <c r="A86" s="236"/>
      <c r="B86" s="194"/>
      <c r="C86" s="195"/>
      <c r="D86" s="195"/>
      <c r="E86" s="195"/>
      <c r="F86" s="195"/>
      <c r="G86" s="189"/>
      <c r="H86" s="142"/>
      <c r="I86" s="155"/>
      <c r="J86" s="156"/>
      <c r="K86" s="156"/>
      <c r="L86" s="156"/>
      <c r="M86" s="156"/>
      <c r="N86" s="156"/>
      <c r="O86" s="156"/>
      <c r="P86" s="156"/>
      <c r="Q86" s="156"/>
      <c r="R86" s="157"/>
      <c r="S86" s="161"/>
      <c r="T86" s="162"/>
      <c r="U86" s="162"/>
      <c r="V86" s="162"/>
      <c r="W86" s="163"/>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row>
    <row r="87" spans="1:63" s="73" customFormat="1" ht="23.15" customHeight="1" x14ac:dyDescent="0.35">
      <c r="A87" s="236"/>
      <c r="B87" s="192"/>
      <c r="C87" s="193"/>
      <c r="D87" s="193"/>
      <c r="E87" s="193"/>
      <c r="F87" s="193"/>
      <c r="G87" s="190"/>
      <c r="H87" s="97"/>
      <c r="I87" s="158"/>
      <c r="J87" s="159"/>
      <c r="K87" s="159"/>
      <c r="L87" s="159"/>
      <c r="M87" s="159"/>
      <c r="N87" s="159"/>
      <c r="O87" s="159"/>
      <c r="P87" s="159"/>
      <c r="Q87" s="159"/>
      <c r="R87" s="160"/>
      <c r="S87" s="164"/>
      <c r="T87" s="165"/>
      <c r="U87" s="165"/>
      <c r="V87" s="165"/>
      <c r="W87" s="166"/>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row>
    <row r="88" spans="1:63" ht="23.15" customHeight="1" x14ac:dyDescent="0.35">
      <c r="A88" s="236"/>
      <c r="B88" s="194"/>
      <c r="C88" s="195"/>
      <c r="D88" s="195"/>
      <c r="E88" s="195"/>
      <c r="F88" s="195"/>
      <c r="G88" s="189"/>
      <c r="H88" s="142"/>
      <c r="I88" s="155"/>
      <c r="J88" s="156"/>
      <c r="K88" s="156"/>
      <c r="L88" s="156"/>
      <c r="M88" s="156"/>
      <c r="N88" s="156"/>
      <c r="O88" s="156"/>
      <c r="P88" s="156"/>
      <c r="Q88" s="156"/>
      <c r="R88" s="157"/>
      <c r="S88" s="161"/>
      <c r="T88" s="162"/>
      <c r="U88" s="162"/>
      <c r="V88" s="162"/>
      <c r="W88" s="163"/>
    </row>
    <row r="89" spans="1:63" ht="23.15" customHeight="1" x14ac:dyDescent="0.35">
      <c r="A89" s="236"/>
      <c r="B89" s="192"/>
      <c r="C89" s="193"/>
      <c r="D89" s="193"/>
      <c r="E89" s="193"/>
      <c r="F89" s="193"/>
      <c r="G89" s="190"/>
      <c r="H89" s="97"/>
      <c r="I89" s="158"/>
      <c r="J89" s="159"/>
      <c r="K89" s="159"/>
      <c r="L89" s="159"/>
      <c r="M89" s="159"/>
      <c r="N89" s="159"/>
      <c r="O89" s="159"/>
      <c r="P89" s="159"/>
      <c r="Q89" s="159"/>
      <c r="R89" s="160"/>
      <c r="S89" s="164"/>
      <c r="T89" s="165"/>
      <c r="U89" s="165"/>
      <c r="V89" s="165"/>
      <c r="W89" s="166"/>
    </row>
    <row r="90" spans="1:63" s="69" customFormat="1" ht="23.15" customHeight="1" x14ac:dyDescent="0.35">
      <c r="A90" s="236"/>
      <c r="B90" s="194"/>
      <c r="C90" s="195"/>
      <c r="D90" s="195"/>
      <c r="E90" s="195"/>
      <c r="F90" s="195"/>
      <c r="G90" s="189"/>
      <c r="H90" s="142"/>
      <c r="I90" s="155"/>
      <c r="J90" s="156"/>
      <c r="K90" s="156"/>
      <c r="L90" s="156"/>
      <c r="M90" s="156"/>
      <c r="N90" s="156"/>
      <c r="O90" s="156"/>
      <c r="P90" s="156"/>
      <c r="Q90" s="156"/>
      <c r="R90" s="157"/>
      <c r="S90" s="161"/>
      <c r="T90" s="162"/>
      <c r="U90" s="162"/>
      <c r="V90" s="162"/>
      <c r="W90" s="163"/>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row>
    <row r="91" spans="1:63" ht="23.15" customHeight="1" x14ac:dyDescent="0.35">
      <c r="A91" s="236"/>
      <c r="B91" s="192"/>
      <c r="C91" s="193"/>
      <c r="D91" s="193"/>
      <c r="E91" s="193"/>
      <c r="F91" s="193"/>
      <c r="G91" s="190"/>
      <c r="H91" s="97"/>
      <c r="I91" s="158"/>
      <c r="J91" s="159"/>
      <c r="K91" s="159"/>
      <c r="L91" s="159"/>
      <c r="M91" s="159"/>
      <c r="N91" s="159"/>
      <c r="O91" s="159"/>
      <c r="P91" s="159"/>
      <c r="Q91" s="159"/>
      <c r="R91" s="160"/>
      <c r="S91" s="164"/>
      <c r="T91" s="165"/>
      <c r="U91" s="165"/>
      <c r="V91" s="165"/>
      <c r="W91" s="166"/>
    </row>
    <row r="92" spans="1:63" s="72" customFormat="1" ht="23.15" customHeight="1" x14ac:dyDescent="0.35">
      <c r="A92" s="236"/>
      <c r="B92" s="194"/>
      <c r="C92" s="195"/>
      <c r="D92" s="195"/>
      <c r="E92" s="195"/>
      <c r="F92" s="195"/>
      <c r="G92" s="189"/>
      <c r="H92" s="142"/>
      <c r="I92" s="155"/>
      <c r="J92" s="156"/>
      <c r="K92" s="156"/>
      <c r="L92" s="156"/>
      <c r="M92" s="156"/>
      <c r="N92" s="156"/>
      <c r="O92" s="156"/>
      <c r="P92" s="156"/>
      <c r="Q92" s="156"/>
      <c r="R92" s="157"/>
      <c r="S92" s="161"/>
      <c r="T92" s="162"/>
      <c r="U92" s="162"/>
      <c r="V92" s="162"/>
      <c r="W92" s="163"/>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row>
    <row r="93" spans="1:63" ht="23.15" customHeight="1" x14ac:dyDescent="0.35">
      <c r="A93" s="237"/>
      <c r="B93" s="196"/>
      <c r="C93" s="197"/>
      <c r="D93" s="197"/>
      <c r="E93" s="197"/>
      <c r="F93" s="197"/>
      <c r="G93" s="191"/>
      <c r="H93" s="2"/>
      <c r="I93" s="158"/>
      <c r="J93" s="159"/>
      <c r="K93" s="159"/>
      <c r="L93" s="159"/>
      <c r="M93" s="159"/>
      <c r="N93" s="159"/>
      <c r="O93" s="159"/>
      <c r="P93" s="159"/>
      <c r="Q93" s="159"/>
      <c r="R93" s="160"/>
      <c r="S93" s="164"/>
      <c r="T93" s="165"/>
      <c r="U93" s="165"/>
      <c r="V93" s="165"/>
      <c r="W93" s="166"/>
    </row>
    <row r="94" spans="1:63" ht="10.5" customHeight="1" x14ac:dyDescent="0.35">
      <c r="A94" s="150" t="s">
        <v>200</v>
      </c>
      <c r="B94" s="198" t="str">
        <f>IF(B109=TRUE,"OK",$A109)</f>
        <v>OK</v>
      </c>
      <c r="C94" s="199"/>
      <c r="D94" s="199"/>
      <c r="E94" s="199"/>
      <c r="F94" s="199"/>
      <c r="G94" s="145"/>
      <c r="H94" s="146"/>
      <c r="I94" s="146"/>
      <c r="J94" s="146"/>
      <c r="K94" s="146"/>
      <c r="L94" s="146"/>
      <c r="M94" s="146"/>
      <c r="N94" s="146"/>
      <c r="O94" s="146"/>
      <c r="P94" s="146"/>
      <c r="Q94" s="146"/>
      <c r="R94" s="146"/>
      <c r="S94" s="146"/>
      <c r="T94" s="146"/>
      <c r="U94" s="146"/>
      <c r="V94" s="146"/>
      <c r="W94" s="147"/>
    </row>
    <row r="95" spans="1:63" ht="10.5" hidden="1" customHeight="1" x14ac:dyDescent="0.35">
      <c r="A95" s="77"/>
      <c r="B95" s="169">
        <f t="shared" ref="B95:B108" si="1">IF(B80&gt;0,1,0)</f>
        <v>1</v>
      </c>
      <c r="C95" s="169"/>
      <c r="D95" s="169"/>
      <c r="E95" s="169"/>
      <c r="F95" s="169"/>
      <c r="G95" s="122"/>
      <c r="H95" s="41"/>
      <c r="I95" s="41"/>
      <c r="J95" s="41"/>
      <c r="K95" s="41"/>
      <c r="L95" s="41"/>
      <c r="M95" s="41"/>
    </row>
    <row r="96" spans="1:63" ht="10.5" hidden="1" customHeight="1" x14ac:dyDescent="0.35">
      <c r="A96" s="77"/>
      <c r="B96" s="169">
        <f t="shared" si="1"/>
        <v>1</v>
      </c>
      <c r="C96" s="169"/>
      <c r="D96" s="169"/>
      <c r="E96" s="169"/>
      <c r="F96" s="169"/>
      <c r="G96" s="122"/>
      <c r="H96" s="41"/>
      <c r="I96" s="41"/>
      <c r="J96" s="41"/>
      <c r="K96" s="41"/>
      <c r="L96" s="41"/>
      <c r="M96" s="41"/>
    </row>
    <row r="97" spans="1:63" ht="10.5" hidden="1" customHeight="1" x14ac:dyDescent="0.35">
      <c r="A97" s="77"/>
      <c r="B97" s="169">
        <f t="shared" si="1"/>
        <v>0</v>
      </c>
      <c r="C97" s="169"/>
      <c r="D97" s="169"/>
      <c r="E97" s="169"/>
      <c r="F97" s="169"/>
      <c r="G97" s="122"/>
      <c r="H97" s="41"/>
      <c r="I97" s="41"/>
      <c r="J97" s="41"/>
      <c r="K97" s="41"/>
      <c r="L97" s="41"/>
      <c r="M97" s="41"/>
    </row>
    <row r="98" spans="1:63" ht="10.5" hidden="1" customHeight="1" x14ac:dyDescent="0.35">
      <c r="A98" s="77"/>
      <c r="B98" s="169">
        <f t="shared" si="1"/>
        <v>0</v>
      </c>
      <c r="C98" s="169"/>
      <c r="D98" s="169"/>
      <c r="E98" s="169"/>
      <c r="F98" s="169"/>
      <c r="G98" s="122"/>
      <c r="H98" s="41"/>
      <c r="I98" s="41"/>
      <c r="J98" s="41"/>
      <c r="K98" s="41"/>
      <c r="L98" s="41"/>
      <c r="M98" s="41"/>
    </row>
    <row r="99" spans="1:63" ht="10.5" hidden="1" customHeight="1" x14ac:dyDescent="0.35">
      <c r="A99" s="77"/>
      <c r="B99" s="169">
        <f t="shared" si="1"/>
        <v>0</v>
      </c>
      <c r="C99" s="169"/>
      <c r="D99" s="169"/>
      <c r="E99" s="169"/>
      <c r="F99" s="169"/>
      <c r="G99" s="122"/>
      <c r="H99" s="41"/>
      <c r="I99" s="41"/>
      <c r="J99" s="41"/>
      <c r="K99" s="41"/>
      <c r="L99" s="41"/>
      <c r="M99" s="41"/>
    </row>
    <row r="100" spans="1:63" ht="10.5" hidden="1" customHeight="1" x14ac:dyDescent="0.35">
      <c r="A100" s="77"/>
      <c r="B100" s="169">
        <f t="shared" si="1"/>
        <v>0</v>
      </c>
      <c r="C100" s="169"/>
      <c r="D100" s="169"/>
      <c r="E100" s="169"/>
      <c r="F100" s="169"/>
      <c r="G100" s="122"/>
      <c r="H100" s="41"/>
      <c r="I100" s="41"/>
      <c r="J100" s="41"/>
      <c r="K100" s="41"/>
      <c r="L100" s="41"/>
      <c r="M100" s="41"/>
    </row>
    <row r="101" spans="1:63" ht="10.5" hidden="1" customHeight="1" x14ac:dyDescent="0.35">
      <c r="A101" s="77"/>
      <c r="B101" s="169">
        <f t="shared" si="1"/>
        <v>0</v>
      </c>
      <c r="C101" s="169"/>
      <c r="D101" s="169"/>
      <c r="E101" s="169"/>
      <c r="F101" s="169"/>
      <c r="G101" s="122"/>
      <c r="H101" s="41"/>
      <c r="I101" s="41"/>
      <c r="J101" s="41"/>
      <c r="K101" s="41"/>
      <c r="L101" s="41"/>
      <c r="M101" s="41"/>
    </row>
    <row r="102" spans="1:63" ht="10.5" hidden="1" customHeight="1" x14ac:dyDescent="0.35">
      <c r="A102" s="77"/>
      <c r="B102" s="169">
        <f t="shared" si="1"/>
        <v>0</v>
      </c>
      <c r="C102" s="169"/>
      <c r="D102" s="169"/>
      <c r="E102" s="169"/>
      <c r="F102" s="169"/>
      <c r="G102" s="122"/>
      <c r="H102" s="41"/>
      <c r="I102" s="41"/>
      <c r="J102" s="41"/>
      <c r="K102" s="41"/>
      <c r="L102" s="41"/>
      <c r="M102" s="41"/>
    </row>
    <row r="103" spans="1:63" ht="10.5" hidden="1" customHeight="1" x14ac:dyDescent="0.35">
      <c r="A103" s="77"/>
      <c r="B103" s="169">
        <f t="shared" si="1"/>
        <v>0</v>
      </c>
      <c r="C103" s="169"/>
      <c r="D103" s="169"/>
      <c r="E103" s="169"/>
      <c r="F103" s="169"/>
      <c r="G103" s="122"/>
      <c r="H103" s="41"/>
      <c r="I103" s="41"/>
      <c r="J103" s="41"/>
      <c r="K103" s="41"/>
      <c r="L103" s="41"/>
      <c r="M103" s="41"/>
    </row>
    <row r="104" spans="1:63" ht="10.5" hidden="1" customHeight="1" x14ac:dyDescent="0.35">
      <c r="A104" s="77"/>
      <c r="B104" s="169">
        <f t="shared" si="1"/>
        <v>0</v>
      </c>
      <c r="C104" s="169"/>
      <c r="D104" s="169"/>
      <c r="E104" s="169"/>
      <c r="F104" s="169"/>
      <c r="G104" s="122"/>
      <c r="H104" s="41"/>
      <c r="I104" s="41"/>
      <c r="J104" s="41"/>
      <c r="K104" s="41"/>
      <c r="L104" s="41"/>
      <c r="M104" s="41"/>
    </row>
    <row r="105" spans="1:63" ht="10.5" hidden="1" customHeight="1" x14ac:dyDescent="0.35">
      <c r="A105" s="77"/>
      <c r="B105" s="169">
        <f t="shared" si="1"/>
        <v>0</v>
      </c>
      <c r="C105" s="169"/>
      <c r="D105" s="169"/>
      <c r="E105" s="169"/>
      <c r="F105" s="169"/>
      <c r="G105" s="122"/>
      <c r="H105" s="41"/>
      <c r="I105" s="41"/>
      <c r="J105" s="41"/>
      <c r="K105" s="41"/>
      <c r="L105" s="41"/>
      <c r="M105" s="41"/>
    </row>
    <row r="106" spans="1:63" ht="10.5" hidden="1" customHeight="1" x14ac:dyDescent="0.35">
      <c r="A106" s="77"/>
      <c r="B106" s="169">
        <f t="shared" si="1"/>
        <v>0</v>
      </c>
      <c r="C106" s="169"/>
      <c r="D106" s="169"/>
      <c r="E106" s="169"/>
      <c r="F106" s="169"/>
      <c r="G106" s="122"/>
      <c r="H106" s="41"/>
      <c r="I106" s="41"/>
      <c r="J106" s="41"/>
      <c r="K106" s="41"/>
      <c r="L106" s="41"/>
      <c r="M106" s="41"/>
    </row>
    <row r="107" spans="1:63" ht="10.5" hidden="1" customHeight="1" x14ac:dyDescent="0.35">
      <c r="A107" s="77"/>
      <c r="B107" s="169">
        <f t="shared" si="1"/>
        <v>0</v>
      </c>
      <c r="C107" s="169"/>
      <c r="D107" s="169"/>
      <c r="E107" s="169"/>
      <c r="F107" s="169"/>
      <c r="G107" s="122"/>
      <c r="H107" s="41"/>
      <c r="I107" s="41"/>
      <c r="J107" s="41"/>
      <c r="K107" s="41"/>
      <c r="L107" s="41"/>
      <c r="M107" s="41"/>
    </row>
    <row r="108" spans="1:63" ht="10.5" hidden="1" customHeight="1" x14ac:dyDescent="0.35">
      <c r="A108" s="77"/>
      <c r="B108" s="169">
        <f t="shared" si="1"/>
        <v>0</v>
      </c>
      <c r="C108" s="169"/>
      <c r="D108" s="169"/>
      <c r="E108" s="169"/>
      <c r="F108" s="169"/>
      <c r="G108" s="122"/>
      <c r="H108" s="41"/>
      <c r="I108" s="41"/>
      <c r="J108" s="41"/>
      <c r="K108" s="41"/>
      <c r="L108" s="41"/>
      <c r="M108" s="41"/>
    </row>
    <row r="109" spans="1:63" ht="10.5" hidden="1" customHeight="1" x14ac:dyDescent="0.35">
      <c r="A109" s="125" t="s">
        <v>208</v>
      </c>
      <c r="B109" s="175" t="b">
        <f>B95+B97+B99+B101+B103+B105+B107=B96+B98+B100+B102+B104+B106+B108</f>
        <v>1</v>
      </c>
      <c r="C109" s="175"/>
      <c r="D109" s="175"/>
      <c r="E109" s="175"/>
      <c r="F109" s="175"/>
      <c r="G109" s="122"/>
      <c r="H109" s="41"/>
      <c r="I109" s="41"/>
      <c r="J109" s="41"/>
      <c r="K109" s="41"/>
      <c r="L109" s="41"/>
      <c r="M109" s="41"/>
    </row>
    <row r="110" spans="1:63" s="72" customFormat="1" ht="23.15" customHeight="1" x14ac:dyDescent="0.35">
      <c r="B110" s="211"/>
      <c r="C110" s="211"/>
      <c r="D110" s="211"/>
      <c r="E110" s="41"/>
      <c r="F110" s="41"/>
      <c r="G110" s="122"/>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c r="BJ110" s="41"/>
      <c r="BK110" s="41"/>
    </row>
    <row r="111" spans="1:63" s="60" customFormat="1" ht="23.15" customHeight="1" x14ac:dyDescent="0.25">
      <c r="A111" s="151" t="s">
        <v>211</v>
      </c>
      <c r="B111" s="209" t="s">
        <v>212</v>
      </c>
      <c r="C111" s="210"/>
      <c r="D111" s="210"/>
      <c r="E111" s="210"/>
      <c r="F111" s="210"/>
      <c r="G111" s="189">
        <v>42278</v>
      </c>
      <c r="H111" s="142" t="s">
        <v>84</v>
      </c>
      <c r="I111" s="155" t="s">
        <v>213</v>
      </c>
      <c r="J111" s="156"/>
      <c r="K111" s="156"/>
      <c r="L111" s="156"/>
      <c r="M111" s="156"/>
      <c r="N111" s="156"/>
      <c r="O111" s="156"/>
      <c r="P111" s="156"/>
      <c r="Q111" s="156"/>
      <c r="R111" s="157"/>
      <c r="S111" s="161" t="s">
        <v>214</v>
      </c>
      <c r="T111" s="162"/>
      <c r="U111" s="162"/>
      <c r="V111" s="162"/>
      <c r="W111" s="163"/>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c r="BJ111" s="41"/>
      <c r="BK111" s="41"/>
    </row>
    <row r="112" spans="1:63" s="60" customFormat="1" ht="23.15" customHeight="1" x14ac:dyDescent="0.25">
      <c r="A112" s="78" t="s">
        <v>149</v>
      </c>
      <c r="B112" s="244" t="s">
        <v>71</v>
      </c>
      <c r="C112" s="245"/>
      <c r="D112" s="245"/>
      <c r="E112" s="245"/>
      <c r="F112" s="245"/>
      <c r="G112" s="190"/>
      <c r="H112" s="97"/>
      <c r="I112" s="158"/>
      <c r="J112" s="159"/>
      <c r="K112" s="159"/>
      <c r="L112" s="159"/>
      <c r="M112" s="159"/>
      <c r="N112" s="159"/>
      <c r="O112" s="159"/>
      <c r="P112" s="159"/>
      <c r="Q112" s="159"/>
      <c r="R112" s="160"/>
      <c r="S112" s="164"/>
      <c r="T112" s="165"/>
      <c r="U112" s="165"/>
      <c r="V112" s="165"/>
      <c r="W112" s="166"/>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c r="BJ112" s="41"/>
      <c r="BK112" s="41"/>
    </row>
    <row r="113" spans="1:63" s="73" customFormat="1" ht="23.15" customHeight="1" x14ac:dyDescent="0.25">
      <c r="A113" s="79" t="s">
        <v>215</v>
      </c>
      <c r="B113" s="209" t="s">
        <v>216</v>
      </c>
      <c r="C113" s="210"/>
      <c r="D113" s="210"/>
      <c r="E113" s="210"/>
      <c r="F113" s="210"/>
      <c r="G113" s="189">
        <v>42278</v>
      </c>
      <c r="H113" s="142" t="s">
        <v>84</v>
      </c>
      <c r="I113" s="155" t="s">
        <v>217</v>
      </c>
      <c r="J113" s="156"/>
      <c r="K113" s="156"/>
      <c r="L113" s="156"/>
      <c r="M113" s="156"/>
      <c r="N113" s="156"/>
      <c r="O113" s="156"/>
      <c r="P113" s="156"/>
      <c r="Q113" s="156"/>
      <c r="R113" s="157"/>
      <c r="S113" s="161" t="s">
        <v>218</v>
      </c>
      <c r="T113" s="162"/>
      <c r="U113" s="162"/>
      <c r="V113" s="162"/>
      <c r="W113" s="163"/>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row>
    <row r="114" spans="1:63" s="73" customFormat="1" ht="23.15" customHeight="1" x14ac:dyDescent="0.25">
      <c r="A114" s="78" t="s">
        <v>149</v>
      </c>
      <c r="B114" s="244" t="s">
        <v>71</v>
      </c>
      <c r="C114" s="245"/>
      <c r="D114" s="245"/>
      <c r="E114" s="245"/>
      <c r="F114" s="245"/>
      <c r="G114" s="190"/>
      <c r="H114" s="97"/>
      <c r="I114" s="158"/>
      <c r="J114" s="159"/>
      <c r="K114" s="159"/>
      <c r="L114" s="159"/>
      <c r="M114" s="159"/>
      <c r="N114" s="159"/>
      <c r="O114" s="159"/>
      <c r="P114" s="159"/>
      <c r="Q114" s="159"/>
      <c r="R114" s="160"/>
      <c r="S114" s="164"/>
      <c r="T114" s="165"/>
      <c r="U114" s="165"/>
      <c r="V114" s="165"/>
      <c r="W114" s="166"/>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row>
    <row r="115" spans="1:63" s="73" customFormat="1" ht="23.15" customHeight="1" x14ac:dyDescent="0.25">
      <c r="A115" s="79" t="s">
        <v>219</v>
      </c>
      <c r="B115" s="209" t="s">
        <v>220</v>
      </c>
      <c r="C115" s="210"/>
      <c r="D115" s="210"/>
      <c r="E115" s="210"/>
      <c r="F115" s="210"/>
      <c r="G115" s="189">
        <v>42248</v>
      </c>
      <c r="H115" s="142" t="s">
        <v>84</v>
      </c>
      <c r="I115" s="155" t="s">
        <v>221</v>
      </c>
      <c r="J115" s="156"/>
      <c r="K115" s="156"/>
      <c r="L115" s="156"/>
      <c r="M115" s="156"/>
      <c r="N115" s="156"/>
      <c r="O115" s="156"/>
      <c r="P115" s="156"/>
      <c r="Q115" s="156"/>
      <c r="R115" s="157"/>
      <c r="S115" s="161" t="s">
        <v>222</v>
      </c>
      <c r="T115" s="162"/>
      <c r="U115" s="162"/>
      <c r="V115" s="162"/>
      <c r="W115" s="163"/>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c r="BJ115" s="41"/>
      <c r="BK115" s="41"/>
    </row>
    <row r="116" spans="1:63" s="73" customFormat="1" ht="23.15" customHeight="1" x14ac:dyDescent="0.25">
      <c r="A116" s="78" t="s">
        <v>149</v>
      </c>
      <c r="B116" s="244" t="s">
        <v>71</v>
      </c>
      <c r="C116" s="245"/>
      <c r="D116" s="245"/>
      <c r="E116" s="245"/>
      <c r="F116" s="245"/>
      <c r="G116" s="190"/>
      <c r="H116" s="97"/>
      <c r="I116" s="158"/>
      <c r="J116" s="159"/>
      <c r="K116" s="159"/>
      <c r="L116" s="159"/>
      <c r="M116" s="159"/>
      <c r="N116" s="159"/>
      <c r="O116" s="159"/>
      <c r="P116" s="159"/>
      <c r="Q116" s="159"/>
      <c r="R116" s="160"/>
      <c r="S116" s="164"/>
      <c r="T116" s="165"/>
      <c r="U116" s="165"/>
      <c r="V116" s="165"/>
      <c r="W116" s="166"/>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c r="BJ116" s="41"/>
      <c r="BK116" s="41"/>
    </row>
    <row r="117" spans="1:63" s="73" customFormat="1" ht="23.15" customHeight="1" x14ac:dyDescent="0.25">
      <c r="A117" s="79" t="s">
        <v>223</v>
      </c>
      <c r="B117" s="209" t="s">
        <v>224</v>
      </c>
      <c r="C117" s="210"/>
      <c r="D117" s="210"/>
      <c r="E117" s="210"/>
      <c r="F117" s="210"/>
      <c r="G117" s="189">
        <v>42370</v>
      </c>
      <c r="H117" s="142" t="s">
        <v>84</v>
      </c>
      <c r="I117" s="155" t="s">
        <v>225</v>
      </c>
      <c r="J117" s="156"/>
      <c r="K117" s="156"/>
      <c r="L117" s="156"/>
      <c r="M117" s="156"/>
      <c r="N117" s="156"/>
      <c r="O117" s="156"/>
      <c r="P117" s="156"/>
      <c r="Q117" s="156"/>
      <c r="R117" s="157"/>
      <c r="S117" s="161" t="s">
        <v>226</v>
      </c>
      <c r="T117" s="162"/>
      <c r="U117" s="162"/>
      <c r="V117" s="162"/>
      <c r="W117" s="163"/>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row>
    <row r="118" spans="1:63" s="73" customFormat="1" ht="23.15" customHeight="1" x14ac:dyDescent="0.25">
      <c r="A118" s="78" t="s">
        <v>149</v>
      </c>
      <c r="B118" s="244" t="s">
        <v>71</v>
      </c>
      <c r="C118" s="245"/>
      <c r="D118" s="245"/>
      <c r="E118" s="245"/>
      <c r="F118" s="245"/>
      <c r="G118" s="190"/>
      <c r="H118" s="97"/>
      <c r="I118" s="158"/>
      <c r="J118" s="159"/>
      <c r="K118" s="159"/>
      <c r="L118" s="159"/>
      <c r="M118" s="159"/>
      <c r="N118" s="159"/>
      <c r="O118" s="159"/>
      <c r="P118" s="159"/>
      <c r="Q118" s="159"/>
      <c r="R118" s="160"/>
      <c r="S118" s="164"/>
      <c r="T118" s="165"/>
      <c r="U118" s="165"/>
      <c r="V118" s="165"/>
      <c r="W118" s="166"/>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c r="BJ118" s="41"/>
      <c r="BK118" s="41"/>
    </row>
    <row r="119" spans="1:63" s="73" customFormat="1" ht="23.15" customHeight="1" x14ac:dyDescent="0.25">
      <c r="A119" s="79" t="s">
        <v>227</v>
      </c>
      <c r="B119" s="209" t="s">
        <v>228</v>
      </c>
      <c r="C119" s="210"/>
      <c r="D119" s="210"/>
      <c r="E119" s="210"/>
      <c r="F119" s="210"/>
      <c r="G119" s="189"/>
      <c r="H119" s="142" t="s">
        <v>84</v>
      </c>
      <c r="I119" s="155" t="s">
        <v>229</v>
      </c>
      <c r="J119" s="156"/>
      <c r="K119" s="156"/>
      <c r="L119" s="156"/>
      <c r="M119" s="156"/>
      <c r="N119" s="156"/>
      <c r="O119" s="156"/>
      <c r="P119" s="156"/>
      <c r="Q119" s="156"/>
      <c r="R119" s="157"/>
      <c r="S119" s="161" t="s">
        <v>230</v>
      </c>
      <c r="T119" s="162"/>
      <c r="U119" s="162"/>
      <c r="V119" s="162"/>
      <c r="W119" s="163"/>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c r="BJ119" s="41"/>
      <c r="BK119" s="41"/>
    </row>
    <row r="120" spans="1:63" s="73" customFormat="1" ht="23.15" customHeight="1" x14ac:dyDescent="0.25">
      <c r="A120" s="78" t="s">
        <v>149</v>
      </c>
      <c r="B120" s="244" t="s">
        <v>73</v>
      </c>
      <c r="C120" s="245"/>
      <c r="D120" s="245"/>
      <c r="E120" s="245"/>
      <c r="F120" s="245"/>
      <c r="G120" s="190"/>
      <c r="H120" s="97"/>
      <c r="I120" s="158"/>
      <c r="J120" s="159"/>
      <c r="K120" s="159"/>
      <c r="L120" s="159"/>
      <c r="M120" s="159"/>
      <c r="N120" s="159"/>
      <c r="O120" s="159"/>
      <c r="P120" s="159"/>
      <c r="Q120" s="159"/>
      <c r="R120" s="160"/>
      <c r="S120" s="164"/>
      <c r="T120" s="165"/>
      <c r="U120" s="165"/>
      <c r="V120" s="165"/>
      <c r="W120" s="166"/>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c r="BJ120" s="41"/>
      <c r="BK120" s="41"/>
    </row>
    <row r="121" spans="1:63" s="73" customFormat="1" ht="23.15" customHeight="1" x14ac:dyDescent="0.35">
      <c r="A121" s="79" t="s">
        <v>231</v>
      </c>
      <c r="B121" s="194"/>
      <c r="C121" s="195"/>
      <c r="D121" s="195"/>
      <c r="E121" s="195"/>
      <c r="F121" s="195"/>
      <c r="G121" s="189"/>
      <c r="H121" s="142"/>
      <c r="I121" s="155"/>
      <c r="J121" s="156"/>
      <c r="K121" s="156"/>
      <c r="L121" s="156"/>
      <c r="M121" s="156"/>
      <c r="N121" s="156"/>
      <c r="O121" s="156"/>
      <c r="P121" s="156"/>
      <c r="Q121" s="156"/>
      <c r="R121" s="157"/>
      <c r="S121" s="161"/>
      <c r="T121" s="162"/>
      <c r="U121" s="162"/>
      <c r="V121" s="162"/>
      <c r="W121" s="163"/>
      <c r="X121" s="137"/>
      <c r="Y121" s="137"/>
      <c r="Z121" s="137"/>
      <c r="AA121" s="137"/>
      <c r="AB121" s="137"/>
      <c r="AC121" s="137"/>
      <c r="AD121" s="137"/>
      <c r="AE121" s="137"/>
      <c r="AF121" s="137"/>
      <c r="AG121" s="137"/>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c r="BJ121" s="41"/>
      <c r="BK121" s="41"/>
    </row>
    <row r="122" spans="1:63" ht="23.15" customHeight="1" x14ac:dyDescent="0.35">
      <c r="A122" s="78" t="s">
        <v>149</v>
      </c>
      <c r="B122" s="192"/>
      <c r="C122" s="193"/>
      <c r="D122" s="193"/>
      <c r="E122" s="193"/>
      <c r="F122" s="193"/>
      <c r="G122" s="190"/>
      <c r="H122" s="97"/>
      <c r="I122" s="158"/>
      <c r="J122" s="159"/>
      <c r="K122" s="159"/>
      <c r="L122" s="159"/>
      <c r="M122" s="159"/>
      <c r="N122" s="159"/>
      <c r="O122" s="159"/>
      <c r="P122" s="159"/>
      <c r="Q122" s="159"/>
      <c r="R122" s="160"/>
      <c r="S122" s="164"/>
      <c r="T122" s="165"/>
      <c r="U122" s="165"/>
      <c r="V122" s="165"/>
      <c r="W122" s="166"/>
    </row>
    <row r="123" spans="1:63" ht="23.15" customHeight="1" x14ac:dyDescent="0.35">
      <c r="A123" s="79" t="s">
        <v>232</v>
      </c>
      <c r="B123" s="194"/>
      <c r="C123" s="195"/>
      <c r="D123" s="195"/>
      <c r="E123" s="195"/>
      <c r="F123" s="195"/>
      <c r="G123" s="189"/>
      <c r="H123" s="142"/>
      <c r="I123" s="155"/>
      <c r="J123" s="156"/>
      <c r="K123" s="156"/>
      <c r="L123" s="156"/>
      <c r="M123" s="156"/>
      <c r="N123" s="156"/>
      <c r="O123" s="156"/>
      <c r="P123" s="156"/>
      <c r="Q123" s="156"/>
      <c r="R123" s="157"/>
      <c r="S123" s="161"/>
      <c r="T123" s="162"/>
      <c r="U123" s="162"/>
      <c r="V123" s="162"/>
      <c r="W123" s="163"/>
    </row>
    <row r="124" spans="1:63" ht="23.15" customHeight="1" x14ac:dyDescent="0.35">
      <c r="A124" s="78" t="s">
        <v>149</v>
      </c>
      <c r="B124" s="192"/>
      <c r="C124" s="193"/>
      <c r="D124" s="193"/>
      <c r="E124" s="193"/>
      <c r="F124" s="193"/>
      <c r="G124" s="190"/>
      <c r="H124" s="97"/>
      <c r="I124" s="158"/>
      <c r="J124" s="159"/>
      <c r="K124" s="159"/>
      <c r="L124" s="159"/>
      <c r="M124" s="159"/>
      <c r="N124" s="159"/>
      <c r="O124" s="159"/>
      <c r="P124" s="159"/>
      <c r="Q124" s="159"/>
      <c r="R124" s="160"/>
      <c r="S124" s="164"/>
      <c r="T124" s="165"/>
      <c r="U124" s="165"/>
      <c r="V124" s="165"/>
      <c r="W124" s="166"/>
    </row>
    <row r="125" spans="1:63" ht="23.15" customHeight="1" x14ac:dyDescent="0.35">
      <c r="A125" s="79" t="s">
        <v>233</v>
      </c>
      <c r="B125" s="194"/>
      <c r="C125" s="195"/>
      <c r="D125" s="195"/>
      <c r="E125" s="195"/>
      <c r="F125" s="195"/>
      <c r="G125" s="189"/>
      <c r="H125" s="142"/>
      <c r="I125" s="155"/>
      <c r="J125" s="156"/>
      <c r="K125" s="156"/>
      <c r="L125" s="156"/>
      <c r="M125" s="156"/>
      <c r="N125" s="156"/>
      <c r="O125" s="156"/>
      <c r="P125" s="156"/>
      <c r="Q125" s="156"/>
      <c r="R125" s="157"/>
      <c r="S125" s="161"/>
      <c r="T125" s="162"/>
      <c r="U125" s="162"/>
      <c r="V125" s="162"/>
      <c r="W125" s="163"/>
    </row>
    <row r="126" spans="1:63" ht="23.15" customHeight="1" x14ac:dyDescent="0.35">
      <c r="A126" s="78" t="s">
        <v>149</v>
      </c>
      <c r="B126" s="192"/>
      <c r="C126" s="193"/>
      <c r="D126" s="193"/>
      <c r="E126" s="193"/>
      <c r="F126" s="193"/>
      <c r="G126" s="190"/>
      <c r="H126" s="97"/>
      <c r="I126" s="158"/>
      <c r="J126" s="159"/>
      <c r="K126" s="159"/>
      <c r="L126" s="159"/>
      <c r="M126" s="159"/>
      <c r="N126" s="159"/>
      <c r="O126" s="159"/>
      <c r="P126" s="159"/>
      <c r="Q126" s="159"/>
      <c r="R126" s="160"/>
      <c r="S126" s="164"/>
      <c r="T126" s="165"/>
      <c r="U126" s="165"/>
      <c r="V126" s="165"/>
      <c r="W126" s="166"/>
    </row>
    <row r="127" spans="1:63" ht="23.15" customHeight="1" x14ac:dyDescent="0.35">
      <c r="A127" s="79" t="s">
        <v>234</v>
      </c>
      <c r="B127" s="194"/>
      <c r="C127" s="195"/>
      <c r="D127" s="195"/>
      <c r="E127" s="195"/>
      <c r="F127" s="195"/>
      <c r="G127" s="189"/>
      <c r="H127" s="142"/>
      <c r="I127" s="155"/>
      <c r="J127" s="156"/>
      <c r="K127" s="156"/>
      <c r="L127" s="156"/>
      <c r="M127" s="156"/>
      <c r="N127" s="156"/>
      <c r="O127" s="156"/>
      <c r="P127" s="156"/>
      <c r="Q127" s="156"/>
      <c r="R127" s="157"/>
      <c r="S127" s="161"/>
      <c r="T127" s="162"/>
      <c r="U127" s="162"/>
      <c r="V127" s="162"/>
      <c r="W127" s="163"/>
    </row>
    <row r="128" spans="1:63" ht="23.15" customHeight="1" x14ac:dyDescent="0.35">
      <c r="A128" s="78" t="s">
        <v>149</v>
      </c>
      <c r="B128" s="192"/>
      <c r="C128" s="193"/>
      <c r="D128" s="193"/>
      <c r="E128" s="193"/>
      <c r="F128" s="193"/>
      <c r="G128" s="190"/>
      <c r="H128" s="97"/>
      <c r="I128" s="158"/>
      <c r="J128" s="159"/>
      <c r="K128" s="159"/>
      <c r="L128" s="159"/>
      <c r="M128" s="159"/>
      <c r="N128" s="159"/>
      <c r="O128" s="159"/>
      <c r="P128" s="159"/>
      <c r="Q128" s="159"/>
      <c r="R128" s="160"/>
      <c r="S128" s="164"/>
      <c r="T128" s="165"/>
      <c r="U128" s="165"/>
      <c r="V128" s="165"/>
      <c r="W128" s="166"/>
    </row>
    <row r="129" spans="1:23" ht="23.15" customHeight="1" x14ac:dyDescent="0.35">
      <c r="A129" s="79" t="s">
        <v>235</v>
      </c>
      <c r="B129" s="194"/>
      <c r="C129" s="195"/>
      <c r="D129" s="195"/>
      <c r="E129" s="195"/>
      <c r="F129" s="195"/>
      <c r="G129" s="189"/>
      <c r="H129" s="142"/>
      <c r="I129" s="155"/>
      <c r="J129" s="156"/>
      <c r="K129" s="156"/>
      <c r="L129" s="156"/>
      <c r="M129" s="156"/>
      <c r="N129" s="156"/>
      <c r="O129" s="156"/>
      <c r="P129" s="156"/>
      <c r="Q129" s="156"/>
      <c r="R129" s="157"/>
      <c r="S129" s="161"/>
      <c r="T129" s="162"/>
      <c r="U129" s="162"/>
      <c r="V129" s="162"/>
      <c r="W129" s="163"/>
    </row>
    <row r="130" spans="1:23" ht="23.15" customHeight="1" x14ac:dyDescent="0.35">
      <c r="A130" s="80" t="s">
        <v>149</v>
      </c>
      <c r="B130" s="196"/>
      <c r="C130" s="197"/>
      <c r="D130" s="197"/>
      <c r="E130" s="197"/>
      <c r="F130" s="197"/>
      <c r="G130" s="191"/>
      <c r="H130" s="2"/>
      <c r="I130" s="158"/>
      <c r="J130" s="159"/>
      <c r="K130" s="159"/>
      <c r="L130" s="159"/>
      <c r="M130" s="159"/>
      <c r="N130" s="159"/>
      <c r="O130" s="159"/>
      <c r="P130" s="159"/>
      <c r="Q130" s="159"/>
      <c r="R130" s="160"/>
      <c r="S130" s="164"/>
      <c r="T130" s="165"/>
      <c r="U130" s="165"/>
      <c r="V130" s="165"/>
      <c r="W130" s="166"/>
    </row>
    <row r="131" spans="1:23" ht="12.75" customHeight="1" x14ac:dyDescent="0.35">
      <c r="A131" s="150" t="s">
        <v>200</v>
      </c>
      <c r="B131" s="198" t="str">
        <f>IF(B154=TRUE,"OK",$A154)</f>
        <v>OK</v>
      </c>
      <c r="C131" s="199"/>
      <c r="D131" s="199"/>
      <c r="E131" s="199"/>
      <c r="F131" s="199"/>
      <c r="G131" s="145"/>
      <c r="H131" s="146"/>
      <c r="I131" s="146"/>
      <c r="J131" s="146"/>
      <c r="K131" s="146"/>
      <c r="L131" s="152"/>
      <c r="M131" s="152"/>
      <c r="N131" s="146"/>
      <c r="O131" s="146"/>
      <c r="P131" s="146"/>
      <c r="Q131" s="146"/>
      <c r="R131" s="146"/>
      <c r="S131" s="146"/>
      <c r="T131" s="146"/>
      <c r="U131" s="146"/>
      <c r="V131" s="146"/>
      <c r="W131" s="147"/>
    </row>
    <row r="132" spans="1:23" ht="12.75" hidden="1" customHeight="1" x14ac:dyDescent="0.35">
      <c r="A132" s="125">
        <v>1</v>
      </c>
      <c r="B132" s="169">
        <f>IF(B111&gt;0,1,0)</f>
        <v>1</v>
      </c>
      <c r="C132" s="169"/>
      <c r="D132" s="169"/>
      <c r="E132" s="169"/>
      <c r="F132" s="169"/>
      <c r="G132" s="122"/>
      <c r="H132" s="41"/>
      <c r="I132" s="41"/>
      <c r="J132" s="41"/>
      <c r="K132" s="41"/>
    </row>
    <row r="133" spans="1:23" s="82" customFormat="1" ht="14.25" hidden="1" customHeight="1" x14ac:dyDescent="0.35">
      <c r="A133" s="125">
        <v>2</v>
      </c>
      <c r="B133" s="169">
        <f>IF(B113&gt;0,1,0)</f>
        <v>1</v>
      </c>
      <c r="C133" s="169"/>
      <c r="D133" s="169"/>
      <c r="E133" s="169"/>
      <c r="F133" s="169"/>
      <c r="G133" s="81"/>
      <c r="L133" s="83"/>
      <c r="M133" s="83"/>
    </row>
    <row r="134" spans="1:23" hidden="1" x14ac:dyDescent="0.35">
      <c r="A134" s="125">
        <v>3</v>
      </c>
      <c r="B134" s="169">
        <f>IF(B115&gt;0,1,0)</f>
        <v>1</v>
      </c>
      <c r="C134" s="169"/>
      <c r="D134" s="169"/>
      <c r="E134" s="169"/>
      <c r="F134" s="169"/>
      <c r="G134" s="124"/>
      <c r="H134" s="124"/>
    </row>
    <row r="135" spans="1:23" hidden="1" x14ac:dyDescent="0.35">
      <c r="A135" s="125">
        <v>4</v>
      </c>
      <c r="B135" s="169">
        <f>IF(B117&gt;0,1,0)</f>
        <v>1</v>
      </c>
      <c r="C135" s="169"/>
      <c r="D135" s="169"/>
      <c r="E135" s="169"/>
      <c r="F135" s="169"/>
      <c r="G135" s="124"/>
      <c r="H135" s="124"/>
    </row>
    <row r="136" spans="1:23" hidden="1" x14ac:dyDescent="0.35">
      <c r="A136" s="125">
        <v>5</v>
      </c>
      <c r="B136" s="169">
        <f>IF(B119&gt;0,1,0)</f>
        <v>1</v>
      </c>
      <c r="C136" s="169"/>
      <c r="D136" s="169"/>
      <c r="E136" s="169"/>
      <c r="F136" s="169"/>
      <c r="G136" s="124"/>
      <c r="H136" s="124"/>
    </row>
    <row r="137" spans="1:23" hidden="1" x14ac:dyDescent="0.35">
      <c r="A137" s="125">
        <v>6</v>
      </c>
      <c r="B137" s="169">
        <f>IF(B121&gt;0,1,0)</f>
        <v>0</v>
      </c>
      <c r="C137" s="169"/>
      <c r="D137" s="169"/>
      <c r="E137" s="169"/>
      <c r="F137" s="169"/>
      <c r="G137" s="124"/>
      <c r="H137" s="124"/>
    </row>
    <row r="138" spans="1:23" hidden="1" x14ac:dyDescent="0.35">
      <c r="A138" s="125">
        <v>7</v>
      </c>
      <c r="B138" s="169">
        <f>IF(B123&gt;0,1,0)</f>
        <v>0</v>
      </c>
      <c r="C138" s="169"/>
      <c r="D138" s="169"/>
      <c r="E138" s="169"/>
      <c r="F138" s="169"/>
      <c r="G138" s="124"/>
      <c r="H138" s="124"/>
    </row>
    <row r="139" spans="1:23" hidden="1" x14ac:dyDescent="0.35">
      <c r="A139" s="125">
        <v>8</v>
      </c>
      <c r="B139" s="169">
        <f>IF(B125&gt;0,1,0)</f>
        <v>0</v>
      </c>
      <c r="C139" s="169"/>
      <c r="D139" s="169"/>
      <c r="E139" s="169"/>
      <c r="F139" s="169"/>
      <c r="G139" s="124"/>
      <c r="H139" s="124"/>
    </row>
    <row r="140" spans="1:23" hidden="1" x14ac:dyDescent="0.35">
      <c r="A140" s="125">
        <v>9</v>
      </c>
      <c r="B140" s="169">
        <f>IF(B127&gt;0,1,0)</f>
        <v>0</v>
      </c>
      <c r="C140" s="169"/>
      <c r="D140" s="169"/>
      <c r="E140" s="169"/>
      <c r="F140" s="169"/>
      <c r="G140" s="124"/>
      <c r="H140" s="124"/>
    </row>
    <row r="141" spans="1:23" hidden="1" x14ac:dyDescent="0.35">
      <c r="A141" s="125">
        <v>10</v>
      </c>
      <c r="B141" s="169">
        <f>IF(B129&gt;0,1,0)</f>
        <v>0</v>
      </c>
      <c r="C141" s="169"/>
      <c r="D141" s="169"/>
      <c r="E141" s="169"/>
      <c r="F141" s="169"/>
      <c r="G141" s="124"/>
      <c r="H141" s="124"/>
    </row>
    <row r="142" spans="1:23" hidden="1" x14ac:dyDescent="0.35">
      <c r="A142" s="125"/>
      <c r="B142" s="169">
        <f>SUM(B132:F141)</f>
        <v>5</v>
      </c>
      <c r="C142" s="169"/>
      <c r="D142" s="169"/>
      <c r="E142" s="169"/>
      <c r="F142" s="169"/>
      <c r="G142" s="124"/>
      <c r="H142" s="124"/>
    </row>
    <row r="143" spans="1:23" hidden="1" x14ac:dyDescent="0.35">
      <c r="A143" s="125">
        <v>1</v>
      </c>
      <c r="B143" s="169">
        <f>IF(B112&gt;0,1,0)</f>
        <v>1</v>
      </c>
      <c r="C143" s="169"/>
      <c r="D143" s="169"/>
      <c r="E143" s="169"/>
      <c r="F143" s="169"/>
      <c r="G143" s="124"/>
      <c r="H143" s="124"/>
    </row>
    <row r="144" spans="1:23" s="82" customFormat="1" ht="13" hidden="1" x14ac:dyDescent="0.35">
      <c r="A144" s="125">
        <v>2</v>
      </c>
      <c r="B144" s="169">
        <f>IF(B114&gt;0,1,0)</f>
        <v>1</v>
      </c>
      <c r="C144" s="169"/>
      <c r="D144" s="169"/>
      <c r="E144" s="169"/>
      <c r="F144" s="169"/>
      <c r="G144" s="81"/>
    </row>
    <row r="145" spans="1:44" s="82" customFormat="1" ht="13" hidden="1" x14ac:dyDescent="0.35">
      <c r="A145" s="125">
        <v>3</v>
      </c>
      <c r="B145" s="169">
        <f>IF(B116&gt;0,1,0)</f>
        <v>1</v>
      </c>
      <c r="C145" s="169"/>
      <c r="D145" s="169"/>
      <c r="E145" s="169"/>
      <c r="F145" s="169"/>
      <c r="G145" s="81"/>
    </row>
    <row r="146" spans="1:44" hidden="1" x14ac:dyDescent="0.35">
      <c r="A146" s="125">
        <v>4</v>
      </c>
      <c r="B146" s="169">
        <f>IF(B118&gt;0,1,0)</f>
        <v>1</v>
      </c>
      <c r="C146" s="169"/>
      <c r="D146" s="169"/>
      <c r="E146" s="169"/>
      <c r="F146" s="169"/>
      <c r="G146" s="124"/>
      <c r="H146" s="124"/>
    </row>
    <row r="147" spans="1:44" hidden="1" x14ac:dyDescent="0.35">
      <c r="A147" s="125">
        <v>5</v>
      </c>
      <c r="B147" s="169">
        <f>IF(B120&gt;0,1,0)</f>
        <v>1</v>
      </c>
      <c r="C147" s="169"/>
      <c r="D147" s="169"/>
      <c r="E147" s="169"/>
      <c r="F147" s="169"/>
      <c r="G147" s="124"/>
      <c r="H147" s="124"/>
    </row>
    <row r="148" spans="1:44" hidden="1" x14ac:dyDescent="0.35">
      <c r="A148" s="125">
        <v>6</v>
      </c>
      <c r="B148" s="169">
        <f>IF(B122&gt;0,1,0)</f>
        <v>0</v>
      </c>
      <c r="C148" s="169"/>
      <c r="D148" s="169"/>
      <c r="E148" s="169"/>
      <c r="F148" s="169"/>
      <c r="G148" s="124"/>
      <c r="H148" s="124"/>
    </row>
    <row r="149" spans="1:44" hidden="1" x14ac:dyDescent="0.35">
      <c r="A149" s="125">
        <v>7</v>
      </c>
      <c r="B149" s="169">
        <f>IF(B124&gt;0,1,0)</f>
        <v>0</v>
      </c>
      <c r="C149" s="169"/>
      <c r="D149" s="169"/>
      <c r="E149" s="169"/>
      <c r="F149" s="169"/>
      <c r="G149" s="124"/>
      <c r="H149" s="124"/>
    </row>
    <row r="150" spans="1:44" hidden="1" x14ac:dyDescent="0.35">
      <c r="A150" s="125">
        <v>8</v>
      </c>
      <c r="B150" s="169">
        <f>IF(B126&gt;0,1,0)</f>
        <v>0</v>
      </c>
      <c r="C150" s="169"/>
      <c r="D150" s="169"/>
      <c r="E150" s="169"/>
      <c r="F150" s="169"/>
      <c r="G150" s="124"/>
      <c r="H150" s="124"/>
    </row>
    <row r="151" spans="1:44" hidden="1" x14ac:dyDescent="0.35">
      <c r="A151" s="125">
        <v>9</v>
      </c>
      <c r="B151" s="169">
        <f>IF(B128&gt;0,1,0)</f>
        <v>0</v>
      </c>
      <c r="C151" s="169"/>
      <c r="D151" s="169"/>
      <c r="E151" s="169"/>
      <c r="F151" s="169"/>
      <c r="G151" s="124"/>
      <c r="H151" s="124"/>
    </row>
    <row r="152" spans="1:44" hidden="1" x14ac:dyDescent="0.35">
      <c r="A152" s="125">
        <v>10</v>
      </c>
      <c r="B152" s="169">
        <f>IF(B130&gt;0,1,0)</f>
        <v>0</v>
      </c>
      <c r="C152" s="169"/>
      <c r="D152" s="169"/>
      <c r="E152" s="169"/>
      <c r="F152" s="169"/>
      <c r="G152" s="124"/>
      <c r="H152" s="124"/>
    </row>
    <row r="153" spans="1:44" hidden="1" x14ac:dyDescent="0.35">
      <c r="A153" s="125"/>
      <c r="B153" s="169">
        <f>SUM(B143:F152)</f>
        <v>5</v>
      </c>
      <c r="C153" s="169"/>
      <c r="D153" s="169"/>
      <c r="E153" s="169"/>
      <c r="F153" s="169"/>
      <c r="G153" s="124"/>
      <c r="H153" s="124"/>
    </row>
    <row r="154" spans="1:44" hidden="1" x14ac:dyDescent="0.35">
      <c r="A154" s="125" t="s">
        <v>208</v>
      </c>
      <c r="B154" s="175" t="b">
        <f>B132+B133+B134+B135+B136+B137+B138+B139+B140+B141=B143+B144+B145+B146+B147+B148+B149+B150+B151+B152</f>
        <v>1</v>
      </c>
      <c r="C154" s="175"/>
      <c r="D154" s="175"/>
      <c r="E154" s="175"/>
      <c r="F154" s="175"/>
      <c r="G154" s="124"/>
      <c r="H154" s="124"/>
    </row>
    <row r="155" spans="1:44" hidden="1" x14ac:dyDescent="0.35">
      <c r="A155" s="125"/>
      <c r="B155" s="175"/>
      <c r="C155" s="175"/>
      <c r="D155" s="175"/>
      <c r="E155" s="175"/>
      <c r="F155" s="175"/>
      <c r="G155" s="124"/>
      <c r="H155" s="124"/>
    </row>
    <row r="156" spans="1:44" hidden="1" x14ac:dyDescent="0.35">
      <c r="A156" s="125"/>
      <c r="B156" s="175"/>
      <c r="C156" s="175"/>
      <c r="D156" s="175"/>
      <c r="E156" s="175"/>
      <c r="F156" s="175"/>
      <c r="G156" s="124"/>
      <c r="H156" s="124"/>
    </row>
    <row r="158" spans="1:44" ht="25.5" customHeight="1" x14ac:dyDescent="0.35">
      <c r="A158" s="84" t="s">
        <v>236</v>
      </c>
      <c r="B158" s="178" t="s">
        <v>237</v>
      </c>
      <c r="C158" s="179"/>
      <c r="D158" s="179"/>
      <c r="E158" s="179"/>
      <c r="F158" s="180"/>
      <c r="G158" s="136" t="s">
        <v>142</v>
      </c>
      <c r="H158" s="127" t="s">
        <v>149</v>
      </c>
      <c r="I158" s="246" t="s">
        <v>144</v>
      </c>
      <c r="J158" s="247"/>
      <c r="K158" s="247"/>
      <c r="L158" s="247"/>
      <c r="M158" s="247"/>
      <c r="N158" s="247"/>
      <c r="O158" s="247"/>
      <c r="P158" s="247"/>
      <c r="Q158" s="247"/>
      <c r="R158" s="248"/>
      <c r="S158" s="178" t="s">
        <v>145</v>
      </c>
      <c r="T158" s="179"/>
      <c r="U158" s="179"/>
      <c r="V158" s="179"/>
      <c r="W158" s="180"/>
      <c r="Y158" s="135" t="s">
        <v>238</v>
      </c>
      <c r="AA158" s="69"/>
      <c r="AB158" s="69"/>
      <c r="AF158" s="133" t="s">
        <v>131</v>
      </c>
      <c r="AG158" s="120" t="s">
        <v>133</v>
      </c>
      <c r="AH158" s="121" t="s">
        <v>134</v>
      </c>
      <c r="AI158" s="133" t="s">
        <v>135</v>
      </c>
      <c r="AJ158" s="120" t="s">
        <v>136</v>
      </c>
      <c r="AK158" s="121" t="s">
        <v>137</v>
      </c>
      <c r="AL158" s="133" t="s">
        <v>138</v>
      </c>
      <c r="AM158" s="120" t="s">
        <v>139</v>
      </c>
      <c r="AN158" s="121" t="s">
        <v>140</v>
      </c>
      <c r="AO158" s="133" t="s">
        <v>239</v>
      </c>
      <c r="AP158" s="120" t="s">
        <v>240</v>
      </c>
      <c r="AR158" s="41" t="s">
        <v>197</v>
      </c>
    </row>
    <row r="159" spans="1:44" ht="23.15" customHeight="1" x14ac:dyDescent="0.35">
      <c r="A159" s="124">
        <v>1</v>
      </c>
      <c r="B159" s="129" t="s">
        <v>241</v>
      </c>
      <c r="C159" s="130"/>
      <c r="D159" s="130"/>
      <c r="E159" s="130"/>
      <c r="F159" s="130"/>
      <c r="G159" s="94">
        <v>42180</v>
      </c>
      <c r="H159" s="95" t="str">
        <f>IF(AND(AO159=TRUE,AP159=TRUE),"Универсал","")</f>
        <v>Универсал</v>
      </c>
      <c r="I159" s="109"/>
      <c r="J159" s="110" t="s">
        <v>131</v>
      </c>
      <c r="K159" s="110" t="s">
        <v>133</v>
      </c>
      <c r="L159" s="110" t="s">
        <v>134</v>
      </c>
      <c r="M159" s="110" t="s">
        <v>135</v>
      </c>
      <c r="N159" s="110" t="s">
        <v>136</v>
      </c>
      <c r="O159" s="110" t="s">
        <v>137</v>
      </c>
      <c r="P159" s="110" t="s">
        <v>138</v>
      </c>
      <c r="Q159" s="110" t="s">
        <v>139</v>
      </c>
      <c r="R159" s="110" t="s">
        <v>140</v>
      </c>
      <c r="S159" s="181" t="s">
        <v>134</v>
      </c>
      <c r="T159" s="181"/>
      <c r="U159" s="181"/>
      <c r="V159" s="181"/>
      <c r="W159" s="182"/>
      <c r="Y159" s="85">
        <f>COUNTA(J159:R159)</f>
        <v>9</v>
      </c>
      <c r="AA159" s="69"/>
      <c r="AB159" s="69"/>
      <c r="AF159" s="115">
        <f>IF(COUNTIF($J159:$R159,AF$158)&gt;0,1,0)</f>
        <v>1</v>
      </c>
      <c r="AG159" s="115">
        <f t="shared" ref="AG159:AN174" si="2">IF(COUNTIF($J159:$R159,AG$158)&gt;0,1,0)</f>
        <v>1</v>
      </c>
      <c r="AH159" s="115">
        <f t="shared" si="2"/>
        <v>1</v>
      </c>
      <c r="AI159" s="115">
        <f t="shared" si="2"/>
        <v>1</v>
      </c>
      <c r="AJ159" s="115">
        <f t="shared" si="2"/>
        <v>1</v>
      </c>
      <c r="AK159" s="115">
        <f t="shared" si="2"/>
        <v>1</v>
      </c>
      <c r="AL159" s="115">
        <f t="shared" si="2"/>
        <v>1</v>
      </c>
      <c r="AM159" s="115">
        <f t="shared" si="2"/>
        <v>1</v>
      </c>
      <c r="AN159" s="115">
        <f t="shared" si="2"/>
        <v>1</v>
      </c>
      <c r="AO159" s="118" t="b">
        <f>IF(COUNTIF(AG159:AI159,0)&gt;0,FALSE,TRUE)</f>
        <v>1</v>
      </c>
      <c r="AP159" s="119" t="b">
        <f>IF(SUM(AG159:AI159)=3,TRUE,FALSE)</f>
        <v>1</v>
      </c>
    </row>
    <row r="160" spans="1:44" ht="23.15" customHeight="1" x14ac:dyDescent="0.35">
      <c r="A160" s="124">
        <v>2</v>
      </c>
      <c r="B160" s="129" t="s">
        <v>242</v>
      </c>
      <c r="C160" s="130"/>
      <c r="D160" s="130"/>
      <c r="E160" s="130"/>
      <c r="F160" s="130"/>
      <c r="G160" s="94">
        <v>41906</v>
      </c>
      <c r="H160" s="95" t="str">
        <f t="shared" ref="H160:H223" si="3">IF(AND(AO160=TRUE,AP160=TRUE),"Универсал","")</f>
        <v>Универсал</v>
      </c>
      <c r="I160" s="109"/>
      <c r="J160" s="110" t="s">
        <v>134</v>
      </c>
      <c r="K160" s="110" t="s">
        <v>131</v>
      </c>
      <c r="L160" s="110" t="s">
        <v>138</v>
      </c>
      <c r="M160" s="110" t="s">
        <v>184</v>
      </c>
      <c r="N160" s="110" t="s">
        <v>136</v>
      </c>
      <c r="O160" s="110" t="s">
        <v>136</v>
      </c>
      <c r="P160" s="110" t="s">
        <v>135</v>
      </c>
      <c r="Q160" s="110" t="s">
        <v>135</v>
      </c>
      <c r="R160" s="110" t="s">
        <v>133</v>
      </c>
      <c r="S160" s="181" t="s">
        <v>243</v>
      </c>
      <c r="T160" s="181"/>
      <c r="U160" s="181"/>
      <c r="V160" s="181"/>
      <c r="W160" s="182"/>
      <c r="Y160" s="85">
        <f t="shared" ref="Y160:Y223" si="4">COUNTA(J160:R160)</f>
        <v>9</v>
      </c>
      <c r="AA160" s="69"/>
      <c r="AB160" s="69"/>
      <c r="AF160" s="115">
        <f t="shared" ref="AF160:AN175" si="5">IF(COUNTIF($J160:$R160,AF$158)&gt;0,1,0)</f>
        <v>1</v>
      </c>
      <c r="AG160" s="115">
        <f t="shared" si="2"/>
        <v>1</v>
      </c>
      <c r="AH160" s="115">
        <f t="shared" si="2"/>
        <v>1</v>
      </c>
      <c r="AI160" s="115">
        <f t="shared" si="2"/>
        <v>1</v>
      </c>
      <c r="AJ160" s="115">
        <f t="shared" si="2"/>
        <v>1</v>
      </c>
      <c r="AK160" s="115">
        <f t="shared" si="2"/>
        <v>0</v>
      </c>
      <c r="AL160" s="115">
        <f t="shared" si="2"/>
        <v>1</v>
      </c>
      <c r="AM160" s="115">
        <f t="shared" si="2"/>
        <v>0</v>
      </c>
      <c r="AN160" s="115">
        <f t="shared" si="2"/>
        <v>0</v>
      </c>
      <c r="AO160" s="118" t="b">
        <f t="shared" ref="AO160:AO223" si="6">IF(COUNTIF(AG160:AI160,0)&gt;0,FALSE,TRUE)</f>
        <v>1</v>
      </c>
      <c r="AP160" s="119" t="b">
        <f t="shared" ref="AP160:AP223" si="7">IF(SUM(AG160:AI160)=3,TRUE,FALSE)</f>
        <v>1</v>
      </c>
    </row>
    <row r="161" spans="1:42" ht="23.15" customHeight="1" x14ac:dyDescent="0.35">
      <c r="A161" s="124">
        <v>3</v>
      </c>
      <c r="B161" s="129" t="s">
        <v>244</v>
      </c>
      <c r="C161" s="130"/>
      <c r="D161" s="130"/>
      <c r="E161" s="130"/>
      <c r="F161" s="130"/>
      <c r="G161" s="94">
        <v>42058</v>
      </c>
      <c r="H161" s="95" t="str">
        <f t="shared" si="3"/>
        <v>Универсал</v>
      </c>
      <c r="I161" s="109"/>
      <c r="J161" s="110" t="s">
        <v>133</v>
      </c>
      <c r="K161" s="110" t="s">
        <v>135</v>
      </c>
      <c r="L161" s="110" t="s">
        <v>134</v>
      </c>
      <c r="M161" s="110" t="s">
        <v>134</v>
      </c>
      <c r="N161" s="110" t="s">
        <v>138</v>
      </c>
      <c r="O161" s="110" t="s">
        <v>134</v>
      </c>
      <c r="P161" s="110" t="s">
        <v>135</v>
      </c>
      <c r="Q161" s="110"/>
      <c r="R161" s="110" t="s">
        <v>139</v>
      </c>
      <c r="S161" s="181" t="s">
        <v>245</v>
      </c>
      <c r="T161" s="181"/>
      <c r="U161" s="181"/>
      <c r="V161" s="181"/>
      <c r="W161" s="182"/>
      <c r="Y161" s="85">
        <f t="shared" si="4"/>
        <v>8</v>
      </c>
      <c r="AA161" s="69"/>
      <c r="AB161" s="69"/>
      <c r="AF161" s="115">
        <f t="shared" si="5"/>
        <v>0</v>
      </c>
      <c r="AG161" s="115">
        <f t="shared" si="2"/>
        <v>1</v>
      </c>
      <c r="AH161" s="115">
        <f t="shared" si="2"/>
        <v>1</v>
      </c>
      <c r="AI161" s="115">
        <f t="shared" si="2"/>
        <v>1</v>
      </c>
      <c r="AJ161" s="115">
        <f t="shared" si="2"/>
        <v>0</v>
      </c>
      <c r="AK161" s="115">
        <f t="shared" si="2"/>
        <v>0</v>
      </c>
      <c r="AL161" s="115">
        <f t="shared" si="2"/>
        <v>1</v>
      </c>
      <c r="AM161" s="115">
        <f t="shared" si="2"/>
        <v>1</v>
      </c>
      <c r="AN161" s="115">
        <f t="shared" si="2"/>
        <v>0</v>
      </c>
      <c r="AO161" s="118" t="b">
        <f t="shared" si="6"/>
        <v>1</v>
      </c>
      <c r="AP161" s="119" t="b">
        <f t="shared" si="7"/>
        <v>1</v>
      </c>
    </row>
    <row r="162" spans="1:42" ht="23.15" customHeight="1" x14ac:dyDescent="0.35">
      <c r="A162" s="124">
        <v>4</v>
      </c>
      <c r="B162" s="129" t="s">
        <v>246</v>
      </c>
      <c r="C162" s="130"/>
      <c r="D162" s="130"/>
      <c r="E162" s="130"/>
      <c r="F162" s="130"/>
      <c r="G162" s="94">
        <v>41961</v>
      </c>
      <c r="H162" s="95" t="str">
        <f t="shared" si="3"/>
        <v/>
      </c>
      <c r="I162" s="109"/>
      <c r="J162" s="110" t="s">
        <v>133</v>
      </c>
      <c r="K162" s="110"/>
      <c r="L162" s="110"/>
      <c r="M162" s="110" t="s">
        <v>135</v>
      </c>
      <c r="N162" s="110"/>
      <c r="O162" s="110"/>
      <c r="P162" s="110"/>
      <c r="Q162" s="110"/>
      <c r="R162" s="110"/>
      <c r="S162" s="181"/>
      <c r="T162" s="181"/>
      <c r="U162" s="181"/>
      <c r="V162" s="181"/>
      <c r="W162" s="182"/>
      <c r="Y162" s="85">
        <f t="shared" si="4"/>
        <v>2</v>
      </c>
      <c r="AA162" s="69"/>
      <c r="AB162" s="69"/>
      <c r="AF162" s="115">
        <f t="shared" si="5"/>
        <v>0</v>
      </c>
      <c r="AG162" s="115">
        <f t="shared" si="2"/>
        <v>1</v>
      </c>
      <c r="AH162" s="115">
        <f t="shared" si="2"/>
        <v>0</v>
      </c>
      <c r="AI162" s="115">
        <f t="shared" si="2"/>
        <v>1</v>
      </c>
      <c r="AJ162" s="115">
        <f t="shared" si="2"/>
        <v>0</v>
      </c>
      <c r="AK162" s="115">
        <f t="shared" si="2"/>
        <v>0</v>
      </c>
      <c r="AL162" s="115">
        <f t="shared" si="2"/>
        <v>0</v>
      </c>
      <c r="AM162" s="115">
        <f t="shared" si="2"/>
        <v>0</v>
      </c>
      <c r="AN162" s="115">
        <f t="shared" si="2"/>
        <v>0</v>
      </c>
      <c r="AO162" s="118" t="b">
        <f t="shared" si="6"/>
        <v>0</v>
      </c>
      <c r="AP162" s="119" t="b">
        <f t="shared" si="7"/>
        <v>0</v>
      </c>
    </row>
    <row r="163" spans="1:42" ht="23.15" customHeight="1" x14ac:dyDescent="0.35">
      <c r="A163" s="124">
        <v>5</v>
      </c>
      <c r="B163" s="129" t="s">
        <v>247</v>
      </c>
      <c r="C163" s="130"/>
      <c r="D163" s="130"/>
      <c r="E163" s="130"/>
      <c r="F163" s="130"/>
      <c r="G163" s="94">
        <v>41941</v>
      </c>
      <c r="H163" s="95" t="str">
        <f t="shared" si="3"/>
        <v/>
      </c>
      <c r="I163" s="109"/>
      <c r="J163" s="110" t="s">
        <v>134</v>
      </c>
      <c r="K163" s="110" t="s">
        <v>136</v>
      </c>
      <c r="L163" s="110" t="s">
        <v>137</v>
      </c>
      <c r="M163" s="110" t="s">
        <v>138</v>
      </c>
      <c r="N163" s="110" t="s">
        <v>137</v>
      </c>
      <c r="O163" s="110" t="s">
        <v>137</v>
      </c>
      <c r="P163" s="110" t="s">
        <v>137</v>
      </c>
      <c r="Q163" s="110"/>
      <c r="R163" s="110" t="s">
        <v>136</v>
      </c>
      <c r="S163" s="181"/>
      <c r="T163" s="181"/>
      <c r="U163" s="181"/>
      <c r="V163" s="181"/>
      <c r="W163" s="182"/>
      <c r="Y163" s="85">
        <f t="shared" si="4"/>
        <v>8</v>
      </c>
      <c r="AA163" s="69"/>
      <c r="AB163" s="69"/>
      <c r="AF163" s="115">
        <f t="shared" si="5"/>
        <v>0</v>
      </c>
      <c r="AG163" s="115">
        <f t="shared" si="2"/>
        <v>0</v>
      </c>
      <c r="AH163" s="115">
        <f t="shared" si="2"/>
        <v>1</v>
      </c>
      <c r="AI163" s="115">
        <f t="shared" si="2"/>
        <v>0</v>
      </c>
      <c r="AJ163" s="115">
        <f t="shared" si="2"/>
        <v>1</v>
      </c>
      <c r="AK163" s="115">
        <f t="shared" si="2"/>
        <v>1</v>
      </c>
      <c r="AL163" s="115">
        <f t="shared" si="2"/>
        <v>1</v>
      </c>
      <c r="AM163" s="115">
        <f t="shared" si="2"/>
        <v>0</v>
      </c>
      <c r="AN163" s="115">
        <f t="shared" si="2"/>
        <v>0</v>
      </c>
      <c r="AO163" s="118" t="b">
        <f t="shared" si="6"/>
        <v>0</v>
      </c>
      <c r="AP163" s="119" t="b">
        <f t="shared" si="7"/>
        <v>0</v>
      </c>
    </row>
    <row r="164" spans="1:42" ht="23.15" customHeight="1" x14ac:dyDescent="0.35">
      <c r="A164" s="124">
        <v>6</v>
      </c>
      <c r="B164" s="129" t="s">
        <v>248</v>
      </c>
      <c r="C164" s="130"/>
      <c r="D164" s="130"/>
      <c r="E164" s="130"/>
      <c r="F164" s="130"/>
      <c r="G164" s="94">
        <v>42048</v>
      </c>
      <c r="H164" s="95" t="str">
        <f t="shared" si="3"/>
        <v/>
      </c>
      <c r="I164" s="109"/>
      <c r="J164" s="110"/>
      <c r="K164" s="110"/>
      <c r="L164" s="110"/>
      <c r="M164" s="110" t="s">
        <v>134</v>
      </c>
      <c r="N164" s="110"/>
      <c r="O164" s="110"/>
      <c r="P164" s="110"/>
      <c r="Q164" s="110"/>
      <c r="R164" s="110"/>
      <c r="S164" s="181"/>
      <c r="T164" s="181"/>
      <c r="U164" s="181"/>
      <c r="V164" s="181"/>
      <c r="W164" s="182"/>
      <c r="Y164" s="85">
        <f t="shared" si="4"/>
        <v>1</v>
      </c>
      <c r="AA164" s="69"/>
      <c r="AB164" s="69"/>
      <c r="AF164" s="115">
        <f t="shared" si="5"/>
        <v>0</v>
      </c>
      <c r="AG164" s="115">
        <f t="shared" si="2"/>
        <v>0</v>
      </c>
      <c r="AH164" s="115">
        <f t="shared" si="2"/>
        <v>1</v>
      </c>
      <c r="AI164" s="115">
        <f t="shared" si="2"/>
        <v>0</v>
      </c>
      <c r="AJ164" s="115">
        <f t="shared" si="2"/>
        <v>0</v>
      </c>
      <c r="AK164" s="115">
        <f t="shared" si="2"/>
        <v>0</v>
      </c>
      <c r="AL164" s="115">
        <f t="shared" si="2"/>
        <v>0</v>
      </c>
      <c r="AM164" s="115">
        <f t="shared" si="2"/>
        <v>0</v>
      </c>
      <c r="AN164" s="115">
        <f t="shared" si="2"/>
        <v>0</v>
      </c>
      <c r="AO164" s="118" t="b">
        <f t="shared" si="6"/>
        <v>0</v>
      </c>
      <c r="AP164" s="119" t="b">
        <f t="shared" si="7"/>
        <v>0</v>
      </c>
    </row>
    <row r="165" spans="1:42" ht="23.15" customHeight="1" x14ac:dyDescent="0.35">
      <c r="A165" s="124">
        <v>7</v>
      </c>
      <c r="B165" s="129" t="s">
        <v>249</v>
      </c>
      <c r="C165" s="130"/>
      <c r="D165" s="130"/>
      <c r="E165" s="130"/>
      <c r="F165" s="130"/>
      <c r="G165" s="94">
        <v>42097</v>
      </c>
      <c r="H165" s="95" t="str">
        <f t="shared" si="3"/>
        <v/>
      </c>
      <c r="I165" s="109"/>
      <c r="J165" s="110"/>
      <c r="K165" s="110"/>
      <c r="L165" s="110"/>
      <c r="M165" s="110"/>
      <c r="N165" s="110"/>
      <c r="O165" s="110"/>
      <c r="P165" s="110"/>
      <c r="Q165" s="110"/>
      <c r="R165" s="110"/>
      <c r="S165" s="181"/>
      <c r="T165" s="181"/>
      <c r="U165" s="181"/>
      <c r="V165" s="181"/>
      <c r="W165" s="182"/>
      <c r="Y165" s="85">
        <f t="shared" si="4"/>
        <v>0</v>
      </c>
      <c r="AA165" s="69"/>
      <c r="AB165" s="69"/>
      <c r="AF165" s="115">
        <f t="shared" si="5"/>
        <v>0</v>
      </c>
      <c r="AG165" s="115">
        <f t="shared" si="2"/>
        <v>0</v>
      </c>
      <c r="AH165" s="115">
        <f t="shared" si="2"/>
        <v>0</v>
      </c>
      <c r="AI165" s="115">
        <f t="shared" si="2"/>
        <v>0</v>
      </c>
      <c r="AJ165" s="115">
        <f t="shared" si="2"/>
        <v>0</v>
      </c>
      <c r="AK165" s="115">
        <f t="shared" si="2"/>
        <v>0</v>
      </c>
      <c r="AL165" s="115">
        <f t="shared" si="2"/>
        <v>0</v>
      </c>
      <c r="AM165" s="115">
        <f t="shared" si="2"/>
        <v>0</v>
      </c>
      <c r="AN165" s="115">
        <f t="shared" si="2"/>
        <v>0</v>
      </c>
      <c r="AO165" s="118" t="b">
        <f t="shared" si="6"/>
        <v>0</v>
      </c>
      <c r="AP165" s="119" t="b">
        <f t="shared" si="7"/>
        <v>0</v>
      </c>
    </row>
    <row r="166" spans="1:42" ht="23.15" customHeight="1" x14ac:dyDescent="0.35">
      <c r="A166" s="124">
        <v>8</v>
      </c>
      <c r="B166" s="129" t="s">
        <v>250</v>
      </c>
      <c r="C166" s="130"/>
      <c r="D166" s="130"/>
      <c r="E166" s="130"/>
      <c r="F166" s="130"/>
      <c r="G166" s="94">
        <v>42035</v>
      </c>
      <c r="H166" s="95" t="str">
        <f t="shared" si="3"/>
        <v/>
      </c>
      <c r="I166" s="109"/>
      <c r="J166" s="110"/>
      <c r="K166" s="110"/>
      <c r="L166" s="110"/>
      <c r="M166" s="110"/>
      <c r="N166" s="110"/>
      <c r="O166" s="110"/>
      <c r="P166" s="110"/>
      <c r="Q166" s="110"/>
      <c r="R166" s="110"/>
      <c r="S166" s="181" t="s">
        <v>251</v>
      </c>
      <c r="T166" s="181"/>
      <c r="U166" s="181"/>
      <c r="V166" s="181"/>
      <c r="W166" s="182"/>
      <c r="Y166" s="85">
        <f t="shared" si="4"/>
        <v>0</v>
      </c>
      <c r="AA166" s="69"/>
      <c r="AB166" s="69"/>
      <c r="AF166" s="115">
        <f t="shared" si="5"/>
        <v>0</v>
      </c>
      <c r="AG166" s="115">
        <f t="shared" si="2"/>
        <v>0</v>
      </c>
      <c r="AH166" s="115">
        <f t="shared" si="2"/>
        <v>0</v>
      </c>
      <c r="AI166" s="115">
        <f t="shared" si="2"/>
        <v>0</v>
      </c>
      <c r="AJ166" s="115">
        <f t="shared" si="2"/>
        <v>0</v>
      </c>
      <c r="AK166" s="115">
        <f t="shared" si="2"/>
        <v>0</v>
      </c>
      <c r="AL166" s="115">
        <f t="shared" si="2"/>
        <v>0</v>
      </c>
      <c r="AM166" s="115">
        <f t="shared" si="2"/>
        <v>0</v>
      </c>
      <c r="AN166" s="115">
        <f t="shared" si="2"/>
        <v>0</v>
      </c>
      <c r="AO166" s="118" t="b">
        <f t="shared" si="6"/>
        <v>0</v>
      </c>
      <c r="AP166" s="119" t="b">
        <f t="shared" si="7"/>
        <v>0</v>
      </c>
    </row>
    <row r="167" spans="1:42" ht="23.15" customHeight="1" x14ac:dyDescent="0.35">
      <c r="A167" s="124">
        <v>9</v>
      </c>
      <c r="B167" s="129" t="s">
        <v>252</v>
      </c>
      <c r="C167" s="130"/>
      <c r="D167" s="130"/>
      <c r="E167" s="130"/>
      <c r="F167" s="130"/>
      <c r="G167" s="94">
        <v>42117</v>
      </c>
      <c r="H167" s="95" t="str">
        <f t="shared" si="3"/>
        <v/>
      </c>
      <c r="I167" s="109"/>
      <c r="J167" s="110"/>
      <c r="K167" s="110"/>
      <c r="L167" s="110"/>
      <c r="M167" s="110"/>
      <c r="N167" s="110"/>
      <c r="O167" s="110"/>
      <c r="P167" s="110"/>
      <c r="Q167" s="110"/>
      <c r="R167" s="110"/>
      <c r="S167" s="181" t="s">
        <v>253</v>
      </c>
      <c r="T167" s="181"/>
      <c r="U167" s="181"/>
      <c r="V167" s="181"/>
      <c r="W167" s="182"/>
      <c r="Y167" s="85">
        <f t="shared" si="4"/>
        <v>0</v>
      </c>
      <c r="AA167" s="69"/>
      <c r="AB167" s="69"/>
      <c r="AF167" s="115">
        <f t="shared" si="5"/>
        <v>0</v>
      </c>
      <c r="AG167" s="115">
        <f t="shared" si="2"/>
        <v>0</v>
      </c>
      <c r="AH167" s="115">
        <f t="shared" si="2"/>
        <v>0</v>
      </c>
      <c r="AI167" s="115">
        <f t="shared" si="2"/>
        <v>0</v>
      </c>
      <c r="AJ167" s="115">
        <f t="shared" si="2"/>
        <v>0</v>
      </c>
      <c r="AK167" s="115">
        <f t="shared" si="2"/>
        <v>0</v>
      </c>
      <c r="AL167" s="115">
        <f t="shared" si="2"/>
        <v>0</v>
      </c>
      <c r="AM167" s="115">
        <f t="shared" si="2"/>
        <v>0</v>
      </c>
      <c r="AN167" s="115">
        <f t="shared" si="2"/>
        <v>0</v>
      </c>
      <c r="AO167" s="118" t="b">
        <f t="shared" si="6"/>
        <v>0</v>
      </c>
      <c r="AP167" s="119" t="b">
        <f t="shared" si="7"/>
        <v>0</v>
      </c>
    </row>
    <row r="168" spans="1:42" ht="23.15" customHeight="1" x14ac:dyDescent="0.35">
      <c r="A168" s="124">
        <v>10</v>
      </c>
      <c r="B168" s="129" t="s">
        <v>254</v>
      </c>
      <c r="C168" s="130"/>
      <c r="D168" s="130"/>
      <c r="E168" s="130"/>
      <c r="F168" s="130"/>
      <c r="G168" s="94">
        <v>42193</v>
      </c>
      <c r="H168" s="95" t="str">
        <f t="shared" si="3"/>
        <v/>
      </c>
      <c r="I168" s="109"/>
      <c r="J168" s="110"/>
      <c r="K168" s="110"/>
      <c r="L168" s="110"/>
      <c r="M168" s="110"/>
      <c r="N168" s="110"/>
      <c r="O168" s="110"/>
      <c r="P168" s="110"/>
      <c r="Q168" s="110"/>
      <c r="R168" s="110"/>
      <c r="S168" s="181"/>
      <c r="T168" s="181"/>
      <c r="U168" s="181"/>
      <c r="V168" s="181"/>
      <c r="W168" s="182"/>
      <c r="Y168" s="85">
        <f t="shared" si="4"/>
        <v>0</v>
      </c>
      <c r="AA168" s="69"/>
      <c r="AB168" s="69"/>
      <c r="AF168" s="115">
        <f t="shared" si="5"/>
        <v>0</v>
      </c>
      <c r="AG168" s="115">
        <f t="shared" si="2"/>
        <v>0</v>
      </c>
      <c r="AH168" s="115">
        <f t="shared" si="2"/>
        <v>0</v>
      </c>
      <c r="AI168" s="115">
        <f t="shared" si="2"/>
        <v>0</v>
      </c>
      <c r="AJ168" s="115">
        <f t="shared" si="2"/>
        <v>0</v>
      </c>
      <c r="AK168" s="115">
        <f t="shared" si="2"/>
        <v>0</v>
      </c>
      <c r="AL168" s="115">
        <f t="shared" si="2"/>
        <v>0</v>
      </c>
      <c r="AM168" s="115">
        <f t="shared" si="2"/>
        <v>0</v>
      </c>
      <c r="AN168" s="115">
        <f t="shared" si="2"/>
        <v>0</v>
      </c>
      <c r="AO168" s="118" t="b">
        <f t="shared" si="6"/>
        <v>0</v>
      </c>
      <c r="AP168" s="119" t="b">
        <f t="shared" si="7"/>
        <v>0</v>
      </c>
    </row>
    <row r="169" spans="1:42" ht="23.15" customHeight="1" x14ac:dyDescent="0.35">
      <c r="A169" s="124">
        <v>11</v>
      </c>
      <c r="B169" s="129" t="s">
        <v>255</v>
      </c>
      <c r="C169" s="130"/>
      <c r="D169" s="130"/>
      <c r="E169" s="130"/>
      <c r="F169" s="130"/>
      <c r="G169" s="94">
        <v>42279</v>
      </c>
      <c r="H169" s="95" t="str">
        <f t="shared" si="3"/>
        <v/>
      </c>
      <c r="I169" s="109"/>
      <c r="J169" s="110"/>
      <c r="K169" s="110"/>
      <c r="L169" s="110"/>
      <c r="M169" s="110"/>
      <c r="N169" s="110"/>
      <c r="O169" s="110"/>
      <c r="P169" s="110"/>
      <c r="Q169" s="110"/>
      <c r="R169" s="110"/>
      <c r="S169" s="181" t="s">
        <v>256</v>
      </c>
      <c r="T169" s="181"/>
      <c r="U169" s="181"/>
      <c r="V169" s="181"/>
      <c r="W169" s="182"/>
      <c r="Y169" s="85">
        <f t="shared" si="4"/>
        <v>0</v>
      </c>
      <c r="AA169" s="69"/>
      <c r="AB169" s="69"/>
      <c r="AF169" s="115">
        <f t="shared" si="5"/>
        <v>0</v>
      </c>
      <c r="AG169" s="115">
        <f t="shared" si="2"/>
        <v>0</v>
      </c>
      <c r="AH169" s="115">
        <f t="shared" si="2"/>
        <v>0</v>
      </c>
      <c r="AI169" s="115">
        <f t="shared" si="2"/>
        <v>0</v>
      </c>
      <c r="AJ169" s="115">
        <f t="shared" si="2"/>
        <v>0</v>
      </c>
      <c r="AK169" s="115">
        <f t="shared" si="2"/>
        <v>0</v>
      </c>
      <c r="AL169" s="115">
        <f t="shared" si="2"/>
        <v>0</v>
      </c>
      <c r="AM169" s="115">
        <f t="shared" si="2"/>
        <v>0</v>
      </c>
      <c r="AN169" s="115">
        <f t="shared" si="2"/>
        <v>0</v>
      </c>
      <c r="AO169" s="118" t="b">
        <f t="shared" si="6"/>
        <v>0</v>
      </c>
      <c r="AP169" s="119" t="b">
        <f t="shared" si="7"/>
        <v>0</v>
      </c>
    </row>
    <row r="170" spans="1:42" ht="23.15" customHeight="1" x14ac:dyDescent="0.35">
      <c r="A170" s="124">
        <v>12</v>
      </c>
      <c r="B170" s="129" t="s">
        <v>257</v>
      </c>
      <c r="C170" s="130"/>
      <c r="D170" s="130"/>
      <c r="E170" s="130"/>
      <c r="F170" s="130"/>
      <c r="G170" s="94">
        <v>42285</v>
      </c>
      <c r="H170" s="95" t="str">
        <f t="shared" si="3"/>
        <v/>
      </c>
      <c r="I170" s="109"/>
      <c r="J170" s="110"/>
      <c r="K170" s="110"/>
      <c r="L170" s="110"/>
      <c r="M170" s="110"/>
      <c r="N170" s="110"/>
      <c r="O170" s="110"/>
      <c r="P170" s="110"/>
      <c r="Q170" s="110"/>
      <c r="R170" s="110"/>
      <c r="S170" s="181"/>
      <c r="T170" s="181"/>
      <c r="U170" s="181"/>
      <c r="V170" s="181"/>
      <c r="W170" s="182"/>
      <c r="Y170" s="85">
        <f t="shared" si="4"/>
        <v>0</v>
      </c>
      <c r="AF170" s="115">
        <f t="shared" si="5"/>
        <v>0</v>
      </c>
      <c r="AG170" s="115">
        <f t="shared" si="2"/>
        <v>0</v>
      </c>
      <c r="AH170" s="115">
        <f t="shared" si="2"/>
        <v>0</v>
      </c>
      <c r="AI170" s="115">
        <f t="shared" si="2"/>
        <v>0</v>
      </c>
      <c r="AJ170" s="115">
        <f t="shared" si="2"/>
        <v>0</v>
      </c>
      <c r="AK170" s="115">
        <f t="shared" si="2"/>
        <v>0</v>
      </c>
      <c r="AL170" s="115">
        <f t="shared" si="2"/>
        <v>0</v>
      </c>
      <c r="AM170" s="115">
        <f t="shared" si="2"/>
        <v>0</v>
      </c>
      <c r="AN170" s="115">
        <f t="shared" si="2"/>
        <v>0</v>
      </c>
      <c r="AO170" s="118" t="b">
        <f t="shared" si="6"/>
        <v>0</v>
      </c>
      <c r="AP170" s="119" t="b">
        <f t="shared" si="7"/>
        <v>0</v>
      </c>
    </row>
    <row r="171" spans="1:42" ht="23.15" customHeight="1" x14ac:dyDescent="0.35">
      <c r="A171" s="124">
        <v>13</v>
      </c>
      <c r="B171" s="129" t="s">
        <v>258</v>
      </c>
      <c r="C171" s="130"/>
      <c r="D171" s="130"/>
      <c r="E171" s="130"/>
      <c r="F171" s="130"/>
      <c r="G171" s="94">
        <v>42259</v>
      </c>
      <c r="H171" s="95" t="str">
        <f t="shared" si="3"/>
        <v/>
      </c>
      <c r="I171" s="109"/>
      <c r="J171" s="110"/>
      <c r="K171" s="110"/>
      <c r="L171" s="110"/>
      <c r="M171" s="110"/>
      <c r="N171" s="110"/>
      <c r="O171" s="110"/>
      <c r="P171" s="110"/>
      <c r="Q171" s="110"/>
      <c r="R171" s="110"/>
      <c r="S171" s="181" t="s">
        <v>259</v>
      </c>
      <c r="T171" s="181"/>
      <c r="U171" s="181"/>
      <c r="V171" s="181"/>
      <c r="W171" s="182"/>
      <c r="Y171" s="85">
        <f t="shared" si="4"/>
        <v>0</v>
      </c>
      <c r="AF171" s="115">
        <f t="shared" si="5"/>
        <v>0</v>
      </c>
      <c r="AG171" s="115">
        <f t="shared" si="2"/>
        <v>0</v>
      </c>
      <c r="AH171" s="115">
        <f t="shared" si="2"/>
        <v>0</v>
      </c>
      <c r="AI171" s="115">
        <f t="shared" si="2"/>
        <v>0</v>
      </c>
      <c r="AJ171" s="115">
        <f t="shared" si="2"/>
        <v>0</v>
      </c>
      <c r="AK171" s="115">
        <f t="shared" si="2"/>
        <v>0</v>
      </c>
      <c r="AL171" s="115">
        <f t="shared" si="2"/>
        <v>0</v>
      </c>
      <c r="AM171" s="115">
        <f t="shared" si="2"/>
        <v>0</v>
      </c>
      <c r="AN171" s="115">
        <f t="shared" si="2"/>
        <v>0</v>
      </c>
      <c r="AO171" s="118" t="b">
        <f t="shared" si="6"/>
        <v>0</v>
      </c>
      <c r="AP171" s="119" t="b">
        <f t="shared" si="7"/>
        <v>0</v>
      </c>
    </row>
    <row r="172" spans="1:42" ht="23.15" customHeight="1" x14ac:dyDescent="0.35">
      <c r="A172" s="124">
        <v>14</v>
      </c>
      <c r="B172" s="129" t="s">
        <v>260</v>
      </c>
      <c r="C172" s="130"/>
      <c r="D172" s="130"/>
      <c r="E172" s="130"/>
      <c r="F172" s="130"/>
      <c r="G172" s="94">
        <v>42271</v>
      </c>
      <c r="H172" s="95" t="str">
        <f t="shared" si="3"/>
        <v/>
      </c>
      <c r="I172" s="109"/>
      <c r="J172" s="110"/>
      <c r="K172" s="110"/>
      <c r="L172" s="110"/>
      <c r="M172" s="110"/>
      <c r="N172" s="110"/>
      <c r="O172" s="110"/>
      <c r="P172" s="110"/>
      <c r="Q172" s="110"/>
      <c r="R172" s="110"/>
      <c r="S172" s="181"/>
      <c r="T172" s="181"/>
      <c r="U172" s="181"/>
      <c r="V172" s="181"/>
      <c r="W172" s="182"/>
      <c r="Y172" s="85">
        <f t="shared" si="4"/>
        <v>0</v>
      </c>
      <c r="AF172" s="115">
        <f t="shared" si="5"/>
        <v>0</v>
      </c>
      <c r="AG172" s="115">
        <f t="shared" si="2"/>
        <v>0</v>
      </c>
      <c r="AH172" s="115">
        <f t="shared" si="2"/>
        <v>0</v>
      </c>
      <c r="AI172" s="115">
        <f t="shared" si="2"/>
        <v>0</v>
      </c>
      <c r="AJ172" s="115">
        <f t="shared" si="2"/>
        <v>0</v>
      </c>
      <c r="AK172" s="115">
        <f t="shared" si="2"/>
        <v>0</v>
      </c>
      <c r="AL172" s="115">
        <f t="shared" si="2"/>
        <v>0</v>
      </c>
      <c r="AM172" s="115">
        <f t="shared" si="2"/>
        <v>0</v>
      </c>
      <c r="AN172" s="115">
        <f t="shared" si="2"/>
        <v>0</v>
      </c>
      <c r="AO172" s="118" t="b">
        <f t="shared" si="6"/>
        <v>0</v>
      </c>
      <c r="AP172" s="119" t="b">
        <f t="shared" si="7"/>
        <v>0</v>
      </c>
    </row>
    <row r="173" spans="1:42" ht="23.15" customHeight="1" x14ac:dyDescent="0.35">
      <c r="A173" s="124">
        <v>15</v>
      </c>
      <c r="B173" s="129" t="s">
        <v>261</v>
      </c>
      <c r="C173" s="130"/>
      <c r="D173" s="130"/>
      <c r="E173" s="130"/>
      <c r="F173" s="130"/>
      <c r="G173" s="94">
        <v>42323</v>
      </c>
      <c r="H173" s="95" t="str">
        <f t="shared" si="3"/>
        <v/>
      </c>
      <c r="I173" s="109"/>
      <c r="J173" s="110"/>
      <c r="K173" s="110"/>
      <c r="L173" s="110"/>
      <c r="M173" s="110"/>
      <c r="N173" s="110"/>
      <c r="O173" s="110"/>
      <c r="P173" s="110"/>
      <c r="Q173" s="110"/>
      <c r="R173" s="110"/>
      <c r="S173" s="181" t="s">
        <v>262</v>
      </c>
      <c r="T173" s="181"/>
      <c r="U173" s="181"/>
      <c r="V173" s="181"/>
      <c r="W173" s="182"/>
      <c r="Y173" s="85">
        <f t="shared" si="4"/>
        <v>0</v>
      </c>
      <c r="AF173" s="115">
        <f t="shared" si="5"/>
        <v>0</v>
      </c>
      <c r="AG173" s="115">
        <f t="shared" si="2"/>
        <v>0</v>
      </c>
      <c r="AH173" s="115">
        <f t="shared" si="2"/>
        <v>0</v>
      </c>
      <c r="AI173" s="115">
        <f t="shared" si="2"/>
        <v>0</v>
      </c>
      <c r="AJ173" s="115">
        <f t="shared" si="2"/>
        <v>0</v>
      </c>
      <c r="AK173" s="115">
        <f t="shared" si="2"/>
        <v>0</v>
      </c>
      <c r="AL173" s="115">
        <f t="shared" si="2"/>
        <v>0</v>
      </c>
      <c r="AM173" s="115">
        <f t="shared" si="2"/>
        <v>0</v>
      </c>
      <c r="AN173" s="115">
        <f t="shared" si="2"/>
        <v>0</v>
      </c>
      <c r="AO173" s="118" t="b">
        <f t="shared" si="6"/>
        <v>0</v>
      </c>
      <c r="AP173" s="119" t="b">
        <f t="shared" si="7"/>
        <v>0</v>
      </c>
    </row>
    <row r="174" spans="1:42" ht="23.15" customHeight="1" x14ac:dyDescent="0.35">
      <c r="A174" s="124">
        <v>16</v>
      </c>
      <c r="B174" s="129" t="s">
        <v>263</v>
      </c>
      <c r="C174" s="130"/>
      <c r="D174" s="130"/>
      <c r="E174" s="130"/>
      <c r="F174" s="130"/>
      <c r="G174" s="94">
        <v>42333</v>
      </c>
      <c r="H174" s="95" t="str">
        <f t="shared" si="3"/>
        <v/>
      </c>
      <c r="I174" s="109"/>
      <c r="J174" s="110"/>
      <c r="K174" s="110"/>
      <c r="L174" s="110"/>
      <c r="M174" s="110"/>
      <c r="N174" s="110"/>
      <c r="O174" s="110"/>
      <c r="P174" s="110"/>
      <c r="Q174" s="110"/>
      <c r="R174" s="110"/>
      <c r="S174" s="181" t="s">
        <v>264</v>
      </c>
      <c r="T174" s="181"/>
      <c r="U174" s="181"/>
      <c r="V174" s="181"/>
      <c r="W174" s="182"/>
      <c r="Y174" s="85">
        <f t="shared" si="4"/>
        <v>0</v>
      </c>
      <c r="AF174" s="115">
        <f t="shared" si="5"/>
        <v>0</v>
      </c>
      <c r="AG174" s="115">
        <f t="shared" si="2"/>
        <v>0</v>
      </c>
      <c r="AH174" s="115">
        <f t="shared" si="2"/>
        <v>0</v>
      </c>
      <c r="AI174" s="115">
        <f t="shared" si="2"/>
        <v>0</v>
      </c>
      <c r="AJ174" s="115">
        <f t="shared" si="2"/>
        <v>0</v>
      </c>
      <c r="AK174" s="115">
        <f t="shared" si="2"/>
        <v>0</v>
      </c>
      <c r="AL174" s="115">
        <f t="shared" si="2"/>
        <v>0</v>
      </c>
      <c r="AM174" s="115">
        <f t="shared" si="2"/>
        <v>0</v>
      </c>
      <c r="AN174" s="115">
        <f t="shared" si="2"/>
        <v>0</v>
      </c>
      <c r="AO174" s="118" t="b">
        <f t="shared" si="6"/>
        <v>0</v>
      </c>
      <c r="AP174" s="119" t="b">
        <f t="shared" si="7"/>
        <v>0</v>
      </c>
    </row>
    <row r="175" spans="1:42" ht="23.15" customHeight="1" x14ac:dyDescent="0.35">
      <c r="A175" s="124">
        <v>17</v>
      </c>
      <c r="B175" s="206" t="s">
        <v>265</v>
      </c>
      <c r="C175" s="207"/>
      <c r="D175" s="207"/>
      <c r="E175" s="207"/>
      <c r="F175" s="207"/>
      <c r="G175" s="94">
        <v>42334</v>
      </c>
      <c r="H175" s="95" t="str">
        <f t="shared" si="3"/>
        <v/>
      </c>
      <c r="I175" s="109"/>
      <c r="J175" s="110"/>
      <c r="K175" s="110"/>
      <c r="L175" s="110"/>
      <c r="M175" s="110"/>
      <c r="N175" s="110"/>
      <c r="O175" s="110"/>
      <c r="P175" s="110"/>
      <c r="Q175" s="110"/>
      <c r="R175" s="110"/>
      <c r="S175" s="181" t="s">
        <v>266</v>
      </c>
      <c r="T175" s="181"/>
      <c r="U175" s="181"/>
      <c r="V175" s="181"/>
      <c r="W175" s="182"/>
      <c r="Y175" s="85">
        <f t="shared" si="4"/>
        <v>0</v>
      </c>
      <c r="AF175" s="115">
        <f t="shared" si="5"/>
        <v>0</v>
      </c>
      <c r="AG175" s="115">
        <f t="shared" si="5"/>
        <v>0</v>
      </c>
      <c r="AH175" s="115">
        <f t="shared" si="5"/>
        <v>0</v>
      </c>
      <c r="AI175" s="115">
        <f t="shared" si="5"/>
        <v>0</v>
      </c>
      <c r="AJ175" s="115">
        <f t="shared" si="5"/>
        <v>0</v>
      </c>
      <c r="AK175" s="115">
        <f t="shared" si="5"/>
        <v>0</v>
      </c>
      <c r="AL175" s="115">
        <f t="shared" si="5"/>
        <v>0</v>
      </c>
      <c r="AM175" s="115">
        <f t="shared" si="5"/>
        <v>0</v>
      </c>
      <c r="AN175" s="115">
        <f t="shared" si="5"/>
        <v>0</v>
      </c>
      <c r="AO175" s="118" t="b">
        <f t="shared" si="6"/>
        <v>0</v>
      </c>
      <c r="AP175" s="119" t="b">
        <f t="shared" si="7"/>
        <v>0</v>
      </c>
    </row>
    <row r="176" spans="1:42" ht="23.15" customHeight="1" x14ac:dyDescent="0.35">
      <c r="A176" s="124">
        <v>18</v>
      </c>
      <c r="B176" s="206" t="s">
        <v>267</v>
      </c>
      <c r="C176" s="207"/>
      <c r="D176" s="207"/>
      <c r="E176" s="207"/>
      <c r="F176" s="207"/>
      <c r="G176" s="94">
        <v>42339</v>
      </c>
      <c r="H176" s="95" t="str">
        <f t="shared" si="3"/>
        <v/>
      </c>
      <c r="I176" s="109"/>
      <c r="J176" s="110"/>
      <c r="K176" s="110"/>
      <c r="L176" s="110"/>
      <c r="M176" s="110"/>
      <c r="N176" s="110"/>
      <c r="O176" s="110"/>
      <c r="P176" s="110"/>
      <c r="Q176" s="110"/>
      <c r="R176" s="110"/>
      <c r="S176" s="181"/>
      <c r="T176" s="181"/>
      <c r="U176" s="181"/>
      <c r="V176" s="181"/>
      <c r="W176" s="182"/>
      <c r="Y176" s="85">
        <f t="shared" si="4"/>
        <v>0</v>
      </c>
      <c r="AF176" s="115">
        <f t="shared" ref="AF176:AN204" si="8">IF(COUNTIF($J176:$R176,AF$158)&gt;0,1,0)</f>
        <v>0</v>
      </c>
      <c r="AG176" s="115">
        <f t="shared" si="8"/>
        <v>0</v>
      </c>
      <c r="AH176" s="115">
        <f t="shared" si="8"/>
        <v>0</v>
      </c>
      <c r="AI176" s="115">
        <f t="shared" si="8"/>
        <v>0</v>
      </c>
      <c r="AJ176" s="115">
        <f t="shared" si="8"/>
        <v>0</v>
      </c>
      <c r="AK176" s="115">
        <f t="shared" si="8"/>
        <v>0</v>
      </c>
      <c r="AL176" s="115">
        <f t="shared" si="8"/>
        <v>0</v>
      </c>
      <c r="AM176" s="115">
        <f t="shared" si="8"/>
        <v>0</v>
      </c>
      <c r="AN176" s="115">
        <f t="shared" si="8"/>
        <v>0</v>
      </c>
      <c r="AO176" s="118" t="b">
        <f t="shared" si="6"/>
        <v>0</v>
      </c>
      <c r="AP176" s="119" t="b">
        <f t="shared" si="7"/>
        <v>0</v>
      </c>
    </row>
    <row r="177" spans="1:42" ht="23.15" customHeight="1" x14ac:dyDescent="0.35">
      <c r="A177" s="124">
        <v>19</v>
      </c>
      <c r="B177" s="129" t="s">
        <v>268</v>
      </c>
      <c r="C177" s="126"/>
      <c r="D177" s="126"/>
      <c r="E177" s="126"/>
      <c r="F177" s="126"/>
      <c r="G177" s="94">
        <v>42445</v>
      </c>
      <c r="H177" s="95" t="str">
        <f t="shared" si="3"/>
        <v/>
      </c>
      <c r="I177" s="109"/>
      <c r="J177" s="110"/>
      <c r="K177" s="110"/>
      <c r="L177" s="110"/>
      <c r="M177" s="110"/>
      <c r="N177" s="110"/>
      <c r="O177" s="110"/>
      <c r="P177" s="110"/>
      <c r="Q177" s="110"/>
      <c r="R177" s="110"/>
      <c r="S177" s="181" t="s">
        <v>269</v>
      </c>
      <c r="T177" s="181"/>
      <c r="U177" s="181"/>
      <c r="V177" s="181"/>
      <c r="W177" s="182"/>
      <c r="Y177" s="85">
        <f t="shared" si="4"/>
        <v>0</v>
      </c>
      <c r="AF177" s="115">
        <f t="shared" si="8"/>
        <v>0</v>
      </c>
      <c r="AG177" s="115">
        <f t="shared" si="8"/>
        <v>0</v>
      </c>
      <c r="AH177" s="115">
        <f t="shared" si="8"/>
        <v>0</v>
      </c>
      <c r="AI177" s="115">
        <f t="shared" si="8"/>
        <v>0</v>
      </c>
      <c r="AJ177" s="115">
        <f t="shared" si="8"/>
        <v>0</v>
      </c>
      <c r="AK177" s="115">
        <f t="shared" si="8"/>
        <v>0</v>
      </c>
      <c r="AL177" s="115">
        <f t="shared" si="8"/>
        <v>0</v>
      </c>
      <c r="AM177" s="115">
        <f t="shared" si="8"/>
        <v>0</v>
      </c>
      <c r="AN177" s="115">
        <f t="shared" si="8"/>
        <v>0</v>
      </c>
      <c r="AO177" s="118" t="b">
        <f t="shared" si="6"/>
        <v>0</v>
      </c>
      <c r="AP177" s="119" t="b">
        <f t="shared" si="7"/>
        <v>0</v>
      </c>
    </row>
    <row r="178" spans="1:42" ht="23.15" customHeight="1" x14ac:dyDescent="0.35">
      <c r="A178" s="124">
        <v>20</v>
      </c>
      <c r="B178" s="129" t="s">
        <v>270</v>
      </c>
      <c r="C178" s="130"/>
      <c r="D178" s="126"/>
      <c r="E178" s="126"/>
      <c r="F178" s="126"/>
      <c r="G178" s="94">
        <v>42446</v>
      </c>
      <c r="H178" s="95" t="str">
        <f t="shared" si="3"/>
        <v/>
      </c>
      <c r="I178" s="109"/>
      <c r="J178" s="110"/>
      <c r="K178" s="110"/>
      <c r="L178" s="110"/>
      <c r="M178" s="110"/>
      <c r="N178" s="110"/>
      <c r="O178" s="110"/>
      <c r="P178" s="110"/>
      <c r="Q178" s="110"/>
      <c r="R178" s="110"/>
      <c r="S178" s="181" t="s">
        <v>271</v>
      </c>
      <c r="T178" s="181"/>
      <c r="U178" s="181"/>
      <c r="V178" s="181"/>
      <c r="W178" s="182"/>
      <c r="Y178" s="85">
        <f t="shared" si="4"/>
        <v>0</v>
      </c>
      <c r="AF178" s="115">
        <f t="shared" si="8"/>
        <v>0</v>
      </c>
      <c r="AG178" s="115">
        <f t="shared" si="8"/>
        <v>0</v>
      </c>
      <c r="AH178" s="115">
        <f t="shared" si="8"/>
        <v>0</v>
      </c>
      <c r="AI178" s="115">
        <f t="shared" si="8"/>
        <v>0</v>
      </c>
      <c r="AJ178" s="115">
        <f t="shared" si="8"/>
        <v>0</v>
      </c>
      <c r="AK178" s="115">
        <f t="shared" si="8"/>
        <v>0</v>
      </c>
      <c r="AL178" s="115">
        <f t="shared" si="8"/>
        <v>0</v>
      </c>
      <c r="AM178" s="115">
        <f t="shared" si="8"/>
        <v>0</v>
      </c>
      <c r="AN178" s="115">
        <f t="shared" si="8"/>
        <v>0</v>
      </c>
      <c r="AO178" s="118" t="b">
        <f t="shared" si="6"/>
        <v>0</v>
      </c>
      <c r="AP178" s="119" t="b">
        <f t="shared" si="7"/>
        <v>0</v>
      </c>
    </row>
    <row r="179" spans="1:42" ht="23.15" customHeight="1" x14ac:dyDescent="0.25">
      <c r="A179" s="124">
        <v>21</v>
      </c>
      <c r="B179" s="130" t="s">
        <v>272</v>
      </c>
      <c r="C179" s="96"/>
      <c r="D179" s="126"/>
      <c r="E179" s="126"/>
      <c r="F179" s="126"/>
      <c r="G179" s="94">
        <v>42458</v>
      </c>
      <c r="H179" s="95" t="str">
        <f t="shared" si="3"/>
        <v/>
      </c>
      <c r="I179" s="109"/>
      <c r="J179" s="110"/>
      <c r="K179" s="110"/>
      <c r="L179" s="110"/>
      <c r="M179" s="110"/>
      <c r="N179" s="110"/>
      <c r="O179" s="110"/>
      <c r="P179" s="110"/>
      <c r="Q179" s="110"/>
      <c r="R179" s="110"/>
      <c r="S179" s="181" t="s">
        <v>271</v>
      </c>
      <c r="T179" s="181"/>
      <c r="U179" s="181"/>
      <c r="V179" s="181"/>
      <c r="W179" s="182"/>
      <c r="Y179" s="85">
        <f t="shared" si="4"/>
        <v>0</v>
      </c>
      <c r="AF179" s="115">
        <f t="shared" si="8"/>
        <v>0</v>
      </c>
      <c r="AG179" s="115">
        <f t="shared" si="8"/>
        <v>0</v>
      </c>
      <c r="AH179" s="115">
        <f t="shared" si="8"/>
        <v>0</v>
      </c>
      <c r="AI179" s="115">
        <f t="shared" si="8"/>
        <v>0</v>
      </c>
      <c r="AJ179" s="115">
        <f t="shared" si="8"/>
        <v>0</v>
      </c>
      <c r="AK179" s="115">
        <f t="shared" si="8"/>
        <v>0</v>
      </c>
      <c r="AL179" s="115">
        <f t="shared" si="8"/>
        <v>0</v>
      </c>
      <c r="AM179" s="115">
        <f t="shared" si="8"/>
        <v>0</v>
      </c>
      <c r="AN179" s="115">
        <f t="shared" si="8"/>
        <v>0</v>
      </c>
      <c r="AO179" s="118" t="b">
        <f t="shared" si="6"/>
        <v>0</v>
      </c>
      <c r="AP179" s="119" t="b">
        <f t="shared" si="7"/>
        <v>0</v>
      </c>
    </row>
    <row r="180" spans="1:42" ht="23.15" customHeight="1" x14ac:dyDescent="0.35">
      <c r="A180" s="124">
        <v>22</v>
      </c>
      <c r="B180" s="206" t="s">
        <v>273</v>
      </c>
      <c r="C180" s="207"/>
      <c r="D180" s="207"/>
      <c r="E180" s="207"/>
      <c r="F180" s="207"/>
      <c r="G180" s="94">
        <v>42473</v>
      </c>
      <c r="H180" s="95" t="str">
        <f t="shared" si="3"/>
        <v/>
      </c>
      <c r="I180" s="109"/>
      <c r="J180" s="110"/>
      <c r="K180" s="110"/>
      <c r="L180" s="110"/>
      <c r="M180" s="110"/>
      <c r="N180" s="110"/>
      <c r="O180" s="110"/>
      <c r="P180" s="110"/>
      <c r="Q180" s="110"/>
      <c r="R180" s="110"/>
      <c r="S180" s="181" t="s">
        <v>226</v>
      </c>
      <c r="T180" s="181"/>
      <c r="U180" s="181"/>
      <c r="V180" s="181"/>
      <c r="W180" s="182"/>
      <c r="Y180" s="85">
        <f t="shared" si="4"/>
        <v>0</v>
      </c>
      <c r="AF180" s="115">
        <f t="shared" si="8"/>
        <v>0</v>
      </c>
      <c r="AG180" s="115">
        <f t="shared" si="8"/>
        <v>0</v>
      </c>
      <c r="AH180" s="115">
        <f t="shared" si="8"/>
        <v>0</v>
      </c>
      <c r="AI180" s="115">
        <f t="shared" si="8"/>
        <v>0</v>
      </c>
      <c r="AJ180" s="115">
        <f t="shared" si="8"/>
        <v>0</v>
      </c>
      <c r="AK180" s="115">
        <f t="shared" si="8"/>
        <v>0</v>
      </c>
      <c r="AL180" s="115">
        <f t="shared" si="8"/>
        <v>0</v>
      </c>
      <c r="AM180" s="115">
        <f t="shared" si="8"/>
        <v>0</v>
      </c>
      <c r="AN180" s="115">
        <f t="shared" si="8"/>
        <v>0</v>
      </c>
      <c r="AO180" s="118" t="b">
        <f t="shared" si="6"/>
        <v>0</v>
      </c>
      <c r="AP180" s="119" t="b">
        <f t="shared" si="7"/>
        <v>0</v>
      </c>
    </row>
    <row r="181" spans="1:42" ht="23.15" customHeight="1" x14ac:dyDescent="0.35">
      <c r="A181" s="124">
        <v>23</v>
      </c>
      <c r="B181" s="176"/>
      <c r="C181" s="177"/>
      <c r="D181" s="177"/>
      <c r="E181" s="177"/>
      <c r="F181" s="177"/>
      <c r="G181" s="94"/>
      <c r="H181" s="95" t="str">
        <f t="shared" si="3"/>
        <v/>
      </c>
      <c r="I181" s="109"/>
      <c r="J181" s="110"/>
      <c r="K181" s="110"/>
      <c r="L181" s="110"/>
      <c r="M181" s="110"/>
      <c r="N181" s="110"/>
      <c r="O181" s="110"/>
      <c r="P181" s="110"/>
      <c r="Q181" s="110"/>
      <c r="R181" s="110"/>
      <c r="S181" s="181"/>
      <c r="T181" s="181"/>
      <c r="U181" s="181"/>
      <c r="V181" s="181"/>
      <c r="W181" s="182"/>
      <c r="Y181" s="85">
        <f t="shared" si="4"/>
        <v>0</v>
      </c>
      <c r="AF181" s="115">
        <f t="shared" si="8"/>
        <v>0</v>
      </c>
      <c r="AG181" s="115">
        <f t="shared" si="8"/>
        <v>0</v>
      </c>
      <c r="AH181" s="115">
        <f t="shared" si="8"/>
        <v>0</v>
      </c>
      <c r="AI181" s="115">
        <f t="shared" si="8"/>
        <v>0</v>
      </c>
      <c r="AJ181" s="115">
        <f t="shared" si="8"/>
        <v>0</v>
      </c>
      <c r="AK181" s="115">
        <f t="shared" si="8"/>
        <v>0</v>
      </c>
      <c r="AL181" s="115">
        <f t="shared" si="8"/>
        <v>0</v>
      </c>
      <c r="AM181" s="115">
        <f t="shared" si="8"/>
        <v>0</v>
      </c>
      <c r="AN181" s="115">
        <f t="shared" si="8"/>
        <v>0</v>
      </c>
      <c r="AO181" s="118" t="b">
        <f t="shared" si="6"/>
        <v>0</v>
      </c>
      <c r="AP181" s="119" t="b">
        <f t="shared" si="7"/>
        <v>0</v>
      </c>
    </row>
    <row r="182" spans="1:42" ht="23.15" customHeight="1" x14ac:dyDescent="0.35">
      <c r="A182" s="124">
        <v>24</v>
      </c>
      <c r="B182" s="176"/>
      <c r="C182" s="177"/>
      <c r="D182" s="177"/>
      <c r="E182" s="177"/>
      <c r="F182" s="177"/>
      <c r="G182" s="94"/>
      <c r="H182" s="95" t="str">
        <f t="shared" si="3"/>
        <v/>
      </c>
      <c r="I182" s="109"/>
      <c r="J182" s="110"/>
      <c r="K182" s="110"/>
      <c r="L182" s="110"/>
      <c r="M182" s="110"/>
      <c r="N182" s="110"/>
      <c r="O182" s="110"/>
      <c r="P182" s="110"/>
      <c r="Q182" s="110"/>
      <c r="R182" s="110"/>
      <c r="S182" s="181"/>
      <c r="T182" s="181"/>
      <c r="U182" s="181"/>
      <c r="V182" s="181"/>
      <c r="W182" s="182"/>
      <c r="Y182" s="85">
        <f t="shared" si="4"/>
        <v>0</v>
      </c>
      <c r="AF182" s="115">
        <f t="shared" si="8"/>
        <v>0</v>
      </c>
      <c r="AG182" s="115">
        <f t="shared" si="8"/>
        <v>0</v>
      </c>
      <c r="AH182" s="115">
        <f t="shared" si="8"/>
        <v>0</v>
      </c>
      <c r="AI182" s="115">
        <f t="shared" si="8"/>
        <v>0</v>
      </c>
      <c r="AJ182" s="115">
        <f t="shared" si="8"/>
        <v>0</v>
      </c>
      <c r="AK182" s="115">
        <f t="shared" si="8"/>
        <v>0</v>
      </c>
      <c r="AL182" s="115">
        <f t="shared" si="8"/>
        <v>0</v>
      </c>
      <c r="AM182" s="115">
        <f t="shared" si="8"/>
        <v>0</v>
      </c>
      <c r="AN182" s="115">
        <f t="shared" si="8"/>
        <v>0</v>
      </c>
      <c r="AO182" s="118" t="b">
        <f t="shared" si="6"/>
        <v>0</v>
      </c>
      <c r="AP182" s="119" t="b">
        <f t="shared" si="7"/>
        <v>0</v>
      </c>
    </row>
    <row r="183" spans="1:42" ht="23.15" customHeight="1" x14ac:dyDescent="0.35">
      <c r="A183" s="124">
        <v>25</v>
      </c>
      <c r="B183" s="176"/>
      <c r="C183" s="177"/>
      <c r="D183" s="177"/>
      <c r="E183" s="177"/>
      <c r="F183" s="177"/>
      <c r="G183" s="94"/>
      <c r="H183" s="95" t="str">
        <f t="shared" si="3"/>
        <v/>
      </c>
      <c r="I183" s="109"/>
      <c r="J183" s="110"/>
      <c r="K183" s="110"/>
      <c r="L183" s="110"/>
      <c r="M183" s="110"/>
      <c r="N183" s="110"/>
      <c r="O183" s="110"/>
      <c r="P183" s="110"/>
      <c r="Q183" s="110"/>
      <c r="R183" s="110"/>
      <c r="S183" s="181"/>
      <c r="T183" s="181"/>
      <c r="U183" s="181"/>
      <c r="V183" s="181"/>
      <c r="W183" s="182"/>
      <c r="Y183" s="85">
        <f t="shared" si="4"/>
        <v>0</v>
      </c>
      <c r="AF183" s="115">
        <f t="shared" si="8"/>
        <v>0</v>
      </c>
      <c r="AG183" s="115">
        <f t="shared" si="8"/>
        <v>0</v>
      </c>
      <c r="AH183" s="115">
        <f t="shared" si="8"/>
        <v>0</v>
      </c>
      <c r="AI183" s="115">
        <f t="shared" si="8"/>
        <v>0</v>
      </c>
      <c r="AJ183" s="115">
        <f t="shared" si="8"/>
        <v>0</v>
      </c>
      <c r="AK183" s="115">
        <f t="shared" si="8"/>
        <v>0</v>
      </c>
      <c r="AL183" s="115">
        <f t="shared" si="8"/>
        <v>0</v>
      </c>
      <c r="AM183" s="115">
        <f t="shared" si="8"/>
        <v>0</v>
      </c>
      <c r="AN183" s="115">
        <f t="shared" si="8"/>
        <v>0</v>
      </c>
      <c r="AO183" s="118" t="b">
        <f t="shared" si="6"/>
        <v>0</v>
      </c>
      <c r="AP183" s="119" t="b">
        <f t="shared" si="7"/>
        <v>0</v>
      </c>
    </row>
    <row r="184" spans="1:42" ht="23.15" customHeight="1" x14ac:dyDescent="0.35">
      <c r="A184" s="124">
        <v>26</v>
      </c>
      <c r="B184" s="176"/>
      <c r="C184" s="177"/>
      <c r="D184" s="177"/>
      <c r="E184" s="177"/>
      <c r="F184" s="177"/>
      <c r="G184" s="94"/>
      <c r="H184" s="95" t="str">
        <f t="shared" si="3"/>
        <v/>
      </c>
      <c r="I184" s="109"/>
      <c r="J184" s="110"/>
      <c r="K184" s="110"/>
      <c r="L184" s="110"/>
      <c r="M184" s="110"/>
      <c r="N184" s="110"/>
      <c r="O184" s="110"/>
      <c r="P184" s="110"/>
      <c r="Q184" s="110"/>
      <c r="R184" s="110"/>
      <c r="S184" s="181"/>
      <c r="T184" s="181"/>
      <c r="U184" s="181"/>
      <c r="V184" s="181"/>
      <c r="W184" s="182"/>
      <c r="Y184" s="85">
        <f t="shared" si="4"/>
        <v>0</v>
      </c>
      <c r="AF184" s="115">
        <f t="shared" si="8"/>
        <v>0</v>
      </c>
      <c r="AG184" s="115">
        <f t="shared" si="8"/>
        <v>0</v>
      </c>
      <c r="AH184" s="115">
        <f t="shared" si="8"/>
        <v>0</v>
      </c>
      <c r="AI184" s="115">
        <f t="shared" si="8"/>
        <v>0</v>
      </c>
      <c r="AJ184" s="115">
        <f t="shared" si="8"/>
        <v>0</v>
      </c>
      <c r="AK184" s="115">
        <f t="shared" si="8"/>
        <v>0</v>
      </c>
      <c r="AL184" s="115">
        <f t="shared" si="8"/>
        <v>0</v>
      </c>
      <c r="AM184" s="115">
        <f t="shared" si="8"/>
        <v>0</v>
      </c>
      <c r="AN184" s="115">
        <f t="shared" si="8"/>
        <v>0</v>
      </c>
      <c r="AO184" s="118" t="b">
        <f t="shared" si="6"/>
        <v>0</v>
      </c>
      <c r="AP184" s="119" t="b">
        <f t="shared" si="7"/>
        <v>0</v>
      </c>
    </row>
    <row r="185" spans="1:42" ht="23.15" customHeight="1" x14ac:dyDescent="0.35">
      <c r="A185" s="124">
        <v>27</v>
      </c>
      <c r="B185" s="176"/>
      <c r="C185" s="177"/>
      <c r="D185" s="177"/>
      <c r="E185" s="177"/>
      <c r="F185" s="177"/>
      <c r="G185" s="94"/>
      <c r="H185" s="95" t="str">
        <f t="shared" si="3"/>
        <v/>
      </c>
      <c r="I185" s="109"/>
      <c r="J185" s="110"/>
      <c r="K185" s="110"/>
      <c r="L185" s="110"/>
      <c r="M185" s="110"/>
      <c r="N185" s="110"/>
      <c r="O185" s="110"/>
      <c r="P185" s="110"/>
      <c r="Q185" s="110"/>
      <c r="R185" s="110"/>
      <c r="S185" s="181"/>
      <c r="T185" s="181"/>
      <c r="U185" s="181"/>
      <c r="V185" s="181"/>
      <c r="W185" s="182"/>
      <c r="Y185" s="85">
        <f t="shared" si="4"/>
        <v>0</v>
      </c>
      <c r="AF185" s="115">
        <f t="shared" si="8"/>
        <v>0</v>
      </c>
      <c r="AG185" s="115">
        <f t="shared" si="8"/>
        <v>0</v>
      </c>
      <c r="AH185" s="115">
        <f t="shared" si="8"/>
        <v>0</v>
      </c>
      <c r="AI185" s="115">
        <f t="shared" si="8"/>
        <v>0</v>
      </c>
      <c r="AJ185" s="115">
        <f t="shared" si="8"/>
        <v>0</v>
      </c>
      <c r="AK185" s="115">
        <f t="shared" si="8"/>
        <v>0</v>
      </c>
      <c r="AL185" s="115">
        <f t="shared" si="8"/>
        <v>0</v>
      </c>
      <c r="AM185" s="115">
        <f t="shared" si="8"/>
        <v>0</v>
      </c>
      <c r="AN185" s="115">
        <f t="shared" si="8"/>
        <v>0</v>
      </c>
      <c r="AO185" s="118" t="b">
        <f t="shared" si="6"/>
        <v>0</v>
      </c>
      <c r="AP185" s="119" t="b">
        <f t="shared" si="7"/>
        <v>0</v>
      </c>
    </row>
    <row r="186" spans="1:42" ht="23.15" customHeight="1" x14ac:dyDescent="0.35">
      <c r="A186" s="124">
        <v>28</v>
      </c>
      <c r="B186" s="176"/>
      <c r="C186" s="177"/>
      <c r="D186" s="177"/>
      <c r="E186" s="177"/>
      <c r="F186" s="177"/>
      <c r="G186" s="94"/>
      <c r="H186" s="95" t="str">
        <f t="shared" si="3"/>
        <v/>
      </c>
      <c r="I186" s="109"/>
      <c r="J186" s="110"/>
      <c r="K186" s="110"/>
      <c r="L186" s="110"/>
      <c r="M186" s="110"/>
      <c r="N186" s="110"/>
      <c r="O186" s="110"/>
      <c r="P186" s="110"/>
      <c r="Q186" s="110"/>
      <c r="R186" s="110"/>
      <c r="S186" s="181"/>
      <c r="T186" s="181"/>
      <c r="U186" s="181"/>
      <c r="V186" s="181"/>
      <c r="W186" s="182"/>
      <c r="Y186" s="85">
        <f t="shared" si="4"/>
        <v>0</v>
      </c>
      <c r="AF186" s="115">
        <f t="shared" si="8"/>
        <v>0</v>
      </c>
      <c r="AG186" s="115">
        <f t="shared" si="8"/>
        <v>0</v>
      </c>
      <c r="AH186" s="115">
        <f t="shared" si="8"/>
        <v>0</v>
      </c>
      <c r="AI186" s="115">
        <f t="shared" si="8"/>
        <v>0</v>
      </c>
      <c r="AJ186" s="115">
        <f t="shared" si="8"/>
        <v>0</v>
      </c>
      <c r="AK186" s="115">
        <f t="shared" si="8"/>
        <v>0</v>
      </c>
      <c r="AL186" s="115">
        <f t="shared" si="8"/>
        <v>0</v>
      </c>
      <c r="AM186" s="115">
        <f t="shared" si="8"/>
        <v>0</v>
      </c>
      <c r="AN186" s="115">
        <f t="shared" si="8"/>
        <v>0</v>
      </c>
      <c r="AO186" s="118" t="b">
        <f t="shared" si="6"/>
        <v>0</v>
      </c>
      <c r="AP186" s="119" t="b">
        <f t="shared" si="7"/>
        <v>0</v>
      </c>
    </row>
    <row r="187" spans="1:42" ht="23.15" customHeight="1" x14ac:dyDescent="0.35">
      <c r="A187" s="124">
        <v>29</v>
      </c>
      <c r="B187" s="176"/>
      <c r="C187" s="177"/>
      <c r="D187" s="177"/>
      <c r="E187" s="177"/>
      <c r="F187" s="177"/>
      <c r="G187" s="94"/>
      <c r="H187" s="95" t="str">
        <f t="shared" si="3"/>
        <v/>
      </c>
      <c r="I187" s="109"/>
      <c r="J187" s="110"/>
      <c r="K187" s="110"/>
      <c r="L187" s="110"/>
      <c r="M187" s="110"/>
      <c r="N187" s="110"/>
      <c r="O187" s="110"/>
      <c r="P187" s="110"/>
      <c r="Q187" s="110"/>
      <c r="R187" s="110"/>
      <c r="S187" s="181"/>
      <c r="T187" s="181"/>
      <c r="U187" s="181"/>
      <c r="V187" s="181"/>
      <c r="W187" s="182"/>
      <c r="Y187" s="85">
        <f t="shared" si="4"/>
        <v>0</v>
      </c>
      <c r="AF187" s="115">
        <f t="shared" si="8"/>
        <v>0</v>
      </c>
      <c r="AG187" s="115">
        <f t="shared" si="8"/>
        <v>0</v>
      </c>
      <c r="AH187" s="115">
        <f t="shared" si="8"/>
        <v>0</v>
      </c>
      <c r="AI187" s="115">
        <f t="shared" si="8"/>
        <v>0</v>
      </c>
      <c r="AJ187" s="115">
        <f t="shared" si="8"/>
        <v>0</v>
      </c>
      <c r="AK187" s="115">
        <f t="shared" si="8"/>
        <v>0</v>
      </c>
      <c r="AL187" s="115">
        <f t="shared" si="8"/>
        <v>0</v>
      </c>
      <c r="AM187" s="115">
        <f t="shared" si="8"/>
        <v>0</v>
      </c>
      <c r="AN187" s="115">
        <f t="shared" si="8"/>
        <v>0</v>
      </c>
      <c r="AO187" s="118" t="b">
        <f t="shared" si="6"/>
        <v>0</v>
      </c>
      <c r="AP187" s="119" t="b">
        <f t="shared" si="7"/>
        <v>0</v>
      </c>
    </row>
    <row r="188" spans="1:42" ht="23.15" customHeight="1" x14ac:dyDescent="0.35">
      <c r="A188" s="124">
        <v>30</v>
      </c>
      <c r="B188" s="176"/>
      <c r="C188" s="177"/>
      <c r="D188" s="177"/>
      <c r="E188" s="177"/>
      <c r="F188" s="177"/>
      <c r="G188" s="94"/>
      <c r="H188" s="95" t="str">
        <f t="shared" si="3"/>
        <v/>
      </c>
      <c r="I188" s="109"/>
      <c r="J188" s="110"/>
      <c r="K188" s="110"/>
      <c r="L188" s="110"/>
      <c r="M188" s="110"/>
      <c r="N188" s="110"/>
      <c r="O188" s="110"/>
      <c r="P188" s="110"/>
      <c r="Q188" s="110"/>
      <c r="R188" s="110"/>
      <c r="S188" s="181"/>
      <c r="T188" s="181"/>
      <c r="U188" s="181"/>
      <c r="V188" s="181"/>
      <c r="W188" s="182"/>
      <c r="Y188" s="85">
        <f t="shared" si="4"/>
        <v>0</v>
      </c>
      <c r="AF188" s="115">
        <f t="shared" si="8"/>
        <v>0</v>
      </c>
      <c r="AG188" s="115">
        <f t="shared" si="8"/>
        <v>0</v>
      </c>
      <c r="AH188" s="115">
        <f t="shared" si="8"/>
        <v>0</v>
      </c>
      <c r="AI188" s="115">
        <f t="shared" si="8"/>
        <v>0</v>
      </c>
      <c r="AJ188" s="115">
        <f t="shared" si="8"/>
        <v>0</v>
      </c>
      <c r="AK188" s="115">
        <f t="shared" si="8"/>
        <v>0</v>
      </c>
      <c r="AL188" s="115">
        <f t="shared" si="8"/>
        <v>0</v>
      </c>
      <c r="AM188" s="115">
        <f t="shared" si="8"/>
        <v>0</v>
      </c>
      <c r="AN188" s="115">
        <f t="shared" si="8"/>
        <v>0</v>
      </c>
      <c r="AO188" s="118" t="b">
        <f t="shared" si="6"/>
        <v>0</v>
      </c>
      <c r="AP188" s="119" t="b">
        <f t="shared" si="7"/>
        <v>0</v>
      </c>
    </row>
    <row r="189" spans="1:42" ht="23.15" customHeight="1" x14ac:dyDescent="0.35">
      <c r="A189" s="124">
        <v>31</v>
      </c>
      <c r="B189" s="176"/>
      <c r="C189" s="177"/>
      <c r="D189" s="177"/>
      <c r="E189" s="177"/>
      <c r="F189" s="177"/>
      <c r="G189" s="94"/>
      <c r="H189" s="95" t="str">
        <f t="shared" si="3"/>
        <v/>
      </c>
      <c r="I189" s="109"/>
      <c r="J189" s="110"/>
      <c r="K189" s="110"/>
      <c r="L189" s="110"/>
      <c r="M189" s="110"/>
      <c r="N189" s="110"/>
      <c r="O189" s="110"/>
      <c r="P189" s="110"/>
      <c r="Q189" s="110"/>
      <c r="R189" s="110"/>
      <c r="S189" s="181"/>
      <c r="T189" s="181"/>
      <c r="U189" s="181"/>
      <c r="V189" s="181"/>
      <c r="W189" s="182"/>
      <c r="Y189" s="85">
        <f t="shared" si="4"/>
        <v>0</v>
      </c>
      <c r="AF189" s="115">
        <f t="shared" si="8"/>
        <v>0</v>
      </c>
      <c r="AG189" s="115">
        <f t="shared" si="8"/>
        <v>0</v>
      </c>
      <c r="AH189" s="115">
        <f t="shared" si="8"/>
        <v>0</v>
      </c>
      <c r="AI189" s="115">
        <f t="shared" si="8"/>
        <v>0</v>
      </c>
      <c r="AJ189" s="115">
        <f t="shared" si="8"/>
        <v>0</v>
      </c>
      <c r="AK189" s="115">
        <f t="shared" si="8"/>
        <v>0</v>
      </c>
      <c r="AL189" s="115">
        <f t="shared" si="8"/>
        <v>0</v>
      </c>
      <c r="AM189" s="115">
        <f t="shared" si="8"/>
        <v>0</v>
      </c>
      <c r="AN189" s="115">
        <f t="shared" si="8"/>
        <v>0</v>
      </c>
      <c r="AO189" s="118" t="b">
        <f t="shared" si="6"/>
        <v>0</v>
      </c>
      <c r="AP189" s="119" t="b">
        <f t="shared" si="7"/>
        <v>0</v>
      </c>
    </row>
    <row r="190" spans="1:42" ht="23.15" customHeight="1" x14ac:dyDescent="0.35">
      <c r="A190" s="124">
        <v>32</v>
      </c>
      <c r="B190" s="176"/>
      <c r="C190" s="177"/>
      <c r="D190" s="177"/>
      <c r="E190" s="177"/>
      <c r="F190" s="177"/>
      <c r="G190" s="94"/>
      <c r="H190" s="95" t="str">
        <f t="shared" si="3"/>
        <v/>
      </c>
      <c r="I190" s="109"/>
      <c r="J190" s="110"/>
      <c r="K190" s="110"/>
      <c r="L190" s="110"/>
      <c r="M190" s="110"/>
      <c r="N190" s="110"/>
      <c r="O190" s="110"/>
      <c r="P190" s="110"/>
      <c r="Q190" s="110"/>
      <c r="R190" s="110"/>
      <c r="S190" s="181"/>
      <c r="T190" s="181"/>
      <c r="U190" s="181"/>
      <c r="V190" s="181"/>
      <c r="W190" s="182"/>
      <c r="Y190" s="85">
        <f t="shared" si="4"/>
        <v>0</v>
      </c>
      <c r="AF190" s="115">
        <f t="shared" si="8"/>
        <v>0</v>
      </c>
      <c r="AG190" s="115">
        <f t="shared" si="8"/>
        <v>0</v>
      </c>
      <c r="AH190" s="115">
        <f t="shared" si="8"/>
        <v>0</v>
      </c>
      <c r="AI190" s="115">
        <f t="shared" si="8"/>
        <v>0</v>
      </c>
      <c r="AJ190" s="115">
        <f t="shared" si="8"/>
        <v>0</v>
      </c>
      <c r="AK190" s="115">
        <f t="shared" si="8"/>
        <v>0</v>
      </c>
      <c r="AL190" s="115">
        <f t="shared" si="8"/>
        <v>0</v>
      </c>
      <c r="AM190" s="115">
        <f t="shared" si="8"/>
        <v>0</v>
      </c>
      <c r="AN190" s="115">
        <f t="shared" si="8"/>
        <v>0</v>
      </c>
      <c r="AO190" s="118" t="b">
        <f t="shared" si="6"/>
        <v>0</v>
      </c>
      <c r="AP190" s="119" t="b">
        <f t="shared" si="7"/>
        <v>0</v>
      </c>
    </row>
    <row r="191" spans="1:42" ht="23.15" customHeight="1" x14ac:dyDescent="0.35">
      <c r="A191" s="124">
        <v>33</v>
      </c>
      <c r="B191" s="176"/>
      <c r="C191" s="177"/>
      <c r="D191" s="177"/>
      <c r="E191" s="177"/>
      <c r="F191" s="177"/>
      <c r="G191" s="94"/>
      <c r="H191" s="95" t="str">
        <f t="shared" si="3"/>
        <v/>
      </c>
      <c r="I191" s="109"/>
      <c r="J191" s="110"/>
      <c r="K191" s="110"/>
      <c r="L191" s="110"/>
      <c r="M191" s="110"/>
      <c r="N191" s="110"/>
      <c r="O191" s="110"/>
      <c r="P191" s="110"/>
      <c r="Q191" s="110"/>
      <c r="R191" s="110"/>
      <c r="S191" s="181"/>
      <c r="T191" s="181"/>
      <c r="U191" s="181"/>
      <c r="V191" s="181"/>
      <c r="W191" s="182"/>
      <c r="Y191" s="85">
        <f t="shared" si="4"/>
        <v>0</v>
      </c>
      <c r="AF191" s="115">
        <f t="shared" si="8"/>
        <v>0</v>
      </c>
      <c r="AG191" s="115">
        <f t="shared" si="8"/>
        <v>0</v>
      </c>
      <c r="AH191" s="115">
        <f t="shared" si="8"/>
        <v>0</v>
      </c>
      <c r="AI191" s="115">
        <f t="shared" si="8"/>
        <v>0</v>
      </c>
      <c r="AJ191" s="115">
        <f t="shared" si="8"/>
        <v>0</v>
      </c>
      <c r="AK191" s="115">
        <f t="shared" si="8"/>
        <v>0</v>
      </c>
      <c r="AL191" s="115">
        <f t="shared" si="8"/>
        <v>0</v>
      </c>
      <c r="AM191" s="115">
        <f t="shared" si="8"/>
        <v>0</v>
      </c>
      <c r="AN191" s="115">
        <f t="shared" si="8"/>
        <v>0</v>
      </c>
      <c r="AO191" s="118" t="b">
        <f t="shared" si="6"/>
        <v>0</v>
      </c>
      <c r="AP191" s="119" t="b">
        <f t="shared" si="7"/>
        <v>0</v>
      </c>
    </row>
    <row r="192" spans="1:42" ht="23.15" customHeight="1" x14ac:dyDescent="0.35">
      <c r="A192" s="124">
        <v>34</v>
      </c>
      <c r="B192" s="176"/>
      <c r="C192" s="177"/>
      <c r="D192" s="177"/>
      <c r="E192" s="177"/>
      <c r="F192" s="177"/>
      <c r="G192" s="94"/>
      <c r="H192" s="95" t="str">
        <f t="shared" si="3"/>
        <v/>
      </c>
      <c r="I192" s="109"/>
      <c r="J192" s="110"/>
      <c r="K192" s="110"/>
      <c r="L192" s="110"/>
      <c r="M192" s="110"/>
      <c r="N192" s="110"/>
      <c r="O192" s="110"/>
      <c r="P192" s="110"/>
      <c r="Q192" s="110"/>
      <c r="R192" s="110"/>
      <c r="S192" s="181"/>
      <c r="T192" s="181"/>
      <c r="U192" s="181"/>
      <c r="V192" s="181"/>
      <c r="W192" s="182"/>
      <c r="Y192" s="85">
        <f t="shared" si="4"/>
        <v>0</v>
      </c>
      <c r="AF192" s="115">
        <f t="shared" si="8"/>
        <v>0</v>
      </c>
      <c r="AG192" s="115">
        <f t="shared" si="8"/>
        <v>0</v>
      </c>
      <c r="AH192" s="115">
        <f t="shared" si="8"/>
        <v>0</v>
      </c>
      <c r="AI192" s="115">
        <f t="shared" si="8"/>
        <v>0</v>
      </c>
      <c r="AJ192" s="115">
        <f t="shared" si="8"/>
        <v>0</v>
      </c>
      <c r="AK192" s="115">
        <f t="shared" si="8"/>
        <v>0</v>
      </c>
      <c r="AL192" s="115">
        <f t="shared" si="8"/>
        <v>0</v>
      </c>
      <c r="AM192" s="115">
        <f t="shared" si="8"/>
        <v>0</v>
      </c>
      <c r="AN192" s="115">
        <f t="shared" si="8"/>
        <v>0</v>
      </c>
      <c r="AO192" s="118" t="b">
        <f t="shared" si="6"/>
        <v>0</v>
      </c>
      <c r="AP192" s="119" t="b">
        <f t="shared" si="7"/>
        <v>0</v>
      </c>
    </row>
    <row r="193" spans="1:42" ht="23.15" customHeight="1" x14ac:dyDescent="0.35">
      <c r="A193" s="124">
        <v>35</v>
      </c>
      <c r="B193" s="176"/>
      <c r="C193" s="177"/>
      <c r="D193" s="177"/>
      <c r="E193" s="177"/>
      <c r="F193" s="177"/>
      <c r="G193" s="94"/>
      <c r="H193" s="95" t="str">
        <f t="shared" si="3"/>
        <v/>
      </c>
      <c r="I193" s="109"/>
      <c r="J193" s="110"/>
      <c r="K193" s="110"/>
      <c r="L193" s="110"/>
      <c r="M193" s="110"/>
      <c r="N193" s="110"/>
      <c r="O193" s="110"/>
      <c r="P193" s="110"/>
      <c r="Q193" s="110"/>
      <c r="R193" s="110"/>
      <c r="S193" s="181"/>
      <c r="T193" s="181"/>
      <c r="U193" s="181"/>
      <c r="V193" s="181"/>
      <c r="W193" s="182"/>
      <c r="Y193" s="85">
        <f t="shared" si="4"/>
        <v>0</v>
      </c>
      <c r="AF193" s="115">
        <f t="shared" si="8"/>
        <v>0</v>
      </c>
      <c r="AG193" s="115">
        <f t="shared" si="8"/>
        <v>0</v>
      </c>
      <c r="AH193" s="115">
        <f t="shared" si="8"/>
        <v>0</v>
      </c>
      <c r="AI193" s="115">
        <f t="shared" si="8"/>
        <v>0</v>
      </c>
      <c r="AJ193" s="115">
        <f t="shared" si="8"/>
        <v>0</v>
      </c>
      <c r="AK193" s="115">
        <f t="shared" si="8"/>
        <v>0</v>
      </c>
      <c r="AL193" s="115">
        <f t="shared" si="8"/>
        <v>0</v>
      </c>
      <c r="AM193" s="115">
        <f t="shared" si="8"/>
        <v>0</v>
      </c>
      <c r="AN193" s="115">
        <f t="shared" si="8"/>
        <v>0</v>
      </c>
      <c r="AO193" s="118" t="b">
        <f t="shared" si="6"/>
        <v>0</v>
      </c>
      <c r="AP193" s="119" t="b">
        <f t="shared" si="7"/>
        <v>0</v>
      </c>
    </row>
    <row r="194" spans="1:42" ht="23.15" customHeight="1" x14ac:dyDescent="0.35">
      <c r="A194" s="124">
        <v>36</v>
      </c>
      <c r="B194" s="176"/>
      <c r="C194" s="177"/>
      <c r="D194" s="177"/>
      <c r="E194" s="177"/>
      <c r="F194" s="177"/>
      <c r="G194" s="94"/>
      <c r="H194" s="95" t="str">
        <f t="shared" si="3"/>
        <v/>
      </c>
      <c r="I194" s="109"/>
      <c r="J194" s="110"/>
      <c r="K194" s="110"/>
      <c r="L194" s="110"/>
      <c r="M194" s="110"/>
      <c r="N194" s="110"/>
      <c r="O194" s="110"/>
      <c r="P194" s="110"/>
      <c r="Q194" s="110"/>
      <c r="R194" s="110"/>
      <c r="S194" s="181"/>
      <c r="T194" s="181"/>
      <c r="U194" s="181"/>
      <c r="V194" s="181"/>
      <c r="W194" s="182"/>
      <c r="Y194" s="85">
        <f t="shared" si="4"/>
        <v>0</v>
      </c>
      <c r="AF194" s="115">
        <f t="shared" si="8"/>
        <v>0</v>
      </c>
      <c r="AG194" s="115">
        <f t="shared" si="8"/>
        <v>0</v>
      </c>
      <c r="AH194" s="115">
        <f t="shared" si="8"/>
        <v>0</v>
      </c>
      <c r="AI194" s="115">
        <f t="shared" si="8"/>
        <v>0</v>
      </c>
      <c r="AJ194" s="115">
        <f t="shared" si="8"/>
        <v>0</v>
      </c>
      <c r="AK194" s="115">
        <f t="shared" si="8"/>
        <v>0</v>
      </c>
      <c r="AL194" s="115">
        <f t="shared" si="8"/>
        <v>0</v>
      </c>
      <c r="AM194" s="115">
        <f t="shared" si="8"/>
        <v>0</v>
      </c>
      <c r="AN194" s="115">
        <f t="shared" si="8"/>
        <v>0</v>
      </c>
      <c r="AO194" s="118" t="b">
        <f t="shared" si="6"/>
        <v>0</v>
      </c>
      <c r="AP194" s="119" t="b">
        <f t="shared" si="7"/>
        <v>0</v>
      </c>
    </row>
    <row r="195" spans="1:42" ht="23.15" customHeight="1" x14ac:dyDescent="0.35">
      <c r="A195" s="124">
        <v>37</v>
      </c>
      <c r="B195" s="176"/>
      <c r="C195" s="177"/>
      <c r="D195" s="177"/>
      <c r="E195" s="177"/>
      <c r="F195" s="177"/>
      <c r="G195" s="94"/>
      <c r="H195" s="95" t="str">
        <f t="shared" si="3"/>
        <v/>
      </c>
      <c r="I195" s="109"/>
      <c r="J195" s="110"/>
      <c r="K195" s="110"/>
      <c r="L195" s="110"/>
      <c r="M195" s="110"/>
      <c r="N195" s="110"/>
      <c r="O195" s="110"/>
      <c r="P195" s="110"/>
      <c r="Q195" s="110"/>
      <c r="R195" s="110"/>
      <c r="S195" s="181"/>
      <c r="T195" s="181"/>
      <c r="U195" s="181"/>
      <c r="V195" s="181"/>
      <c r="W195" s="182"/>
      <c r="Y195" s="85">
        <f t="shared" si="4"/>
        <v>0</v>
      </c>
      <c r="AF195" s="115">
        <f t="shared" si="8"/>
        <v>0</v>
      </c>
      <c r="AG195" s="115">
        <f t="shared" si="8"/>
        <v>0</v>
      </c>
      <c r="AH195" s="115">
        <f t="shared" si="8"/>
        <v>0</v>
      </c>
      <c r="AI195" s="115">
        <f t="shared" si="8"/>
        <v>0</v>
      </c>
      <c r="AJ195" s="115">
        <f t="shared" si="8"/>
        <v>0</v>
      </c>
      <c r="AK195" s="115">
        <f t="shared" si="8"/>
        <v>0</v>
      </c>
      <c r="AL195" s="115">
        <f t="shared" si="8"/>
        <v>0</v>
      </c>
      <c r="AM195" s="115">
        <f t="shared" si="8"/>
        <v>0</v>
      </c>
      <c r="AN195" s="115">
        <f t="shared" si="8"/>
        <v>0</v>
      </c>
      <c r="AO195" s="118" t="b">
        <f t="shared" si="6"/>
        <v>0</v>
      </c>
      <c r="AP195" s="119" t="b">
        <f t="shared" si="7"/>
        <v>0</v>
      </c>
    </row>
    <row r="196" spans="1:42" ht="23.15" customHeight="1" x14ac:dyDescent="0.35">
      <c r="A196" s="124">
        <v>38</v>
      </c>
      <c r="B196" s="176"/>
      <c r="C196" s="177"/>
      <c r="D196" s="177"/>
      <c r="E196" s="177"/>
      <c r="F196" s="177"/>
      <c r="G196" s="94"/>
      <c r="H196" s="95" t="str">
        <f t="shared" si="3"/>
        <v/>
      </c>
      <c r="I196" s="109"/>
      <c r="J196" s="110"/>
      <c r="K196" s="110"/>
      <c r="L196" s="110"/>
      <c r="M196" s="110"/>
      <c r="N196" s="110"/>
      <c r="O196" s="110"/>
      <c r="P196" s="110"/>
      <c r="Q196" s="110"/>
      <c r="R196" s="110"/>
      <c r="S196" s="181"/>
      <c r="T196" s="181"/>
      <c r="U196" s="181"/>
      <c r="V196" s="181"/>
      <c r="W196" s="182"/>
      <c r="Y196" s="85">
        <f t="shared" si="4"/>
        <v>0</v>
      </c>
      <c r="AF196" s="115">
        <f t="shared" si="8"/>
        <v>0</v>
      </c>
      <c r="AG196" s="115">
        <f t="shared" si="8"/>
        <v>0</v>
      </c>
      <c r="AH196" s="115">
        <f t="shared" si="8"/>
        <v>0</v>
      </c>
      <c r="AI196" s="115">
        <f t="shared" si="8"/>
        <v>0</v>
      </c>
      <c r="AJ196" s="115">
        <f t="shared" si="8"/>
        <v>0</v>
      </c>
      <c r="AK196" s="115">
        <f t="shared" si="8"/>
        <v>0</v>
      </c>
      <c r="AL196" s="115">
        <f t="shared" si="8"/>
        <v>0</v>
      </c>
      <c r="AM196" s="115">
        <f t="shared" si="8"/>
        <v>0</v>
      </c>
      <c r="AN196" s="115">
        <f t="shared" si="8"/>
        <v>0</v>
      </c>
      <c r="AO196" s="118" t="b">
        <f t="shared" si="6"/>
        <v>0</v>
      </c>
      <c r="AP196" s="119" t="b">
        <f t="shared" si="7"/>
        <v>0</v>
      </c>
    </row>
    <row r="197" spans="1:42" ht="23.15" customHeight="1" x14ac:dyDescent="0.35">
      <c r="A197" s="124">
        <v>39</v>
      </c>
      <c r="B197" s="176"/>
      <c r="C197" s="177"/>
      <c r="D197" s="177"/>
      <c r="E197" s="177"/>
      <c r="F197" s="177"/>
      <c r="G197" s="94"/>
      <c r="H197" s="95" t="str">
        <f t="shared" si="3"/>
        <v/>
      </c>
      <c r="I197" s="109"/>
      <c r="J197" s="110"/>
      <c r="K197" s="110"/>
      <c r="L197" s="110"/>
      <c r="M197" s="110"/>
      <c r="N197" s="110"/>
      <c r="O197" s="110"/>
      <c r="P197" s="110"/>
      <c r="Q197" s="110"/>
      <c r="R197" s="110"/>
      <c r="S197" s="181"/>
      <c r="T197" s="181"/>
      <c r="U197" s="181"/>
      <c r="V197" s="181"/>
      <c r="W197" s="182"/>
      <c r="Y197" s="85">
        <f t="shared" si="4"/>
        <v>0</v>
      </c>
      <c r="AF197" s="115">
        <f t="shared" si="8"/>
        <v>0</v>
      </c>
      <c r="AG197" s="115">
        <f t="shared" si="8"/>
        <v>0</v>
      </c>
      <c r="AH197" s="115">
        <f t="shared" si="8"/>
        <v>0</v>
      </c>
      <c r="AI197" s="115">
        <f t="shared" si="8"/>
        <v>0</v>
      </c>
      <c r="AJ197" s="115">
        <f t="shared" si="8"/>
        <v>0</v>
      </c>
      <c r="AK197" s="115">
        <f t="shared" si="8"/>
        <v>0</v>
      </c>
      <c r="AL197" s="115">
        <f t="shared" si="8"/>
        <v>0</v>
      </c>
      <c r="AM197" s="115">
        <f t="shared" si="8"/>
        <v>0</v>
      </c>
      <c r="AN197" s="115">
        <f t="shared" si="8"/>
        <v>0</v>
      </c>
      <c r="AO197" s="118" t="b">
        <f t="shared" si="6"/>
        <v>0</v>
      </c>
      <c r="AP197" s="119" t="b">
        <f t="shared" si="7"/>
        <v>0</v>
      </c>
    </row>
    <row r="198" spans="1:42" ht="23.15" customHeight="1" x14ac:dyDescent="0.35">
      <c r="A198" s="124">
        <v>40</v>
      </c>
      <c r="B198" s="176"/>
      <c r="C198" s="177"/>
      <c r="D198" s="177"/>
      <c r="E198" s="177"/>
      <c r="F198" s="177"/>
      <c r="G198" s="94"/>
      <c r="H198" s="95" t="str">
        <f t="shared" si="3"/>
        <v/>
      </c>
      <c r="I198" s="109"/>
      <c r="J198" s="110"/>
      <c r="K198" s="110"/>
      <c r="L198" s="110"/>
      <c r="M198" s="110"/>
      <c r="N198" s="110"/>
      <c r="O198" s="110"/>
      <c r="P198" s="110"/>
      <c r="Q198" s="110"/>
      <c r="R198" s="110"/>
      <c r="S198" s="181"/>
      <c r="T198" s="181"/>
      <c r="U198" s="181"/>
      <c r="V198" s="181"/>
      <c r="W198" s="182"/>
      <c r="Y198" s="85">
        <f t="shared" si="4"/>
        <v>0</v>
      </c>
      <c r="AF198" s="115">
        <f t="shared" si="8"/>
        <v>0</v>
      </c>
      <c r="AG198" s="115">
        <f t="shared" si="8"/>
        <v>0</v>
      </c>
      <c r="AH198" s="115">
        <f t="shared" si="8"/>
        <v>0</v>
      </c>
      <c r="AI198" s="115">
        <f t="shared" si="8"/>
        <v>0</v>
      </c>
      <c r="AJ198" s="115">
        <f t="shared" si="8"/>
        <v>0</v>
      </c>
      <c r="AK198" s="115">
        <f t="shared" si="8"/>
        <v>0</v>
      </c>
      <c r="AL198" s="115">
        <f t="shared" si="8"/>
        <v>0</v>
      </c>
      <c r="AM198" s="115">
        <f t="shared" si="8"/>
        <v>0</v>
      </c>
      <c r="AN198" s="115">
        <f t="shared" si="8"/>
        <v>0</v>
      </c>
      <c r="AO198" s="118" t="b">
        <f t="shared" si="6"/>
        <v>0</v>
      </c>
      <c r="AP198" s="119" t="b">
        <f t="shared" si="7"/>
        <v>0</v>
      </c>
    </row>
    <row r="199" spans="1:42" ht="23.15" customHeight="1" x14ac:dyDescent="0.35">
      <c r="A199" s="124">
        <v>41</v>
      </c>
      <c r="B199" s="176"/>
      <c r="C199" s="177"/>
      <c r="D199" s="177"/>
      <c r="E199" s="177"/>
      <c r="F199" s="177"/>
      <c r="G199" s="94"/>
      <c r="H199" s="95" t="str">
        <f t="shared" si="3"/>
        <v/>
      </c>
      <c r="I199" s="109"/>
      <c r="J199" s="110"/>
      <c r="K199" s="110"/>
      <c r="L199" s="110"/>
      <c r="M199" s="110"/>
      <c r="N199" s="110"/>
      <c r="O199" s="110"/>
      <c r="P199" s="110"/>
      <c r="Q199" s="110"/>
      <c r="R199" s="110"/>
      <c r="S199" s="181"/>
      <c r="T199" s="181"/>
      <c r="U199" s="181"/>
      <c r="V199" s="181"/>
      <c r="W199" s="182"/>
      <c r="Y199" s="85">
        <f t="shared" si="4"/>
        <v>0</v>
      </c>
      <c r="AF199" s="115">
        <f t="shared" si="8"/>
        <v>0</v>
      </c>
      <c r="AG199" s="115">
        <f t="shared" si="8"/>
        <v>0</v>
      </c>
      <c r="AH199" s="115">
        <f t="shared" si="8"/>
        <v>0</v>
      </c>
      <c r="AI199" s="115">
        <f t="shared" si="8"/>
        <v>0</v>
      </c>
      <c r="AJ199" s="115">
        <f t="shared" si="8"/>
        <v>0</v>
      </c>
      <c r="AK199" s="115">
        <f t="shared" si="8"/>
        <v>0</v>
      </c>
      <c r="AL199" s="115">
        <f t="shared" si="8"/>
        <v>0</v>
      </c>
      <c r="AM199" s="115">
        <f t="shared" si="8"/>
        <v>0</v>
      </c>
      <c r="AN199" s="115">
        <f t="shared" si="8"/>
        <v>0</v>
      </c>
      <c r="AO199" s="118" t="b">
        <f t="shared" si="6"/>
        <v>0</v>
      </c>
      <c r="AP199" s="119" t="b">
        <f t="shared" si="7"/>
        <v>0</v>
      </c>
    </row>
    <row r="200" spans="1:42" ht="23.15" customHeight="1" x14ac:dyDescent="0.35">
      <c r="A200" s="124">
        <v>42</v>
      </c>
      <c r="B200" s="176"/>
      <c r="C200" s="177"/>
      <c r="D200" s="177"/>
      <c r="E200" s="177"/>
      <c r="F200" s="177"/>
      <c r="G200" s="94"/>
      <c r="H200" s="95" t="str">
        <f t="shared" si="3"/>
        <v/>
      </c>
      <c r="I200" s="109"/>
      <c r="J200" s="110"/>
      <c r="K200" s="110"/>
      <c r="L200" s="110"/>
      <c r="M200" s="110"/>
      <c r="N200" s="110"/>
      <c r="O200" s="110"/>
      <c r="P200" s="110"/>
      <c r="Q200" s="110"/>
      <c r="R200" s="110"/>
      <c r="S200" s="181"/>
      <c r="T200" s="181"/>
      <c r="U200" s="181"/>
      <c r="V200" s="181"/>
      <c r="W200" s="182"/>
      <c r="Y200" s="85">
        <f t="shared" si="4"/>
        <v>0</v>
      </c>
      <c r="AF200" s="115">
        <f t="shared" si="8"/>
        <v>0</v>
      </c>
      <c r="AG200" s="115">
        <f t="shared" si="8"/>
        <v>0</v>
      </c>
      <c r="AH200" s="115">
        <f t="shared" si="8"/>
        <v>0</v>
      </c>
      <c r="AI200" s="115">
        <f t="shared" si="8"/>
        <v>0</v>
      </c>
      <c r="AJ200" s="115">
        <f t="shared" si="8"/>
        <v>0</v>
      </c>
      <c r="AK200" s="115">
        <f t="shared" si="8"/>
        <v>0</v>
      </c>
      <c r="AL200" s="115">
        <f t="shared" si="8"/>
        <v>0</v>
      </c>
      <c r="AM200" s="115">
        <f t="shared" si="8"/>
        <v>0</v>
      </c>
      <c r="AN200" s="115">
        <f t="shared" si="8"/>
        <v>0</v>
      </c>
      <c r="AO200" s="118" t="b">
        <f t="shared" si="6"/>
        <v>0</v>
      </c>
      <c r="AP200" s="119" t="b">
        <f t="shared" si="7"/>
        <v>0</v>
      </c>
    </row>
    <row r="201" spans="1:42" ht="23.15" customHeight="1" x14ac:dyDescent="0.35">
      <c r="A201" s="124">
        <v>43</v>
      </c>
      <c r="B201" s="176"/>
      <c r="C201" s="177"/>
      <c r="D201" s="177"/>
      <c r="E201" s="177"/>
      <c r="F201" s="177"/>
      <c r="G201" s="94"/>
      <c r="H201" s="95" t="str">
        <f t="shared" si="3"/>
        <v/>
      </c>
      <c r="I201" s="109"/>
      <c r="J201" s="110"/>
      <c r="K201" s="110"/>
      <c r="L201" s="110"/>
      <c r="M201" s="110"/>
      <c r="N201" s="110"/>
      <c r="O201" s="110"/>
      <c r="P201" s="110"/>
      <c r="Q201" s="110"/>
      <c r="R201" s="110"/>
      <c r="S201" s="181"/>
      <c r="T201" s="181"/>
      <c r="U201" s="181"/>
      <c r="V201" s="181"/>
      <c r="W201" s="182"/>
      <c r="Y201" s="85">
        <f t="shared" si="4"/>
        <v>0</v>
      </c>
      <c r="AF201" s="115">
        <f t="shared" si="8"/>
        <v>0</v>
      </c>
      <c r="AG201" s="115">
        <f t="shared" si="8"/>
        <v>0</v>
      </c>
      <c r="AH201" s="115">
        <f t="shared" si="8"/>
        <v>0</v>
      </c>
      <c r="AI201" s="115">
        <f t="shared" si="8"/>
        <v>0</v>
      </c>
      <c r="AJ201" s="115">
        <f t="shared" si="8"/>
        <v>0</v>
      </c>
      <c r="AK201" s="115">
        <f t="shared" si="8"/>
        <v>0</v>
      </c>
      <c r="AL201" s="115">
        <f t="shared" si="8"/>
        <v>0</v>
      </c>
      <c r="AM201" s="115">
        <f t="shared" si="8"/>
        <v>0</v>
      </c>
      <c r="AN201" s="115">
        <f t="shared" si="8"/>
        <v>0</v>
      </c>
      <c r="AO201" s="118" t="b">
        <f t="shared" si="6"/>
        <v>0</v>
      </c>
      <c r="AP201" s="119" t="b">
        <f t="shared" si="7"/>
        <v>0</v>
      </c>
    </row>
    <row r="202" spans="1:42" ht="23.15" customHeight="1" x14ac:dyDescent="0.35">
      <c r="A202" s="124">
        <v>44</v>
      </c>
      <c r="B202" s="176"/>
      <c r="C202" s="177"/>
      <c r="D202" s="177"/>
      <c r="E202" s="177"/>
      <c r="F202" s="177"/>
      <c r="G202" s="94"/>
      <c r="H202" s="95" t="str">
        <f t="shared" si="3"/>
        <v/>
      </c>
      <c r="I202" s="109"/>
      <c r="J202" s="110"/>
      <c r="K202" s="110"/>
      <c r="L202" s="110"/>
      <c r="M202" s="110"/>
      <c r="N202" s="110"/>
      <c r="O202" s="110"/>
      <c r="P202" s="110"/>
      <c r="Q202" s="110"/>
      <c r="R202" s="110"/>
      <c r="S202" s="181"/>
      <c r="T202" s="181"/>
      <c r="U202" s="181"/>
      <c r="V202" s="181"/>
      <c r="W202" s="182"/>
      <c r="Y202" s="85">
        <f t="shared" si="4"/>
        <v>0</v>
      </c>
      <c r="AF202" s="115">
        <f t="shared" si="8"/>
        <v>0</v>
      </c>
      <c r="AG202" s="115">
        <f t="shared" si="8"/>
        <v>0</v>
      </c>
      <c r="AH202" s="115">
        <f t="shared" si="8"/>
        <v>0</v>
      </c>
      <c r="AI202" s="115">
        <f t="shared" si="8"/>
        <v>0</v>
      </c>
      <c r="AJ202" s="115">
        <f t="shared" si="8"/>
        <v>0</v>
      </c>
      <c r="AK202" s="115">
        <f t="shared" si="8"/>
        <v>0</v>
      </c>
      <c r="AL202" s="115">
        <f t="shared" si="8"/>
        <v>0</v>
      </c>
      <c r="AM202" s="115">
        <f t="shared" si="8"/>
        <v>0</v>
      </c>
      <c r="AN202" s="115">
        <f t="shared" si="8"/>
        <v>0</v>
      </c>
      <c r="AO202" s="118" t="b">
        <f t="shared" si="6"/>
        <v>0</v>
      </c>
      <c r="AP202" s="119" t="b">
        <f t="shared" si="7"/>
        <v>0</v>
      </c>
    </row>
    <row r="203" spans="1:42" ht="23.15" customHeight="1" x14ac:dyDescent="0.35">
      <c r="A203" s="124">
        <v>45</v>
      </c>
      <c r="B203" s="176"/>
      <c r="C203" s="177"/>
      <c r="D203" s="177"/>
      <c r="E203" s="177"/>
      <c r="F203" s="177"/>
      <c r="G203" s="94"/>
      <c r="H203" s="95" t="str">
        <f t="shared" si="3"/>
        <v/>
      </c>
      <c r="I203" s="109"/>
      <c r="J203" s="110"/>
      <c r="K203" s="110"/>
      <c r="L203" s="110"/>
      <c r="M203" s="110"/>
      <c r="N203" s="110"/>
      <c r="O203" s="110"/>
      <c r="P203" s="110"/>
      <c r="Q203" s="110"/>
      <c r="R203" s="110"/>
      <c r="S203" s="181"/>
      <c r="T203" s="181"/>
      <c r="U203" s="181"/>
      <c r="V203" s="181"/>
      <c r="W203" s="182"/>
      <c r="Y203" s="85">
        <f t="shared" si="4"/>
        <v>0</v>
      </c>
      <c r="AF203" s="115">
        <f t="shared" si="8"/>
        <v>0</v>
      </c>
      <c r="AG203" s="115">
        <f t="shared" si="8"/>
        <v>0</v>
      </c>
      <c r="AH203" s="115">
        <f t="shared" si="8"/>
        <v>0</v>
      </c>
      <c r="AI203" s="115">
        <f t="shared" si="8"/>
        <v>0</v>
      </c>
      <c r="AJ203" s="115">
        <f t="shared" si="8"/>
        <v>0</v>
      </c>
      <c r="AK203" s="115">
        <f t="shared" si="8"/>
        <v>0</v>
      </c>
      <c r="AL203" s="115">
        <f t="shared" si="8"/>
        <v>0</v>
      </c>
      <c r="AM203" s="115">
        <f t="shared" si="8"/>
        <v>0</v>
      </c>
      <c r="AN203" s="115">
        <f t="shared" si="8"/>
        <v>0</v>
      </c>
      <c r="AO203" s="118" t="b">
        <f t="shared" si="6"/>
        <v>0</v>
      </c>
      <c r="AP203" s="119" t="b">
        <f t="shared" si="7"/>
        <v>0</v>
      </c>
    </row>
    <row r="204" spans="1:42" ht="23.15" customHeight="1" x14ac:dyDescent="0.35">
      <c r="A204" s="124">
        <v>46</v>
      </c>
      <c r="B204" s="176"/>
      <c r="C204" s="177"/>
      <c r="D204" s="177"/>
      <c r="E204" s="177"/>
      <c r="F204" s="177"/>
      <c r="G204" s="94"/>
      <c r="H204" s="95" t="str">
        <f t="shared" si="3"/>
        <v/>
      </c>
      <c r="I204" s="109"/>
      <c r="J204" s="110"/>
      <c r="K204" s="110"/>
      <c r="L204" s="110"/>
      <c r="M204" s="110"/>
      <c r="N204" s="110"/>
      <c r="O204" s="110"/>
      <c r="P204" s="110"/>
      <c r="Q204" s="110"/>
      <c r="R204" s="110"/>
      <c r="S204" s="181"/>
      <c r="T204" s="181"/>
      <c r="U204" s="181"/>
      <c r="V204" s="181"/>
      <c r="W204" s="182"/>
      <c r="Y204" s="85">
        <f t="shared" si="4"/>
        <v>0</v>
      </c>
      <c r="AF204" s="115">
        <f t="shared" si="8"/>
        <v>0</v>
      </c>
      <c r="AG204" s="115">
        <f t="shared" si="8"/>
        <v>0</v>
      </c>
      <c r="AH204" s="115">
        <f t="shared" si="8"/>
        <v>0</v>
      </c>
      <c r="AI204" s="115">
        <f t="shared" ref="AG204:AN236" si="9">IF(COUNTIF($J204:$R204,AI$158)&gt;0,1,0)</f>
        <v>0</v>
      </c>
      <c r="AJ204" s="115">
        <f t="shared" si="9"/>
        <v>0</v>
      </c>
      <c r="AK204" s="115">
        <f t="shared" si="9"/>
        <v>0</v>
      </c>
      <c r="AL204" s="115">
        <f t="shared" si="9"/>
        <v>0</v>
      </c>
      <c r="AM204" s="115">
        <f t="shared" si="9"/>
        <v>0</v>
      </c>
      <c r="AN204" s="115">
        <f t="shared" si="9"/>
        <v>0</v>
      </c>
      <c r="AO204" s="118" t="b">
        <f t="shared" si="6"/>
        <v>0</v>
      </c>
      <c r="AP204" s="119" t="b">
        <f t="shared" si="7"/>
        <v>0</v>
      </c>
    </row>
    <row r="205" spans="1:42" ht="23.15" customHeight="1" x14ac:dyDescent="0.35">
      <c r="A205" s="124">
        <v>47</v>
      </c>
      <c r="B205" s="176"/>
      <c r="C205" s="177"/>
      <c r="D205" s="177"/>
      <c r="E205" s="177"/>
      <c r="F205" s="177"/>
      <c r="G205" s="94"/>
      <c r="H205" s="95" t="str">
        <f t="shared" si="3"/>
        <v/>
      </c>
      <c r="I205" s="109"/>
      <c r="J205" s="110"/>
      <c r="K205" s="110"/>
      <c r="L205" s="110"/>
      <c r="M205" s="110"/>
      <c r="N205" s="110"/>
      <c r="O205" s="110"/>
      <c r="P205" s="110"/>
      <c r="Q205" s="110"/>
      <c r="R205" s="110"/>
      <c r="S205" s="181"/>
      <c r="T205" s="181"/>
      <c r="U205" s="181"/>
      <c r="V205" s="181"/>
      <c r="W205" s="182"/>
      <c r="Y205" s="85">
        <f t="shared" si="4"/>
        <v>0</v>
      </c>
      <c r="AF205" s="115">
        <f t="shared" ref="AF205:AN268" si="10">IF(COUNTIF($J205:$R205,AF$158)&gt;0,1,0)</f>
        <v>0</v>
      </c>
      <c r="AG205" s="115">
        <f t="shared" si="9"/>
        <v>0</v>
      </c>
      <c r="AH205" s="115">
        <f t="shared" si="9"/>
        <v>0</v>
      </c>
      <c r="AI205" s="115">
        <f t="shared" si="9"/>
        <v>0</v>
      </c>
      <c r="AJ205" s="115">
        <f t="shared" si="9"/>
        <v>0</v>
      </c>
      <c r="AK205" s="115">
        <f t="shared" si="9"/>
        <v>0</v>
      </c>
      <c r="AL205" s="115">
        <f t="shared" si="9"/>
        <v>0</v>
      </c>
      <c r="AM205" s="115">
        <f t="shared" si="9"/>
        <v>0</v>
      </c>
      <c r="AN205" s="115">
        <f t="shared" si="9"/>
        <v>0</v>
      </c>
      <c r="AO205" s="118" t="b">
        <f t="shared" si="6"/>
        <v>0</v>
      </c>
      <c r="AP205" s="119" t="b">
        <f t="shared" si="7"/>
        <v>0</v>
      </c>
    </row>
    <row r="206" spans="1:42" ht="23.15" customHeight="1" x14ac:dyDescent="0.35">
      <c r="A206" s="124">
        <v>48</v>
      </c>
      <c r="B206" s="176"/>
      <c r="C206" s="177"/>
      <c r="D206" s="177"/>
      <c r="E206" s="177"/>
      <c r="F206" s="177"/>
      <c r="G206" s="94"/>
      <c r="H206" s="95" t="str">
        <f t="shared" si="3"/>
        <v/>
      </c>
      <c r="I206" s="109"/>
      <c r="J206" s="110"/>
      <c r="K206" s="110"/>
      <c r="L206" s="110"/>
      <c r="M206" s="110"/>
      <c r="N206" s="110"/>
      <c r="O206" s="110"/>
      <c r="P206" s="110"/>
      <c r="Q206" s="110"/>
      <c r="R206" s="110"/>
      <c r="S206" s="181"/>
      <c r="T206" s="181"/>
      <c r="U206" s="181"/>
      <c r="V206" s="181"/>
      <c r="W206" s="182"/>
      <c r="Y206" s="85">
        <f t="shared" si="4"/>
        <v>0</v>
      </c>
      <c r="AF206" s="115">
        <f t="shared" si="10"/>
        <v>0</v>
      </c>
      <c r="AG206" s="115">
        <f t="shared" si="9"/>
        <v>0</v>
      </c>
      <c r="AH206" s="115">
        <f t="shared" si="9"/>
        <v>0</v>
      </c>
      <c r="AI206" s="115">
        <f t="shared" si="9"/>
        <v>0</v>
      </c>
      <c r="AJ206" s="115">
        <f t="shared" si="9"/>
        <v>0</v>
      </c>
      <c r="AK206" s="115">
        <f t="shared" si="9"/>
        <v>0</v>
      </c>
      <c r="AL206" s="115">
        <f t="shared" si="9"/>
        <v>0</v>
      </c>
      <c r="AM206" s="115">
        <f t="shared" si="9"/>
        <v>0</v>
      </c>
      <c r="AN206" s="115">
        <f t="shared" si="9"/>
        <v>0</v>
      </c>
      <c r="AO206" s="118" t="b">
        <f t="shared" si="6"/>
        <v>0</v>
      </c>
      <c r="AP206" s="119" t="b">
        <f t="shared" si="7"/>
        <v>0</v>
      </c>
    </row>
    <row r="207" spans="1:42" ht="23.15" customHeight="1" x14ac:dyDescent="0.35">
      <c r="A207" s="124">
        <v>49</v>
      </c>
      <c r="B207" s="176"/>
      <c r="C207" s="177"/>
      <c r="D207" s="177"/>
      <c r="E207" s="177"/>
      <c r="F207" s="177"/>
      <c r="G207" s="94"/>
      <c r="H207" s="95" t="str">
        <f t="shared" si="3"/>
        <v/>
      </c>
      <c r="I207" s="109"/>
      <c r="J207" s="110"/>
      <c r="K207" s="110"/>
      <c r="L207" s="110"/>
      <c r="M207" s="110"/>
      <c r="N207" s="110"/>
      <c r="O207" s="110"/>
      <c r="P207" s="110"/>
      <c r="Q207" s="110"/>
      <c r="R207" s="110"/>
      <c r="S207" s="181"/>
      <c r="T207" s="181"/>
      <c r="U207" s="181"/>
      <c r="V207" s="181"/>
      <c r="W207" s="182"/>
      <c r="Y207" s="85">
        <f t="shared" si="4"/>
        <v>0</v>
      </c>
      <c r="AF207" s="115">
        <f t="shared" si="10"/>
        <v>0</v>
      </c>
      <c r="AG207" s="115">
        <f t="shared" si="9"/>
        <v>0</v>
      </c>
      <c r="AH207" s="115">
        <f t="shared" si="9"/>
        <v>0</v>
      </c>
      <c r="AI207" s="115">
        <f t="shared" si="9"/>
        <v>0</v>
      </c>
      <c r="AJ207" s="115">
        <f t="shared" si="9"/>
        <v>0</v>
      </c>
      <c r="AK207" s="115">
        <f t="shared" si="9"/>
        <v>0</v>
      </c>
      <c r="AL207" s="115">
        <f t="shared" si="9"/>
        <v>0</v>
      </c>
      <c r="AM207" s="115">
        <f t="shared" si="9"/>
        <v>0</v>
      </c>
      <c r="AN207" s="115">
        <f t="shared" si="9"/>
        <v>0</v>
      </c>
      <c r="AO207" s="118" t="b">
        <f t="shared" si="6"/>
        <v>0</v>
      </c>
      <c r="AP207" s="119" t="b">
        <f t="shared" si="7"/>
        <v>0</v>
      </c>
    </row>
    <row r="208" spans="1:42" ht="23.15" customHeight="1" x14ac:dyDescent="0.35">
      <c r="A208" s="124">
        <v>50</v>
      </c>
      <c r="B208" s="176"/>
      <c r="C208" s="177"/>
      <c r="D208" s="177"/>
      <c r="E208" s="177"/>
      <c r="F208" s="177"/>
      <c r="G208" s="94"/>
      <c r="H208" s="95" t="str">
        <f t="shared" si="3"/>
        <v/>
      </c>
      <c r="I208" s="109"/>
      <c r="J208" s="110"/>
      <c r="K208" s="110"/>
      <c r="L208" s="110"/>
      <c r="M208" s="110"/>
      <c r="N208" s="110"/>
      <c r="O208" s="110"/>
      <c r="P208" s="110"/>
      <c r="Q208" s="110"/>
      <c r="R208" s="110"/>
      <c r="S208" s="181"/>
      <c r="T208" s="181"/>
      <c r="U208" s="181"/>
      <c r="V208" s="181"/>
      <c r="W208" s="182"/>
      <c r="Y208" s="85">
        <f t="shared" si="4"/>
        <v>0</v>
      </c>
      <c r="AF208" s="115">
        <f t="shared" si="10"/>
        <v>0</v>
      </c>
      <c r="AG208" s="115">
        <f t="shared" si="9"/>
        <v>0</v>
      </c>
      <c r="AH208" s="115">
        <f t="shared" si="9"/>
        <v>0</v>
      </c>
      <c r="AI208" s="115">
        <f t="shared" si="9"/>
        <v>0</v>
      </c>
      <c r="AJ208" s="115">
        <f t="shared" si="9"/>
        <v>0</v>
      </c>
      <c r="AK208" s="115">
        <f t="shared" si="9"/>
        <v>0</v>
      </c>
      <c r="AL208" s="115">
        <f t="shared" si="9"/>
        <v>0</v>
      </c>
      <c r="AM208" s="115">
        <f t="shared" si="9"/>
        <v>0</v>
      </c>
      <c r="AN208" s="115">
        <f t="shared" si="9"/>
        <v>0</v>
      </c>
      <c r="AO208" s="118" t="b">
        <f t="shared" si="6"/>
        <v>0</v>
      </c>
      <c r="AP208" s="119" t="b">
        <f t="shared" si="7"/>
        <v>0</v>
      </c>
    </row>
    <row r="209" spans="1:42" ht="23.15" customHeight="1" x14ac:dyDescent="0.35">
      <c r="A209" s="124">
        <v>51</v>
      </c>
      <c r="B209" s="176"/>
      <c r="C209" s="177"/>
      <c r="D209" s="177"/>
      <c r="E209" s="177"/>
      <c r="F209" s="177"/>
      <c r="G209" s="94"/>
      <c r="H209" s="95" t="str">
        <f t="shared" si="3"/>
        <v/>
      </c>
      <c r="I209" s="109"/>
      <c r="J209" s="110"/>
      <c r="K209" s="110"/>
      <c r="L209" s="110"/>
      <c r="M209" s="110"/>
      <c r="N209" s="110"/>
      <c r="O209" s="110"/>
      <c r="P209" s="110"/>
      <c r="Q209" s="110"/>
      <c r="R209" s="110"/>
      <c r="S209" s="181"/>
      <c r="T209" s="181"/>
      <c r="U209" s="181"/>
      <c r="V209" s="181"/>
      <c r="W209" s="182"/>
      <c r="Y209" s="85">
        <f t="shared" si="4"/>
        <v>0</v>
      </c>
      <c r="AF209" s="115">
        <f t="shared" si="10"/>
        <v>0</v>
      </c>
      <c r="AG209" s="115">
        <f t="shared" si="9"/>
        <v>0</v>
      </c>
      <c r="AH209" s="115">
        <f t="shared" si="9"/>
        <v>0</v>
      </c>
      <c r="AI209" s="115">
        <f t="shared" si="9"/>
        <v>0</v>
      </c>
      <c r="AJ209" s="115">
        <f t="shared" si="9"/>
        <v>0</v>
      </c>
      <c r="AK209" s="115">
        <f t="shared" si="9"/>
        <v>0</v>
      </c>
      <c r="AL209" s="115">
        <f t="shared" si="9"/>
        <v>0</v>
      </c>
      <c r="AM209" s="115">
        <f t="shared" si="9"/>
        <v>0</v>
      </c>
      <c r="AN209" s="115">
        <f t="shared" si="9"/>
        <v>0</v>
      </c>
      <c r="AO209" s="118" t="b">
        <f t="shared" si="6"/>
        <v>0</v>
      </c>
      <c r="AP209" s="119" t="b">
        <f t="shared" si="7"/>
        <v>0</v>
      </c>
    </row>
    <row r="210" spans="1:42" ht="23.15" customHeight="1" x14ac:dyDescent="0.35">
      <c r="A210" s="124">
        <v>52</v>
      </c>
      <c r="B210" s="176"/>
      <c r="C210" s="177"/>
      <c r="D210" s="177"/>
      <c r="E210" s="177"/>
      <c r="F210" s="177"/>
      <c r="G210" s="94"/>
      <c r="H210" s="95" t="str">
        <f t="shared" si="3"/>
        <v/>
      </c>
      <c r="I210" s="109"/>
      <c r="J210" s="110"/>
      <c r="K210" s="110"/>
      <c r="L210" s="110"/>
      <c r="M210" s="110"/>
      <c r="N210" s="110"/>
      <c r="O210" s="110"/>
      <c r="P210" s="110"/>
      <c r="Q210" s="110"/>
      <c r="R210" s="110"/>
      <c r="S210" s="181"/>
      <c r="T210" s="181"/>
      <c r="U210" s="181"/>
      <c r="V210" s="181"/>
      <c r="W210" s="182"/>
      <c r="Y210" s="85">
        <f t="shared" si="4"/>
        <v>0</v>
      </c>
      <c r="AF210" s="115">
        <f t="shared" si="10"/>
        <v>0</v>
      </c>
      <c r="AG210" s="115">
        <f t="shared" si="9"/>
        <v>0</v>
      </c>
      <c r="AH210" s="115">
        <f t="shared" si="9"/>
        <v>0</v>
      </c>
      <c r="AI210" s="115">
        <f t="shared" si="9"/>
        <v>0</v>
      </c>
      <c r="AJ210" s="115">
        <f t="shared" si="9"/>
        <v>0</v>
      </c>
      <c r="AK210" s="115">
        <f t="shared" si="9"/>
        <v>0</v>
      </c>
      <c r="AL210" s="115">
        <f t="shared" si="9"/>
        <v>0</v>
      </c>
      <c r="AM210" s="115">
        <f t="shared" si="9"/>
        <v>0</v>
      </c>
      <c r="AN210" s="115">
        <f t="shared" si="9"/>
        <v>0</v>
      </c>
      <c r="AO210" s="118" t="b">
        <f t="shared" si="6"/>
        <v>0</v>
      </c>
      <c r="AP210" s="119" t="b">
        <f t="shared" si="7"/>
        <v>0</v>
      </c>
    </row>
    <row r="211" spans="1:42" ht="23.15" customHeight="1" x14ac:dyDescent="0.35">
      <c r="A211" s="124">
        <v>53</v>
      </c>
      <c r="B211" s="176"/>
      <c r="C211" s="177"/>
      <c r="D211" s="177"/>
      <c r="E211" s="177"/>
      <c r="F211" s="177"/>
      <c r="G211" s="94"/>
      <c r="H211" s="95" t="str">
        <f t="shared" si="3"/>
        <v/>
      </c>
      <c r="I211" s="109"/>
      <c r="J211" s="110"/>
      <c r="K211" s="110"/>
      <c r="L211" s="110"/>
      <c r="M211" s="110"/>
      <c r="N211" s="110"/>
      <c r="O211" s="110"/>
      <c r="P211" s="110"/>
      <c r="Q211" s="110"/>
      <c r="R211" s="110"/>
      <c r="S211" s="181"/>
      <c r="T211" s="181"/>
      <c r="U211" s="181"/>
      <c r="V211" s="181"/>
      <c r="W211" s="182"/>
      <c r="Y211" s="85">
        <f t="shared" si="4"/>
        <v>0</v>
      </c>
      <c r="AF211" s="115">
        <f t="shared" si="10"/>
        <v>0</v>
      </c>
      <c r="AG211" s="115">
        <f t="shared" si="9"/>
        <v>0</v>
      </c>
      <c r="AH211" s="115">
        <f t="shared" si="9"/>
        <v>0</v>
      </c>
      <c r="AI211" s="115">
        <f t="shared" si="9"/>
        <v>0</v>
      </c>
      <c r="AJ211" s="115">
        <f t="shared" si="9"/>
        <v>0</v>
      </c>
      <c r="AK211" s="115">
        <f t="shared" si="9"/>
        <v>0</v>
      </c>
      <c r="AL211" s="115">
        <f t="shared" si="9"/>
        <v>0</v>
      </c>
      <c r="AM211" s="115">
        <f t="shared" si="9"/>
        <v>0</v>
      </c>
      <c r="AN211" s="115">
        <f t="shared" si="9"/>
        <v>0</v>
      </c>
      <c r="AO211" s="118" t="b">
        <f t="shared" si="6"/>
        <v>0</v>
      </c>
      <c r="AP211" s="119" t="b">
        <f t="shared" si="7"/>
        <v>0</v>
      </c>
    </row>
    <row r="212" spans="1:42" ht="23.15" customHeight="1" x14ac:dyDescent="0.35">
      <c r="A212" s="124">
        <v>54</v>
      </c>
      <c r="B212" s="176"/>
      <c r="C212" s="177"/>
      <c r="D212" s="177"/>
      <c r="E212" s="177"/>
      <c r="F212" s="177"/>
      <c r="G212" s="94"/>
      <c r="H212" s="95" t="str">
        <f t="shared" si="3"/>
        <v/>
      </c>
      <c r="I212" s="109"/>
      <c r="J212" s="110"/>
      <c r="K212" s="110"/>
      <c r="L212" s="110"/>
      <c r="M212" s="110"/>
      <c r="N212" s="110"/>
      <c r="O212" s="110"/>
      <c r="P212" s="110"/>
      <c r="Q212" s="110"/>
      <c r="R212" s="110"/>
      <c r="S212" s="181"/>
      <c r="T212" s="181"/>
      <c r="U212" s="181"/>
      <c r="V212" s="181"/>
      <c r="W212" s="182"/>
      <c r="Y212" s="85">
        <f t="shared" si="4"/>
        <v>0</v>
      </c>
      <c r="AF212" s="115">
        <f t="shared" si="10"/>
        <v>0</v>
      </c>
      <c r="AG212" s="115">
        <f t="shared" si="9"/>
        <v>0</v>
      </c>
      <c r="AH212" s="115">
        <f t="shared" si="9"/>
        <v>0</v>
      </c>
      <c r="AI212" s="115">
        <f t="shared" si="9"/>
        <v>0</v>
      </c>
      <c r="AJ212" s="115">
        <f t="shared" si="9"/>
        <v>0</v>
      </c>
      <c r="AK212" s="115">
        <f t="shared" si="9"/>
        <v>0</v>
      </c>
      <c r="AL212" s="115">
        <f t="shared" si="9"/>
        <v>0</v>
      </c>
      <c r="AM212" s="115">
        <f t="shared" si="9"/>
        <v>0</v>
      </c>
      <c r="AN212" s="115">
        <f t="shared" si="9"/>
        <v>0</v>
      </c>
      <c r="AO212" s="118" t="b">
        <f t="shared" si="6"/>
        <v>0</v>
      </c>
      <c r="AP212" s="119" t="b">
        <f t="shared" si="7"/>
        <v>0</v>
      </c>
    </row>
    <row r="213" spans="1:42" ht="23.15" customHeight="1" x14ac:dyDescent="0.35">
      <c r="A213" s="124">
        <v>55</v>
      </c>
      <c r="B213" s="176"/>
      <c r="C213" s="177"/>
      <c r="D213" s="177"/>
      <c r="E213" s="177"/>
      <c r="F213" s="177"/>
      <c r="G213" s="94"/>
      <c r="H213" s="95" t="str">
        <f t="shared" si="3"/>
        <v/>
      </c>
      <c r="I213" s="109"/>
      <c r="J213" s="110"/>
      <c r="K213" s="110"/>
      <c r="L213" s="110"/>
      <c r="M213" s="110"/>
      <c r="N213" s="110"/>
      <c r="O213" s="110"/>
      <c r="P213" s="110"/>
      <c r="Q213" s="110"/>
      <c r="R213" s="110"/>
      <c r="S213" s="181"/>
      <c r="T213" s="181"/>
      <c r="U213" s="181"/>
      <c r="V213" s="181"/>
      <c r="W213" s="182"/>
      <c r="Y213" s="85">
        <f t="shared" si="4"/>
        <v>0</v>
      </c>
      <c r="AF213" s="115">
        <f t="shared" si="10"/>
        <v>0</v>
      </c>
      <c r="AG213" s="115">
        <f t="shared" si="9"/>
        <v>0</v>
      </c>
      <c r="AH213" s="115">
        <f t="shared" si="9"/>
        <v>0</v>
      </c>
      <c r="AI213" s="115">
        <f t="shared" si="9"/>
        <v>0</v>
      </c>
      <c r="AJ213" s="115">
        <f t="shared" si="9"/>
        <v>0</v>
      </c>
      <c r="AK213" s="115">
        <f t="shared" si="9"/>
        <v>0</v>
      </c>
      <c r="AL213" s="115">
        <f t="shared" si="9"/>
        <v>0</v>
      </c>
      <c r="AM213" s="115">
        <f t="shared" si="9"/>
        <v>0</v>
      </c>
      <c r="AN213" s="115">
        <f t="shared" si="9"/>
        <v>0</v>
      </c>
      <c r="AO213" s="118" t="b">
        <f t="shared" si="6"/>
        <v>0</v>
      </c>
      <c r="AP213" s="119" t="b">
        <f t="shared" si="7"/>
        <v>0</v>
      </c>
    </row>
    <row r="214" spans="1:42" ht="23.15" customHeight="1" x14ac:dyDescent="0.35">
      <c r="A214" s="124">
        <v>56</v>
      </c>
      <c r="B214" s="176"/>
      <c r="C214" s="177"/>
      <c r="D214" s="177"/>
      <c r="E214" s="177"/>
      <c r="F214" s="177"/>
      <c r="G214" s="94"/>
      <c r="H214" s="95" t="str">
        <f t="shared" si="3"/>
        <v/>
      </c>
      <c r="I214" s="109"/>
      <c r="J214" s="110"/>
      <c r="K214" s="110"/>
      <c r="L214" s="110"/>
      <c r="M214" s="110"/>
      <c r="N214" s="110"/>
      <c r="O214" s="110"/>
      <c r="P214" s="110"/>
      <c r="Q214" s="110"/>
      <c r="R214" s="110"/>
      <c r="S214" s="181"/>
      <c r="T214" s="181"/>
      <c r="U214" s="181"/>
      <c r="V214" s="181"/>
      <c r="W214" s="182"/>
      <c r="Y214" s="85">
        <f t="shared" si="4"/>
        <v>0</v>
      </c>
      <c r="AF214" s="115">
        <f t="shared" si="10"/>
        <v>0</v>
      </c>
      <c r="AG214" s="115">
        <f t="shared" si="9"/>
        <v>0</v>
      </c>
      <c r="AH214" s="115">
        <f t="shared" si="9"/>
        <v>0</v>
      </c>
      <c r="AI214" s="115">
        <f t="shared" si="9"/>
        <v>0</v>
      </c>
      <c r="AJ214" s="115">
        <f t="shared" si="9"/>
        <v>0</v>
      </c>
      <c r="AK214" s="115">
        <f t="shared" si="9"/>
        <v>0</v>
      </c>
      <c r="AL214" s="115">
        <f t="shared" si="9"/>
        <v>0</v>
      </c>
      <c r="AM214" s="115">
        <f t="shared" si="9"/>
        <v>0</v>
      </c>
      <c r="AN214" s="115">
        <f t="shared" si="9"/>
        <v>0</v>
      </c>
      <c r="AO214" s="118" t="b">
        <f t="shared" si="6"/>
        <v>0</v>
      </c>
      <c r="AP214" s="119" t="b">
        <f t="shared" si="7"/>
        <v>0</v>
      </c>
    </row>
    <row r="215" spans="1:42" ht="23.15" customHeight="1" x14ac:dyDescent="0.35">
      <c r="A215" s="124">
        <v>57</v>
      </c>
      <c r="B215" s="176"/>
      <c r="C215" s="177"/>
      <c r="D215" s="177"/>
      <c r="E215" s="177"/>
      <c r="F215" s="177"/>
      <c r="G215" s="94"/>
      <c r="H215" s="95" t="str">
        <f t="shared" si="3"/>
        <v/>
      </c>
      <c r="I215" s="109"/>
      <c r="J215" s="110"/>
      <c r="K215" s="110"/>
      <c r="L215" s="110"/>
      <c r="M215" s="110"/>
      <c r="N215" s="110"/>
      <c r="O215" s="110"/>
      <c r="P215" s="110"/>
      <c r="Q215" s="110"/>
      <c r="R215" s="110"/>
      <c r="S215" s="181"/>
      <c r="T215" s="181"/>
      <c r="U215" s="181"/>
      <c r="V215" s="181"/>
      <c r="W215" s="182"/>
      <c r="Y215" s="85">
        <f t="shared" si="4"/>
        <v>0</v>
      </c>
      <c r="AF215" s="115">
        <f t="shared" si="10"/>
        <v>0</v>
      </c>
      <c r="AG215" s="115">
        <f t="shared" si="9"/>
        <v>0</v>
      </c>
      <c r="AH215" s="115">
        <f t="shared" si="9"/>
        <v>0</v>
      </c>
      <c r="AI215" s="115">
        <f t="shared" si="9"/>
        <v>0</v>
      </c>
      <c r="AJ215" s="115">
        <f t="shared" si="9"/>
        <v>0</v>
      </c>
      <c r="AK215" s="115">
        <f t="shared" si="9"/>
        <v>0</v>
      </c>
      <c r="AL215" s="115">
        <f t="shared" si="9"/>
        <v>0</v>
      </c>
      <c r="AM215" s="115">
        <f t="shared" si="9"/>
        <v>0</v>
      </c>
      <c r="AN215" s="115">
        <f t="shared" si="9"/>
        <v>0</v>
      </c>
      <c r="AO215" s="118" t="b">
        <f t="shared" si="6"/>
        <v>0</v>
      </c>
      <c r="AP215" s="119" t="b">
        <f t="shared" si="7"/>
        <v>0</v>
      </c>
    </row>
    <row r="216" spans="1:42" ht="23.15" customHeight="1" x14ac:dyDescent="0.35">
      <c r="A216" s="124">
        <v>58</v>
      </c>
      <c r="B216" s="176"/>
      <c r="C216" s="177"/>
      <c r="D216" s="177"/>
      <c r="E216" s="177"/>
      <c r="F216" s="177"/>
      <c r="G216" s="94"/>
      <c r="H216" s="95" t="str">
        <f t="shared" si="3"/>
        <v/>
      </c>
      <c r="I216" s="109"/>
      <c r="J216" s="110"/>
      <c r="K216" s="110"/>
      <c r="L216" s="110"/>
      <c r="M216" s="110"/>
      <c r="N216" s="110"/>
      <c r="O216" s="110"/>
      <c r="P216" s="110"/>
      <c r="Q216" s="110"/>
      <c r="R216" s="110"/>
      <c r="S216" s="181"/>
      <c r="T216" s="181"/>
      <c r="U216" s="181"/>
      <c r="V216" s="181"/>
      <c r="W216" s="182"/>
      <c r="Y216" s="85">
        <f t="shared" si="4"/>
        <v>0</v>
      </c>
      <c r="AF216" s="115">
        <f t="shared" si="10"/>
        <v>0</v>
      </c>
      <c r="AG216" s="115">
        <f t="shared" si="9"/>
        <v>0</v>
      </c>
      <c r="AH216" s="115">
        <f t="shared" si="9"/>
        <v>0</v>
      </c>
      <c r="AI216" s="115">
        <f t="shared" si="9"/>
        <v>0</v>
      </c>
      <c r="AJ216" s="115">
        <f t="shared" si="9"/>
        <v>0</v>
      </c>
      <c r="AK216" s="115">
        <f t="shared" si="9"/>
        <v>0</v>
      </c>
      <c r="AL216" s="115">
        <f t="shared" si="9"/>
        <v>0</v>
      </c>
      <c r="AM216" s="115">
        <f t="shared" si="9"/>
        <v>0</v>
      </c>
      <c r="AN216" s="115">
        <f t="shared" si="9"/>
        <v>0</v>
      </c>
      <c r="AO216" s="118" t="b">
        <f t="shared" si="6"/>
        <v>0</v>
      </c>
      <c r="AP216" s="119" t="b">
        <f t="shared" si="7"/>
        <v>0</v>
      </c>
    </row>
    <row r="217" spans="1:42" ht="23.15" customHeight="1" x14ac:dyDescent="0.35">
      <c r="A217" s="124">
        <v>59</v>
      </c>
      <c r="B217" s="176"/>
      <c r="C217" s="177"/>
      <c r="D217" s="177"/>
      <c r="E217" s="177"/>
      <c r="F217" s="177"/>
      <c r="G217" s="94"/>
      <c r="H217" s="95" t="str">
        <f t="shared" si="3"/>
        <v/>
      </c>
      <c r="I217" s="109"/>
      <c r="J217" s="110"/>
      <c r="K217" s="110"/>
      <c r="L217" s="110"/>
      <c r="M217" s="110"/>
      <c r="N217" s="110"/>
      <c r="O217" s="110"/>
      <c r="P217" s="110"/>
      <c r="Q217" s="110"/>
      <c r="R217" s="110"/>
      <c r="S217" s="181"/>
      <c r="T217" s="181"/>
      <c r="U217" s="181"/>
      <c r="V217" s="181"/>
      <c r="W217" s="182"/>
      <c r="Y217" s="85">
        <f t="shared" si="4"/>
        <v>0</v>
      </c>
      <c r="AF217" s="115">
        <f t="shared" si="10"/>
        <v>0</v>
      </c>
      <c r="AG217" s="115">
        <f t="shared" si="9"/>
        <v>0</v>
      </c>
      <c r="AH217" s="115">
        <f t="shared" si="9"/>
        <v>0</v>
      </c>
      <c r="AI217" s="115">
        <f t="shared" si="9"/>
        <v>0</v>
      </c>
      <c r="AJ217" s="115">
        <f t="shared" si="9"/>
        <v>0</v>
      </c>
      <c r="AK217" s="115">
        <f t="shared" si="9"/>
        <v>0</v>
      </c>
      <c r="AL217" s="115">
        <f t="shared" si="9"/>
        <v>0</v>
      </c>
      <c r="AM217" s="115">
        <f t="shared" si="9"/>
        <v>0</v>
      </c>
      <c r="AN217" s="115">
        <f t="shared" si="9"/>
        <v>0</v>
      </c>
      <c r="AO217" s="118" t="b">
        <f t="shared" si="6"/>
        <v>0</v>
      </c>
      <c r="AP217" s="119" t="b">
        <f t="shared" si="7"/>
        <v>0</v>
      </c>
    </row>
    <row r="218" spans="1:42" ht="23.15" customHeight="1" x14ac:dyDescent="0.35">
      <c r="A218" s="124">
        <v>60</v>
      </c>
      <c r="B218" s="176"/>
      <c r="C218" s="177"/>
      <c r="D218" s="177"/>
      <c r="E218" s="177"/>
      <c r="F218" s="177"/>
      <c r="G218" s="94"/>
      <c r="H218" s="95" t="str">
        <f t="shared" si="3"/>
        <v/>
      </c>
      <c r="I218" s="109"/>
      <c r="J218" s="110"/>
      <c r="K218" s="110"/>
      <c r="L218" s="110"/>
      <c r="M218" s="110"/>
      <c r="N218" s="110"/>
      <c r="O218" s="110"/>
      <c r="P218" s="110"/>
      <c r="Q218" s="110"/>
      <c r="R218" s="110"/>
      <c r="S218" s="181"/>
      <c r="T218" s="181"/>
      <c r="U218" s="181"/>
      <c r="V218" s="181"/>
      <c r="W218" s="182"/>
      <c r="Y218" s="85">
        <f t="shared" si="4"/>
        <v>0</v>
      </c>
      <c r="AF218" s="115">
        <f t="shared" si="10"/>
        <v>0</v>
      </c>
      <c r="AG218" s="115">
        <f t="shared" si="9"/>
        <v>0</v>
      </c>
      <c r="AH218" s="115">
        <f t="shared" si="9"/>
        <v>0</v>
      </c>
      <c r="AI218" s="115">
        <f t="shared" si="9"/>
        <v>0</v>
      </c>
      <c r="AJ218" s="115">
        <f t="shared" si="9"/>
        <v>0</v>
      </c>
      <c r="AK218" s="115">
        <f t="shared" si="9"/>
        <v>0</v>
      </c>
      <c r="AL218" s="115">
        <f t="shared" si="9"/>
        <v>0</v>
      </c>
      <c r="AM218" s="115">
        <f t="shared" si="9"/>
        <v>0</v>
      </c>
      <c r="AN218" s="115">
        <f t="shared" si="9"/>
        <v>0</v>
      </c>
      <c r="AO218" s="118" t="b">
        <f t="shared" si="6"/>
        <v>0</v>
      </c>
      <c r="AP218" s="119" t="b">
        <f t="shared" si="7"/>
        <v>0</v>
      </c>
    </row>
    <row r="219" spans="1:42" ht="23.15" customHeight="1" x14ac:dyDescent="0.35">
      <c r="A219" s="124">
        <v>61</v>
      </c>
      <c r="B219" s="176"/>
      <c r="C219" s="177"/>
      <c r="D219" s="177"/>
      <c r="E219" s="177"/>
      <c r="F219" s="177"/>
      <c r="G219" s="94"/>
      <c r="H219" s="95" t="str">
        <f t="shared" si="3"/>
        <v/>
      </c>
      <c r="I219" s="109"/>
      <c r="J219" s="110"/>
      <c r="K219" s="110"/>
      <c r="L219" s="110"/>
      <c r="M219" s="110"/>
      <c r="N219" s="110"/>
      <c r="O219" s="110"/>
      <c r="P219" s="110"/>
      <c r="Q219" s="110"/>
      <c r="R219" s="110"/>
      <c r="S219" s="181"/>
      <c r="T219" s="181"/>
      <c r="U219" s="181"/>
      <c r="V219" s="181"/>
      <c r="W219" s="182"/>
      <c r="Y219" s="85">
        <f t="shared" si="4"/>
        <v>0</v>
      </c>
      <c r="AF219" s="115">
        <f t="shared" si="10"/>
        <v>0</v>
      </c>
      <c r="AG219" s="115">
        <f t="shared" si="9"/>
        <v>0</v>
      </c>
      <c r="AH219" s="115">
        <f t="shared" si="9"/>
        <v>0</v>
      </c>
      <c r="AI219" s="115">
        <f t="shared" si="9"/>
        <v>0</v>
      </c>
      <c r="AJ219" s="115">
        <f t="shared" si="9"/>
        <v>0</v>
      </c>
      <c r="AK219" s="115">
        <f t="shared" si="9"/>
        <v>0</v>
      </c>
      <c r="AL219" s="115">
        <f t="shared" si="9"/>
        <v>0</v>
      </c>
      <c r="AM219" s="115">
        <f t="shared" si="9"/>
        <v>0</v>
      </c>
      <c r="AN219" s="115">
        <f t="shared" si="9"/>
        <v>0</v>
      </c>
      <c r="AO219" s="118" t="b">
        <f t="shared" si="6"/>
        <v>0</v>
      </c>
      <c r="AP219" s="119" t="b">
        <f t="shared" si="7"/>
        <v>0</v>
      </c>
    </row>
    <row r="220" spans="1:42" ht="23.15" customHeight="1" x14ac:dyDescent="0.35">
      <c r="A220" s="124">
        <v>62</v>
      </c>
      <c r="B220" s="176"/>
      <c r="C220" s="177"/>
      <c r="D220" s="177"/>
      <c r="E220" s="177"/>
      <c r="F220" s="177"/>
      <c r="G220" s="94"/>
      <c r="H220" s="95" t="str">
        <f t="shared" si="3"/>
        <v/>
      </c>
      <c r="I220" s="109"/>
      <c r="J220" s="110"/>
      <c r="K220" s="110"/>
      <c r="L220" s="110"/>
      <c r="M220" s="110"/>
      <c r="N220" s="110"/>
      <c r="O220" s="110"/>
      <c r="P220" s="110"/>
      <c r="Q220" s="110"/>
      <c r="R220" s="110"/>
      <c r="S220" s="181"/>
      <c r="T220" s="181"/>
      <c r="U220" s="181"/>
      <c r="V220" s="181"/>
      <c r="W220" s="182"/>
      <c r="Y220" s="85">
        <f t="shared" si="4"/>
        <v>0</v>
      </c>
      <c r="AF220" s="115">
        <f t="shared" si="10"/>
        <v>0</v>
      </c>
      <c r="AG220" s="115">
        <f t="shared" si="9"/>
        <v>0</v>
      </c>
      <c r="AH220" s="115">
        <f t="shared" si="9"/>
        <v>0</v>
      </c>
      <c r="AI220" s="115">
        <f t="shared" si="9"/>
        <v>0</v>
      </c>
      <c r="AJ220" s="115">
        <f t="shared" si="9"/>
        <v>0</v>
      </c>
      <c r="AK220" s="115">
        <f t="shared" si="9"/>
        <v>0</v>
      </c>
      <c r="AL220" s="115">
        <f t="shared" si="9"/>
        <v>0</v>
      </c>
      <c r="AM220" s="115">
        <f t="shared" si="9"/>
        <v>0</v>
      </c>
      <c r="AN220" s="115">
        <f t="shared" si="9"/>
        <v>0</v>
      </c>
      <c r="AO220" s="118" t="b">
        <f t="shared" si="6"/>
        <v>0</v>
      </c>
      <c r="AP220" s="119" t="b">
        <f t="shared" si="7"/>
        <v>0</v>
      </c>
    </row>
    <row r="221" spans="1:42" ht="23.15" customHeight="1" x14ac:dyDescent="0.35">
      <c r="A221" s="124">
        <v>63</v>
      </c>
      <c r="B221" s="176"/>
      <c r="C221" s="177"/>
      <c r="D221" s="177"/>
      <c r="E221" s="177"/>
      <c r="F221" s="177"/>
      <c r="G221" s="94"/>
      <c r="H221" s="95" t="str">
        <f t="shared" si="3"/>
        <v/>
      </c>
      <c r="I221" s="109"/>
      <c r="J221" s="110"/>
      <c r="K221" s="110"/>
      <c r="L221" s="110"/>
      <c r="M221" s="110"/>
      <c r="N221" s="110"/>
      <c r="O221" s="110"/>
      <c r="P221" s="110"/>
      <c r="Q221" s="110"/>
      <c r="R221" s="110"/>
      <c r="S221" s="181"/>
      <c r="T221" s="181"/>
      <c r="U221" s="181"/>
      <c r="V221" s="181"/>
      <c r="W221" s="182"/>
      <c r="Y221" s="85">
        <f t="shared" si="4"/>
        <v>0</v>
      </c>
      <c r="AF221" s="115">
        <f t="shared" si="10"/>
        <v>0</v>
      </c>
      <c r="AG221" s="115">
        <f t="shared" si="9"/>
        <v>0</v>
      </c>
      <c r="AH221" s="115">
        <f t="shared" si="9"/>
        <v>0</v>
      </c>
      <c r="AI221" s="115">
        <f t="shared" si="9"/>
        <v>0</v>
      </c>
      <c r="AJ221" s="115">
        <f t="shared" si="9"/>
        <v>0</v>
      </c>
      <c r="AK221" s="115">
        <f t="shared" si="9"/>
        <v>0</v>
      </c>
      <c r="AL221" s="115">
        <f t="shared" si="9"/>
        <v>0</v>
      </c>
      <c r="AM221" s="115">
        <f t="shared" si="9"/>
        <v>0</v>
      </c>
      <c r="AN221" s="115">
        <f t="shared" si="9"/>
        <v>0</v>
      </c>
      <c r="AO221" s="118" t="b">
        <f t="shared" si="6"/>
        <v>0</v>
      </c>
      <c r="AP221" s="119" t="b">
        <f t="shared" si="7"/>
        <v>0</v>
      </c>
    </row>
    <row r="222" spans="1:42" ht="23.15" customHeight="1" x14ac:dyDescent="0.35">
      <c r="A222" s="124">
        <v>64</v>
      </c>
      <c r="B222" s="176"/>
      <c r="C222" s="177"/>
      <c r="D222" s="177"/>
      <c r="E222" s="177"/>
      <c r="F222" s="177"/>
      <c r="G222" s="94"/>
      <c r="H222" s="95" t="str">
        <f t="shared" si="3"/>
        <v/>
      </c>
      <c r="I222" s="109"/>
      <c r="J222" s="110"/>
      <c r="K222" s="110"/>
      <c r="L222" s="110"/>
      <c r="M222" s="110"/>
      <c r="N222" s="110"/>
      <c r="O222" s="110"/>
      <c r="P222" s="110"/>
      <c r="Q222" s="110"/>
      <c r="R222" s="110"/>
      <c r="S222" s="181"/>
      <c r="T222" s="181"/>
      <c r="U222" s="181"/>
      <c r="V222" s="181"/>
      <c r="W222" s="182"/>
      <c r="Y222" s="85">
        <f t="shared" si="4"/>
        <v>0</v>
      </c>
      <c r="AF222" s="115">
        <f t="shared" si="10"/>
        <v>0</v>
      </c>
      <c r="AG222" s="115">
        <f t="shared" si="9"/>
        <v>0</v>
      </c>
      <c r="AH222" s="115">
        <f t="shared" si="9"/>
        <v>0</v>
      </c>
      <c r="AI222" s="115">
        <f t="shared" si="9"/>
        <v>0</v>
      </c>
      <c r="AJ222" s="115">
        <f t="shared" si="9"/>
        <v>0</v>
      </c>
      <c r="AK222" s="115">
        <f t="shared" si="9"/>
        <v>0</v>
      </c>
      <c r="AL222" s="115">
        <f t="shared" si="9"/>
        <v>0</v>
      </c>
      <c r="AM222" s="115">
        <f t="shared" si="9"/>
        <v>0</v>
      </c>
      <c r="AN222" s="115">
        <f t="shared" si="9"/>
        <v>0</v>
      </c>
      <c r="AO222" s="118" t="b">
        <f t="shared" si="6"/>
        <v>0</v>
      </c>
      <c r="AP222" s="119" t="b">
        <f t="shared" si="7"/>
        <v>0</v>
      </c>
    </row>
    <row r="223" spans="1:42" ht="23.15" customHeight="1" x14ac:dyDescent="0.35">
      <c r="A223" s="124">
        <v>65</v>
      </c>
      <c r="B223" s="176"/>
      <c r="C223" s="177"/>
      <c r="D223" s="177"/>
      <c r="E223" s="177"/>
      <c r="F223" s="177"/>
      <c r="G223" s="94"/>
      <c r="H223" s="95" t="str">
        <f t="shared" si="3"/>
        <v/>
      </c>
      <c r="I223" s="109"/>
      <c r="J223" s="110"/>
      <c r="K223" s="110"/>
      <c r="L223" s="110"/>
      <c r="M223" s="110"/>
      <c r="N223" s="110"/>
      <c r="O223" s="110"/>
      <c r="P223" s="110"/>
      <c r="Q223" s="110"/>
      <c r="R223" s="110"/>
      <c r="S223" s="181"/>
      <c r="T223" s="181"/>
      <c r="U223" s="181"/>
      <c r="V223" s="181"/>
      <c r="W223" s="182"/>
      <c r="Y223" s="85">
        <f t="shared" si="4"/>
        <v>0</v>
      </c>
      <c r="AF223" s="115">
        <f t="shared" si="10"/>
        <v>0</v>
      </c>
      <c r="AG223" s="115">
        <f t="shared" si="9"/>
        <v>0</v>
      </c>
      <c r="AH223" s="115">
        <f t="shared" si="9"/>
        <v>0</v>
      </c>
      <c r="AI223" s="115">
        <f t="shared" si="9"/>
        <v>0</v>
      </c>
      <c r="AJ223" s="115">
        <f t="shared" si="9"/>
        <v>0</v>
      </c>
      <c r="AK223" s="115">
        <f t="shared" si="9"/>
        <v>0</v>
      </c>
      <c r="AL223" s="115">
        <f t="shared" si="9"/>
        <v>0</v>
      </c>
      <c r="AM223" s="115">
        <f t="shared" si="9"/>
        <v>0</v>
      </c>
      <c r="AN223" s="115">
        <f t="shared" si="9"/>
        <v>0</v>
      </c>
      <c r="AO223" s="118" t="b">
        <f t="shared" si="6"/>
        <v>0</v>
      </c>
      <c r="AP223" s="119" t="b">
        <f t="shared" si="7"/>
        <v>0</v>
      </c>
    </row>
    <row r="224" spans="1:42" ht="23.15" customHeight="1" x14ac:dyDescent="0.35">
      <c r="A224" s="124">
        <v>66</v>
      </c>
      <c r="B224" s="176"/>
      <c r="C224" s="177"/>
      <c r="D224" s="177"/>
      <c r="E224" s="177"/>
      <c r="F224" s="177"/>
      <c r="G224" s="94"/>
      <c r="H224" s="95" t="str">
        <f t="shared" ref="H224:H287" si="11">IF(AND(AO224=TRUE,AP224=TRUE),"Универсал","")</f>
        <v/>
      </c>
      <c r="I224" s="109"/>
      <c r="J224" s="110"/>
      <c r="K224" s="110"/>
      <c r="L224" s="110"/>
      <c r="M224" s="110"/>
      <c r="N224" s="110"/>
      <c r="O224" s="110"/>
      <c r="P224" s="110"/>
      <c r="Q224" s="110"/>
      <c r="R224" s="110"/>
      <c r="S224" s="181"/>
      <c r="T224" s="181"/>
      <c r="U224" s="181"/>
      <c r="V224" s="181"/>
      <c r="W224" s="182"/>
      <c r="Y224" s="85">
        <f t="shared" ref="Y224:Y287" si="12">COUNTA(J224:R224)</f>
        <v>0</v>
      </c>
      <c r="AF224" s="115">
        <f t="shared" si="10"/>
        <v>0</v>
      </c>
      <c r="AG224" s="115">
        <f t="shared" si="9"/>
        <v>0</v>
      </c>
      <c r="AH224" s="115">
        <f t="shared" si="9"/>
        <v>0</v>
      </c>
      <c r="AI224" s="115">
        <f t="shared" si="9"/>
        <v>0</v>
      </c>
      <c r="AJ224" s="115">
        <f t="shared" si="9"/>
        <v>0</v>
      </c>
      <c r="AK224" s="115">
        <f t="shared" si="9"/>
        <v>0</v>
      </c>
      <c r="AL224" s="115">
        <f t="shared" si="9"/>
        <v>0</v>
      </c>
      <c r="AM224" s="115">
        <f t="shared" si="9"/>
        <v>0</v>
      </c>
      <c r="AN224" s="115">
        <f t="shared" si="9"/>
        <v>0</v>
      </c>
      <c r="AO224" s="118" t="b">
        <f t="shared" ref="AO224:AO287" si="13">IF(COUNTIF(AG224:AI224,0)&gt;0,FALSE,TRUE)</f>
        <v>0</v>
      </c>
      <c r="AP224" s="119" t="b">
        <f t="shared" ref="AP224:AP287" si="14">IF(SUM(AG224:AI224)=3,TRUE,FALSE)</f>
        <v>0</v>
      </c>
    </row>
    <row r="225" spans="1:42" ht="23.15" customHeight="1" x14ac:dyDescent="0.35">
      <c r="A225" s="124">
        <v>67</v>
      </c>
      <c r="B225" s="176"/>
      <c r="C225" s="177"/>
      <c r="D225" s="177"/>
      <c r="E225" s="177"/>
      <c r="F225" s="177"/>
      <c r="G225" s="94"/>
      <c r="H225" s="95" t="str">
        <f t="shared" si="11"/>
        <v/>
      </c>
      <c r="I225" s="109"/>
      <c r="J225" s="110"/>
      <c r="K225" s="110"/>
      <c r="L225" s="110"/>
      <c r="M225" s="110"/>
      <c r="N225" s="110"/>
      <c r="O225" s="110"/>
      <c r="P225" s="110"/>
      <c r="Q225" s="110"/>
      <c r="R225" s="110"/>
      <c r="S225" s="181"/>
      <c r="T225" s="181"/>
      <c r="U225" s="181"/>
      <c r="V225" s="181"/>
      <c r="W225" s="182"/>
      <c r="Y225" s="85">
        <f t="shared" si="12"/>
        <v>0</v>
      </c>
      <c r="AF225" s="115">
        <f t="shared" si="10"/>
        <v>0</v>
      </c>
      <c r="AG225" s="115">
        <f t="shared" si="9"/>
        <v>0</v>
      </c>
      <c r="AH225" s="115">
        <f t="shared" si="9"/>
        <v>0</v>
      </c>
      <c r="AI225" s="115">
        <f t="shared" si="9"/>
        <v>0</v>
      </c>
      <c r="AJ225" s="115">
        <f t="shared" si="9"/>
        <v>0</v>
      </c>
      <c r="AK225" s="115">
        <f t="shared" si="9"/>
        <v>0</v>
      </c>
      <c r="AL225" s="115">
        <f t="shared" si="9"/>
        <v>0</v>
      </c>
      <c r="AM225" s="115">
        <f t="shared" si="9"/>
        <v>0</v>
      </c>
      <c r="AN225" s="115">
        <f t="shared" si="9"/>
        <v>0</v>
      </c>
      <c r="AO225" s="118" t="b">
        <f t="shared" si="13"/>
        <v>0</v>
      </c>
      <c r="AP225" s="119" t="b">
        <f t="shared" si="14"/>
        <v>0</v>
      </c>
    </row>
    <row r="226" spans="1:42" ht="23.15" customHeight="1" x14ac:dyDescent="0.35">
      <c r="A226" s="124">
        <v>68</v>
      </c>
      <c r="B226" s="176"/>
      <c r="C226" s="177"/>
      <c r="D226" s="177"/>
      <c r="E226" s="177"/>
      <c r="F226" s="177"/>
      <c r="G226" s="94"/>
      <c r="H226" s="95" t="str">
        <f t="shared" si="11"/>
        <v/>
      </c>
      <c r="I226" s="109"/>
      <c r="J226" s="110"/>
      <c r="K226" s="110"/>
      <c r="L226" s="110"/>
      <c r="M226" s="110"/>
      <c r="N226" s="110"/>
      <c r="O226" s="110"/>
      <c r="P226" s="110"/>
      <c r="Q226" s="110"/>
      <c r="R226" s="110"/>
      <c r="S226" s="181"/>
      <c r="T226" s="181"/>
      <c r="U226" s="181"/>
      <c r="V226" s="181"/>
      <c r="W226" s="182"/>
      <c r="Y226" s="85">
        <f t="shared" si="12"/>
        <v>0</v>
      </c>
      <c r="AF226" s="115">
        <f t="shared" si="10"/>
        <v>0</v>
      </c>
      <c r="AG226" s="115">
        <f t="shared" si="9"/>
        <v>0</v>
      </c>
      <c r="AH226" s="115">
        <f t="shared" si="9"/>
        <v>0</v>
      </c>
      <c r="AI226" s="115">
        <f t="shared" si="9"/>
        <v>0</v>
      </c>
      <c r="AJ226" s="115">
        <f t="shared" si="9"/>
        <v>0</v>
      </c>
      <c r="AK226" s="115">
        <f t="shared" si="9"/>
        <v>0</v>
      </c>
      <c r="AL226" s="115">
        <f t="shared" si="9"/>
        <v>0</v>
      </c>
      <c r="AM226" s="115">
        <f t="shared" si="9"/>
        <v>0</v>
      </c>
      <c r="AN226" s="115">
        <f t="shared" si="9"/>
        <v>0</v>
      </c>
      <c r="AO226" s="118" t="b">
        <f t="shared" si="13"/>
        <v>0</v>
      </c>
      <c r="AP226" s="119" t="b">
        <f t="shared" si="14"/>
        <v>0</v>
      </c>
    </row>
    <row r="227" spans="1:42" ht="23.15" customHeight="1" x14ac:dyDescent="0.35">
      <c r="A227" s="124">
        <v>69</v>
      </c>
      <c r="B227" s="176"/>
      <c r="C227" s="177"/>
      <c r="D227" s="177"/>
      <c r="E227" s="177"/>
      <c r="F227" s="177"/>
      <c r="G227" s="94"/>
      <c r="H227" s="95" t="str">
        <f t="shared" si="11"/>
        <v/>
      </c>
      <c r="I227" s="109"/>
      <c r="J227" s="110"/>
      <c r="K227" s="110"/>
      <c r="L227" s="110"/>
      <c r="M227" s="110"/>
      <c r="N227" s="110"/>
      <c r="O227" s="110"/>
      <c r="P227" s="110"/>
      <c r="Q227" s="110"/>
      <c r="R227" s="110"/>
      <c r="S227" s="181"/>
      <c r="T227" s="181"/>
      <c r="U227" s="181"/>
      <c r="V227" s="181"/>
      <c r="W227" s="182"/>
      <c r="Y227" s="85">
        <f t="shared" si="12"/>
        <v>0</v>
      </c>
      <c r="AF227" s="115">
        <f t="shared" si="10"/>
        <v>0</v>
      </c>
      <c r="AG227" s="115">
        <f t="shared" si="9"/>
        <v>0</v>
      </c>
      <c r="AH227" s="115">
        <f t="shared" si="9"/>
        <v>0</v>
      </c>
      <c r="AI227" s="115">
        <f t="shared" si="9"/>
        <v>0</v>
      </c>
      <c r="AJ227" s="115">
        <f t="shared" si="9"/>
        <v>0</v>
      </c>
      <c r="AK227" s="115">
        <f t="shared" si="9"/>
        <v>0</v>
      </c>
      <c r="AL227" s="115">
        <f t="shared" si="9"/>
        <v>0</v>
      </c>
      <c r="AM227" s="115">
        <f t="shared" si="9"/>
        <v>0</v>
      </c>
      <c r="AN227" s="115">
        <f t="shared" si="9"/>
        <v>0</v>
      </c>
      <c r="AO227" s="118" t="b">
        <f t="shared" si="13"/>
        <v>0</v>
      </c>
      <c r="AP227" s="119" t="b">
        <f t="shared" si="14"/>
        <v>0</v>
      </c>
    </row>
    <row r="228" spans="1:42" ht="23.15" customHeight="1" x14ac:dyDescent="0.35">
      <c r="A228" s="124">
        <v>70</v>
      </c>
      <c r="B228" s="176"/>
      <c r="C228" s="177"/>
      <c r="D228" s="177"/>
      <c r="E228" s="177"/>
      <c r="F228" s="177"/>
      <c r="G228" s="94"/>
      <c r="H228" s="95" t="str">
        <f t="shared" si="11"/>
        <v/>
      </c>
      <c r="I228" s="109"/>
      <c r="J228" s="110"/>
      <c r="K228" s="110"/>
      <c r="L228" s="110"/>
      <c r="M228" s="110"/>
      <c r="N228" s="110"/>
      <c r="O228" s="110"/>
      <c r="P228" s="110"/>
      <c r="Q228" s="110"/>
      <c r="R228" s="110"/>
      <c r="S228" s="181"/>
      <c r="T228" s="181"/>
      <c r="U228" s="181"/>
      <c r="V228" s="181"/>
      <c r="W228" s="182"/>
      <c r="Y228" s="85">
        <f t="shared" si="12"/>
        <v>0</v>
      </c>
      <c r="AF228" s="115">
        <f t="shared" si="10"/>
        <v>0</v>
      </c>
      <c r="AG228" s="115">
        <f t="shared" si="9"/>
        <v>0</v>
      </c>
      <c r="AH228" s="115">
        <f t="shared" si="9"/>
        <v>0</v>
      </c>
      <c r="AI228" s="115">
        <f t="shared" si="9"/>
        <v>0</v>
      </c>
      <c r="AJ228" s="115">
        <f t="shared" si="9"/>
        <v>0</v>
      </c>
      <c r="AK228" s="115">
        <f t="shared" si="9"/>
        <v>0</v>
      </c>
      <c r="AL228" s="115">
        <f t="shared" si="9"/>
        <v>0</v>
      </c>
      <c r="AM228" s="115">
        <f t="shared" si="9"/>
        <v>0</v>
      </c>
      <c r="AN228" s="115">
        <f t="shared" si="9"/>
        <v>0</v>
      </c>
      <c r="AO228" s="118" t="b">
        <f t="shared" si="13"/>
        <v>0</v>
      </c>
      <c r="AP228" s="119" t="b">
        <f t="shared" si="14"/>
        <v>0</v>
      </c>
    </row>
    <row r="229" spans="1:42" ht="23.15" customHeight="1" x14ac:dyDescent="0.35">
      <c r="A229" s="124">
        <v>71</v>
      </c>
      <c r="B229" s="176"/>
      <c r="C229" s="177"/>
      <c r="D229" s="177"/>
      <c r="E229" s="177"/>
      <c r="F229" s="177"/>
      <c r="G229" s="94"/>
      <c r="H229" s="95" t="str">
        <f t="shared" si="11"/>
        <v/>
      </c>
      <c r="I229" s="109"/>
      <c r="J229" s="110"/>
      <c r="K229" s="110"/>
      <c r="L229" s="110"/>
      <c r="M229" s="110"/>
      <c r="N229" s="110"/>
      <c r="O229" s="110"/>
      <c r="P229" s="110"/>
      <c r="Q229" s="110"/>
      <c r="R229" s="110"/>
      <c r="S229" s="181"/>
      <c r="T229" s="181"/>
      <c r="U229" s="181"/>
      <c r="V229" s="181"/>
      <c r="W229" s="182"/>
      <c r="Y229" s="85">
        <f t="shared" si="12"/>
        <v>0</v>
      </c>
      <c r="AF229" s="115">
        <f t="shared" si="10"/>
        <v>0</v>
      </c>
      <c r="AG229" s="115">
        <f t="shared" si="9"/>
        <v>0</v>
      </c>
      <c r="AH229" s="115">
        <f t="shared" si="9"/>
        <v>0</v>
      </c>
      <c r="AI229" s="115">
        <f t="shared" si="9"/>
        <v>0</v>
      </c>
      <c r="AJ229" s="115">
        <f t="shared" si="9"/>
        <v>0</v>
      </c>
      <c r="AK229" s="115">
        <f t="shared" si="9"/>
        <v>0</v>
      </c>
      <c r="AL229" s="115">
        <f t="shared" si="9"/>
        <v>0</v>
      </c>
      <c r="AM229" s="115">
        <f t="shared" si="9"/>
        <v>0</v>
      </c>
      <c r="AN229" s="115">
        <f t="shared" si="9"/>
        <v>0</v>
      </c>
      <c r="AO229" s="118" t="b">
        <f t="shared" si="13"/>
        <v>0</v>
      </c>
      <c r="AP229" s="119" t="b">
        <f t="shared" si="14"/>
        <v>0</v>
      </c>
    </row>
    <row r="230" spans="1:42" ht="23.15" customHeight="1" x14ac:dyDescent="0.35">
      <c r="A230" s="124">
        <v>72</v>
      </c>
      <c r="B230" s="176"/>
      <c r="C230" s="177"/>
      <c r="D230" s="177"/>
      <c r="E230" s="177"/>
      <c r="F230" s="177"/>
      <c r="G230" s="94"/>
      <c r="H230" s="95" t="str">
        <f t="shared" si="11"/>
        <v/>
      </c>
      <c r="I230" s="109"/>
      <c r="J230" s="110"/>
      <c r="K230" s="110"/>
      <c r="L230" s="110"/>
      <c r="M230" s="110"/>
      <c r="N230" s="110"/>
      <c r="O230" s="110"/>
      <c r="P230" s="110"/>
      <c r="Q230" s="110"/>
      <c r="R230" s="110"/>
      <c r="S230" s="181"/>
      <c r="T230" s="181"/>
      <c r="U230" s="181"/>
      <c r="V230" s="181"/>
      <c r="W230" s="182"/>
      <c r="Y230" s="85">
        <f t="shared" si="12"/>
        <v>0</v>
      </c>
      <c r="AF230" s="115">
        <f t="shared" si="10"/>
        <v>0</v>
      </c>
      <c r="AG230" s="115">
        <f t="shared" si="9"/>
        <v>0</v>
      </c>
      <c r="AH230" s="115">
        <f t="shared" si="9"/>
        <v>0</v>
      </c>
      <c r="AI230" s="115">
        <f t="shared" si="9"/>
        <v>0</v>
      </c>
      <c r="AJ230" s="115">
        <f t="shared" si="9"/>
        <v>0</v>
      </c>
      <c r="AK230" s="115">
        <f t="shared" si="9"/>
        <v>0</v>
      </c>
      <c r="AL230" s="115">
        <f t="shared" si="9"/>
        <v>0</v>
      </c>
      <c r="AM230" s="115">
        <f t="shared" si="9"/>
        <v>0</v>
      </c>
      <c r="AN230" s="115">
        <f t="shared" si="9"/>
        <v>0</v>
      </c>
      <c r="AO230" s="118" t="b">
        <f t="shared" si="13"/>
        <v>0</v>
      </c>
      <c r="AP230" s="119" t="b">
        <f t="shared" si="14"/>
        <v>0</v>
      </c>
    </row>
    <row r="231" spans="1:42" ht="23.15" customHeight="1" x14ac:dyDescent="0.35">
      <c r="A231" s="124">
        <v>73</v>
      </c>
      <c r="B231" s="176"/>
      <c r="C231" s="177"/>
      <c r="D231" s="177"/>
      <c r="E231" s="177"/>
      <c r="F231" s="177"/>
      <c r="G231" s="94"/>
      <c r="H231" s="95" t="str">
        <f t="shared" si="11"/>
        <v/>
      </c>
      <c r="I231" s="109"/>
      <c r="J231" s="110"/>
      <c r="K231" s="110"/>
      <c r="L231" s="110"/>
      <c r="M231" s="110"/>
      <c r="N231" s="110"/>
      <c r="O231" s="110"/>
      <c r="P231" s="110"/>
      <c r="Q231" s="110"/>
      <c r="R231" s="110"/>
      <c r="S231" s="181"/>
      <c r="T231" s="181"/>
      <c r="U231" s="181"/>
      <c r="V231" s="181"/>
      <c r="W231" s="182"/>
      <c r="Y231" s="85">
        <f t="shared" si="12"/>
        <v>0</v>
      </c>
      <c r="AF231" s="115">
        <f t="shared" si="10"/>
        <v>0</v>
      </c>
      <c r="AG231" s="115">
        <f t="shared" si="9"/>
        <v>0</v>
      </c>
      <c r="AH231" s="115">
        <f t="shared" si="9"/>
        <v>0</v>
      </c>
      <c r="AI231" s="115">
        <f t="shared" si="9"/>
        <v>0</v>
      </c>
      <c r="AJ231" s="115">
        <f t="shared" si="9"/>
        <v>0</v>
      </c>
      <c r="AK231" s="115">
        <f t="shared" si="9"/>
        <v>0</v>
      </c>
      <c r="AL231" s="115">
        <f t="shared" si="9"/>
        <v>0</v>
      </c>
      <c r="AM231" s="115">
        <f t="shared" si="9"/>
        <v>0</v>
      </c>
      <c r="AN231" s="115">
        <f t="shared" si="9"/>
        <v>0</v>
      </c>
      <c r="AO231" s="118" t="b">
        <f t="shared" si="13"/>
        <v>0</v>
      </c>
      <c r="AP231" s="119" t="b">
        <f t="shared" si="14"/>
        <v>0</v>
      </c>
    </row>
    <row r="232" spans="1:42" ht="23.15" customHeight="1" x14ac:dyDescent="0.35">
      <c r="A232" s="124">
        <v>74</v>
      </c>
      <c r="B232" s="176"/>
      <c r="C232" s="177"/>
      <c r="D232" s="177"/>
      <c r="E232" s="177"/>
      <c r="F232" s="177"/>
      <c r="G232" s="94"/>
      <c r="H232" s="95" t="str">
        <f t="shared" si="11"/>
        <v/>
      </c>
      <c r="I232" s="109"/>
      <c r="J232" s="110"/>
      <c r="K232" s="110"/>
      <c r="L232" s="110"/>
      <c r="M232" s="110"/>
      <c r="N232" s="110"/>
      <c r="O232" s="110"/>
      <c r="P232" s="110"/>
      <c r="Q232" s="110"/>
      <c r="R232" s="110"/>
      <c r="S232" s="181"/>
      <c r="T232" s="181"/>
      <c r="U232" s="181"/>
      <c r="V232" s="181"/>
      <c r="W232" s="182"/>
      <c r="Y232" s="85">
        <f t="shared" si="12"/>
        <v>0</v>
      </c>
      <c r="AF232" s="115">
        <f t="shared" si="10"/>
        <v>0</v>
      </c>
      <c r="AG232" s="115">
        <f t="shared" si="9"/>
        <v>0</v>
      </c>
      <c r="AH232" s="115">
        <f t="shared" si="9"/>
        <v>0</v>
      </c>
      <c r="AI232" s="115">
        <f t="shared" si="9"/>
        <v>0</v>
      </c>
      <c r="AJ232" s="115">
        <f t="shared" si="9"/>
        <v>0</v>
      </c>
      <c r="AK232" s="115">
        <f t="shared" si="9"/>
        <v>0</v>
      </c>
      <c r="AL232" s="115">
        <f t="shared" si="9"/>
        <v>0</v>
      </c>
      <c r="AM232" s="115">
        <f t="shared" si="9"/>
        <v>0</v>
      </c>
      <c r="AN232" s="115">
        <f t="shared" si="9"/>
        <v>0</v>
      </c>
      <c r="AO232" s="118" t="b">
        <f t="shared" si="13"/>
        <v>0</v>
      </c>
      <c r="AP232" s="119" t="b">
        <f t="shared" si="14"/>
        <v>0</v>
      </c>
    </row>
    <row r="233" spans="1:42" ht="23.15" customHeight="1" x14ac:dyDescent="0.35">
      <c r="A233" s="124">
        <v>75</v>
      </c>
      <c r="B233" s="176"/>
      <c r="C233" s="177"/>
      <c r="D233" s="177"/>
      <c r="E233" s="177"/>
      <c r="F233" s="177"/>
      <c r="G233" s="94"/>
      <c r="H233" s="95" t="str">
        <f t="shared" si="11"/>
        <v/>
      </c>
      <c r="I233" s="109"/>
      <c r="J233" s="110"/>
      <c r="K233" s="110"/>
      <c r="L233" s="110"/>
      <c r="M233" s="110"/>
      <c r="N233" s="110"/>
      <c r="O233" s="110"/>
      <c r="P233" s="110"/>
      <c r="Q233" s="110"/>
      <c r="R233" s="110"/>
      <c r="S233" s="181"/>
      <c r="T233" s="181"/>
      <c r="U233" s="181"/>
      <c r="V233" s="181"/>
      <c r="W233" s="182"/>
      <c r="Y233" s="85">
        <f t="shared" si="12"/>
        <v>0</v>
      </c>
      <c r="AF233" s="115">
        <f t="shared" si="10"/>
        <v>0</v>
      </c>
      <c r="AG233" s="115">
        <f t="shared" si="9"/>
        <v>0</v>
      </c>
      <c r="AH233" s="115">
        <f t="shared" si="9"/>
        <v>0</v>
      </c>
      <c r="AI233" s="115">
        <f t="shared" si="9"/>
        <v>0</v>
      </c>
      <c r="AJ233" s="115">
        <f t="shared" si="9"/>
        <v>0</v>
      </c>
      <c r="AK233" s="115">
        <f t="shared" si="9"/>
        <v>0</v>
      </c>
      <c r="AL233" s="115">
        <f t="shared" si="9"/>
        <v>0</v>
      </c>
      <c r="AM233" s="115">
        <f t="shared" si="9"/>
        <v>0</v>
      </c>
      <c r="AN233" s="115">
        <f t="shared" si="9"/>
        <v>0</v>
      </c>
      <c r="AO233" s="118" t="b">
        <f t="shared" si="13"/>
        <v>0</v>
      </c>
      <c r="AP233" s="119" t="b">
        <f t="shared" si="14"/>
        <v>0</v>
      </c>
    </row>
    <row r="234" spans="1:42" ht="23.15" customHeight="1" x14ac:dyDescent="0.35">
      <c r="A234" s="124">
        <v>76</v>
      </c>
      <c r="B234" s="176"/>
      <c r="C234" s="177"/>
      <c r="D234" s="177"/>
      <c r="E234" s="177"/>
      <c r="F234" s="177"/>
      <c r="G234" s="94"/>
      <c r="H234" s="95" t="str">
        <f t="shared" si="11"/>
        <v/>
      </c>
      <c r="I234" s="109"/>
      <c r="J234" s="110"/>
      <c r="K234" s="110"/>
      <c r="L234" s="110"/>
      <c r="M234" s="110"/>
      <c r="N234" s="110"/>
      <c r="O234" s="110"/>
      <c r="P234" s="110"/>
      <c r="Q234" s="110"/>
      <c r="R234" s="110"/>
      <c r="S234" s="181"/>
      <c r="T234" s="181"/>
      <c r="U234" s="181"/>
      <c r="V234" s="181"/>
      <c r="W234" s="182"/>
      <c r="Y234" s="85">
        <f t="shared" si="12"/>
        <v>0</v>
      </c>
      <c r="AF234" s="115">
        <f t="shared" si="10"/>
        <v>0</v>
      </c>
      <c r="AG234" s="115">
        <f t="shared" si="9"/>
        <v>0</v>
      </c>
      <c r="AH234" s="115">
        <f t="shared" si="9"/>
        <v>0</v>
      </c>
      <c r="AI234" s="115">
        <f t="shared" si="9"/>
        <v>0</v>
      </c>
      <c r="AJ234" s="115">
        <f t="shared" si="9"/>
        <v>0</v>
      </c>
      <c r="AK234" s="115">
        <f t="shared" si="9"/>
        <v>0</v>
      </c>
      <c r="AL234" s="115">
        <f t="shared" si="9"/>
        <v>0</v>
      </c>
      <c r="AM234" s="115">
        <f t="shared" si="9"/>
        <v>0</v>
      </c>
      <c r="AN234" s="115">
        <f t="shared" si="9"/>
        <v>0</v>
      </c>
      <c r="AO234" s="118" t="b">
        <f t="shared" si="13"/>
        <v>0</v>
      </c>
      <c r="AP234" s="119" t="b">
        <f t="shared" si="14"/>
        <v>0</v>
      </c>
    </row>
    <row r="235" spans="1:42" ht="23.15" customHeight="1" x14ac:dyDescent="0.35">
      <c r="A235" s="124">
        <v>77</v>
      </c>
      <c r="B235" s="176"/>
      <c r="C235" s="177"/>
      <c r="D235" s="177"/>
      <c r="E235" s="177"/>
      <c r="F235" s="177"/>
      <c r="G235" s="94"/>
      <c r="H235" s="95" t="str">
        <f t="shared" si="11"/>
        <v/>
      </c>
      <c r="I235" s="109"/>
      <c r="J235" s="110"/>
      <c r="K235" s="110"/>
      <c r="L235" s="110"/>
      <c r="M235" s="110"/>
      <c r="N235" s="110"/>
      <c r="O235" s="110"/>
      <c r="P235" s="110"/>
      <c r="Q235" s="110"/>
      <c r="R235" s="110"/>
      <c r="S235" s="181"/>
      <c r="T235" s="181"/>
      <c r="U235" s="181"/>
      <c r="V235" s="181"/>
      <c r="W235" s="182"/>
      <c r="Y235" s="85">
        <f t="shared" si="12"/>
        <v>0</v>
      </c>
      <c r="AF235" s="115">
        <f t="shared" si="10"/>
        <v>0</v>
      </c>
      <c r="AG235" s="115">
        <f t="shared" si="9"/>
        <v>0</v>
      </c>
      <c r="AH235" s="115">
        <f t="shared" si="9"/>
        <v>0</v>
      </c>
      <c r="AI235" s="115">
        <f t="shared" si="9"/>
        <v>0</v>
      </c>
      <c r="AJ235" s="115">
        <f t="shared" si="9"/>
        <v>0</v>
      </c>
      <c r="AK235" s="115">
        <f t="shared" si="9"/>
        <v>0</v>
      </c>
      <c r="AL235" s="115">
        <f t="shared" si="9"/>
        <v>0</v>
      </c>
      <c r="AM235" s="115">
        <f t="shared" si="9"/>
        <v>0</v>
      </c>
      <c r="AN235" s="115">
        <f t="shared" si="9"/>
        <v>0</v>
      </c>
      <c r="AO235" s="118" t="b">
        <f t="shared" si="13"/>
        <v>0</v>
      </c>
      <c r="AP235" s="119" t="b">
        <f t="shared" si="14"/>
        <v>0</v>
      </c>
    </row>
    <row r="236" spans="1:42" ht="23.15" customHeight="1" x14ac:dyDescent="0.35">
      <c r="A236" s="124">
        <v>78</v>
      </c>
      <c r="B236" s="176"/>
      <c r="C236" s="177"/>
      <c r="D236" s="177"/>
      <c r="E236" s="177"/>
      <c r="F236" s="177"/>
      <c r="G236" s="94"/>
      <c r="H236" s="95" t="str">
        <f t="shared" si="11"/>
        <v/>
      </c>
      <c r="I236" s="109"/>
      <c r="J236" s="110"/>
      <c r="K236" s="110"/>
      <c r="L236" s="110"/>
      <c r="M236" s="110"/>
      <c r="N236" s="110"/>
      <c r="O236" s="110"/>
      <c r="P236" s="110"/>
      <c r="Q236" s="110"/>
      <c r="R236" s="110"/>
      <c r="S236" s="181"/>
      <c r="T236" s="181"/>
      <c r="U236" s="181"/>
      <c r="V236" s="181"/>
      <c r="W236" s="182"/>
      <c r="Y236" s="85">
        <f t="shared" si="12"/>
        <v>0</v>
      </c>
      <c r="AF236" s="115">
        <f t="shared" si="10"/>
        <v>0</v>
      </c>
      <c r="AG236" s="115">
        <f t="shared" si="9"/>
        <v>0</v>
      </c>
      <c r="AH236" s="115">
        <f t="shared" ref="AG236:AN267" si="15">IF(COUNTIF($J236:$R236,AH$158)&gt;0,1,0)</f>
        <v>0</v>
      </c>
      <c r="AI236" s="115">
        <f t="shared" si="15"/>
        <v>0</v>
      </c>
      <c r="AJ236" s="115">
        <f t="shared" si="15"/>
        <v>0</v>
      </c>
      <c r="AK236" s="115">
        <f t="shared" si="15"/>
        <v>0</v>
      </c>
      <c r="AL236" s="115">
        <f t="shared" si="15"/>
        <v>0</v>
      </c>
      <c r="AM236" s="115">
        <f t="shared" si="15"/>
        <v>0</v>
      </c>
      <c r="AN236" s="115">
        <f t="shared" si="15"/>
        <v>0</v>
      </c>
      <c r="AO236" s="118" t="b">
        <f t="shared" si="13"/>
        <v>0</v>
      </c>
      <c r="AP236" s="119" t="b">
        <f t="shared" si="14"/>
        <v>0</v>
      </c>
    </row>
    <row r="237" spans="1:42" ht="23.15" customHeight="1" x14ac:dyDescent="0.35">
      <c r="A237" s="124">
        <v>79</v>
      </c>
      <c r="B237" s="176"/>
      <c r="C237" s="177"/>
      <c r="D237" s="177"/>
      <c r="E237" s="177"/>
      <c r="F237" s="177"/>
      <c r="G237" s="94"/>
      <c r="H237" s="95" t="str">
        <f t="shared" si="11"/>
        <v/>
      </c>
      <c r="I237" s="109"/>
      <c r="J237" s="110"/>
      <c r="K237" s="110"/>
      <c r="L237" s="110"/>
      <c r="M237" s="110"/>
      <c r="N237" s="110"/>
      <c r="O237" s="110"/>
      <c r="P237" s="110"/>
      <c r="Q237" s="110"/>
      <c r="R237" s="110"/>
      <c r="S237" s="181"/>
      <c r="T237" s="181"/>
      <c r="U237" s="181"/>
      <c r="V237" s="181"/>
      <c r="W237" s="182"/>
      <c r="Y237" s="85">
        <f t="shared" si="12"/>
        <v>0</v>
      </c>
      <c r="AF237" s="115">
        <f t="shared" si="10"/>
        <v>0</v>
      </c>
      <c r="AG237" s="115">
        <f t="shared" si="15"/>
        <v>0</v>
      </c>
      <c r="AH237" s="115">
        <f t="shared" si="15"/>
        <v>0</v>
      </c>
      <c r="AI237" s="115">
        <f t="shared" si="15"/>
        <v>0</v>
      </c>
      <c r="AJ237" s="115">
        <f t="shared" si="15"/>
        <v>0</v>
      </c>
      <c r="AK237" s="115">
        <f t="shared" si="15"/>
        <v>0</v>
      </c>
      <c r="AL237" s="115">
        <f t="shared" si="15"/>
        <v>0</v>
      </c>
      <c r="AM237" s="115">
        <f t="shared" si="15"/>
        <v>0</v>
      </c>
      <c r="AN237" s="115">
        <f t="shared" si="15"/>
        <v>0</v>
      </c>
      <c r="AO237" s="118" t="b">
        <f t="shared" si="13"/>
        <v>0</v>
      </c>
      <c r="AP237" s="119" t="b">
        <f t="shared" si="14"/>
        <v>0</v>
      </c>
    </row>
    <row r="238" spans="1:42" ht="23.15" customHeight="1" x14ac:dyDescent="0.35">
      <c r="A238" s="124">
        <v>80</v>
      </c>
      <c r="B238" s="176"/>
      <c r="C238" s="177"/>
      <c r="D238" s="177"/>
      <c r="E238" s="177"/>
      <c r="F238" s="177"/>
      <c r="G238" s="94"/>
      <c r="H238" s="95" t="str">
        <f t="shared" si="11"/>
        <v/>
      </c>
      <c r="I238" s="109"/>
      <c r="J238" s="110"/>
      <c r="K238" s="110"/>
      <c r="L238" s="110"/>
      <c r="M238" s="110"/>
      <c r="N238" s="110"/>
      <c r="O238" s="110"/>
      <c r="P238" s="110"/>
      <c r="Q238" s="110"/>
      <c r="R238" s="110"/>
      <c r="S238" s="181"/>
      <c r="T238" s="181"/>
      <c r="U238" s="181"/>
      <c r="V238" s="181"/>
      <c r="W238" s="182"/>
      <c r="Y238" s="85">
        <f t="shared" si="12"/>
        <v>0</v>
      </c>
      <c r="AF238" s="115">
        <f t="shared" si="10"/>
        <v>0</v>
      </c>
      <c r="AG238" s="115">
        <f t="shared" si="15"/>
        <v>0</v>
      </c>
      <c r="AH238" s="115">
        <f t="shared" si="15"/>
        <v>0</v>
      </c>
      <c r="AI238" s="115">
        <f t="shared" si="15"/>
        <v>0</v>
      </c>
      <c r="AJ238" s="115">
        <f t="shared" si="15"/>
        <v>0</v>
      </c>
      <c r="AK238" s="115">
        <f t="shared" si="15"/>
        <v>0</v>
      </c>
      <c r="AL238" s="115">
        <f t="shared" si="15"/>
        <v>0</v>
      </c>
      <c r="AM238" s="115">
        <f t="shared" si="15"/>
        <v>0</v>
      </c>
      <c r="AN238" s="115">
        <f t="shared" si="15"/>
        <v>0</v>
      </c>
      <c r="AO238" s="118" t="b">
        <f t="shared" si="13"/>
        <v>0</v>
      </c>
      <c r="AP238" s="119" t="b">
        <f t="shared" si="14"/>
        <v>0</v>
      </c>
    </row>
    <row r="239" spans="1:42" ht="23.15" customHeight="1" x14ac:dyDescent="0.35">
      <c r="A239" s="124">
        <v>81</v>
      </c>
      <c r="B239" s="176"/>
      <c r="C239" s="177"/>
      <c r="D239" s="177"/>
      <c r="E239" s="177"/>
      <c r="F239" s="177"/>
      <c r="G239" s="94"/>
      <c r="H239" s="95" t="str">
        <f t="shared" si="11"/>
        <v/>
      </c>
      <c r="I239" s="109"/>
      <c r="J239" s="110"/>
      <c r="K239" s="110"/>
      <c r="L239" s="110"/>
      <c r="M239" s="110"/>
      <c r="N239" s="110"/>
      <c r="O239" s="110"/>
      <c r="P239" s="110"/>
      <c r="Q239" s="110"/>
      <c r="R239" s="110"/>
      <c r="S239" s="181"/>
      <c r="T239" s="181"/>
      <c r="U239" s="181"/>
      <c r="V239" s="181"/>
      <c r="W239" s="182"/>
      <c r="Y239" s="85">
        <f t="shared" si="12"/>
        <v>0</v>
      </c>
      <c r="AF239" s="115">
        <f t="shared" si="10"/>
        <v>0</v>
      </c>
      <c r="AG239" s="115">
        <f t="shared" si="15"/>
        <v>0</v>
      </c>
      <c r="AH239" s="115">
        <f t="shared" si="15"/>
        <v>0</v>
      </c>
      <c r="AI239" s="115">
        <f t="shared" si="15"/>
        <v>0</v>
      </c>
      <c r="AJ239" s="115">
        <f t="shared" si="15"/>
        <v>0</v>
      </c>
      <c r="AK239" s="115">
        <f t="shared" si="15"/>
        <v>0</v>
      </c>
      <c r="AL239" s="115">
        <f t="shared" si="15"/>
        <v>0</v>
      </c>
      <c r="AM239" s="115">
        <f t="shared" si="15"/>
        <v>0</v>
      </c>
      <c r="AN239" s="115">
        <f t="shared" si="15"/>
        <v>0</v>
      </c>
      <c r="AO239" s="118" t="b">
        <f t="shared" si="13"/>
        <v>0</v>
      </c>
      <c r="AP239" s="119" t="b">
        <f t="shared" si="14"/>
        <v>0</v>
      </c>
    </row>
    <row r="240" spans="1:42" ht="23.15" customHeight="1" x14ac:dyDescent="0.35">
      <c r="A240" s="124">
        <v>82</v>
      </c>
      <c r="B240" s="176"/>
      <c r="C240" s="177"/>
      <c r="D240" s="177"/>
      <c r="E240" s="177"/>
      <c r="F240" s="177"/>
      <c r="G240" s="94"/>
      <c r="H240" s="95" t="str">
        <f t="shared" si="11"/>
        <v/>
      </c>
      <c r="I240" s="109"/>
      <c r="J240" s="110"/>
      <c r="K240" s="110"/>
      <c r="L240" s="110"/>
      <c r="M240" s="110"/>
      <c r="N240" s="110"/>
      <c r="O240" s="110"/>
      <c r="P240" s="110"/>
      <c r="Q240" s="110"/>
      <c r="R240" s="110"/>
      <c r="S240" s="181"/>
      <c r="T240" s="181"/>
      <c r="U240" s="181"/>
      <c r="V240" s="181"/>
      <c r="W240" s="182"/>
      <c r="Y240" s="85">
        <f t="shared" si="12"/>
        <v>0</v>
      </c>
      <c r="AF240" s="115">
        <f t="shared" si="10"/>
        <v>0</v>
      </c>
      <c r="AG240" s="115">
        <f t="shared" si="15"/>
        <v>0</v>
      </c>
      <c r="AH240" s="115">
        <f t="shared" si="15"/>
        <v>0</v>
      </c>
      <c r="AI240" s="115">
        <f t="shared" si="15"/>
        <v>0</v>
      </c>
      <c r="AJ240" s="115">
        <f t="shared" si="15"/>
        <v>0</v>
      </c>
      <c r="AK240" s="115">
        <f t="shared" si="15"/>
        <v>0</v>
      </c>
      <c r="AL240" s="115">
        <f t="shared" si="15"/>
        <v>0</v>
      </c>
      <c r="AM240" s="115">
        <f t="shared" si="15"/>
        <v>0</v>
      </c>
      <c r="AN240" s="115">
        <f t="shared" si="15"/>
        <v>0</v>
      </c>
      <c r="AO240" s="118" t="b">
        <f t="shared" si="13"/>
        <v>0</v>
      </c>
      <c r="AP240" s="119" t="b">
        <f t="shared" si="14"/>
        <v>0</v>
      </c>
    </row>
    <row r="241" spans="1:42" ht="23.15" customHeight="1" x14ac:dyDescent="0.35">
      <c r="A241" s="124">
        <v>83</v>
      </c>
      <c r="B241" s="176"/>
      <c r="C241" s="177"/>
      <c r="D241" s="177"/>
      <c r="E241" s="177"/>
      <c r="F241" s="177"/>
      <c r="G241" s="94"/>
      <c r="H241" s="95" t="str">
        <f t="shared" si="11"/>
        <v/>
      </c>
      <c r="I241" s="109"/>
      <c r="J241" s="110"/>
      <c r="K241" s="110"/>
      <c r="L241" s="110"/>
      <c r="M241" s="110"/>
      <c r="N241" s="110"/>
      <c r="O241" s="110"/>
      <c r="P241" s="110"/>
      <c r="Q241" s="110"/>
      <c r="R241" s="110"/>
      <c r="S241" s="181"/>
      <c r="T241" s="181"/>
      <c r="U241" s="181"/>
      <c r="V241" s="181"/>
      <c r="W241" s="182"/>
      <c r="Y241" s="85">
        <f t="shared" si="12"/>
        <v>0</v>
      </c>
      <c r="AF241" s="115">
        <f t="shared" si="10"/>
        <v>0</v>
      </c>
      <c r="AG241" s="115">
        <f t="shared" si="15"/>
        <v>0</v>
      </c>
      <c r="AH241" s="115">
        <f t="shared" si="15"/>
        <v>0</v>
      </c>
      <c r="AI241" s="115">
        <f t="shared" si="15"/>
        <v>0</v>
      </c>
      <c r="AJ241" s="115">
        <f t="shared" si="15"/>
        <v>0</v>
      </c>
      <c r="AK241" s="115">
        <f t="shared" si="15"/>
        <v>0</v>
      </c>
      <c r="AL241" s="115">
        <f t="shared" si="15"/>
        <v>0</v>
      </c>
      <c r="AM241" s="115">
        <f t="shared" si="15"/>
        <v>0</v>
      </c>
      <c r="AN241" s="115">
        <f t="shared" si="15"/>
        <v>0</v>
      </c>
      <c r="AO241" s="118" t="b">
        <f t="shared" si="13"/>
        <v>0</v>
      </c>
      <c r="AP241" s="119" t="b">
        <f t="shared" si="14"/>
        <v>0</v>
      </c>
    </row>
    <row r="242" spans="1:42" ht="23.15" customHeight="1" x14ac:dyDescent="0.35">
      <c r="A242" s="124">
        <v>84</v>
      </c>
      <c r="B242" s="176"/>
      <c r="C242" s="177"/>
      <c r="D242" s="177"/>
      <c r="E242" s="177"/>
      <c r="F242" s="177"/>
      <c r="G242" s="94"/>
      <c r="H242" s="95" t="str">
        <f t="shared" si="11"/>
        <v/>
      </c>
      <c r="I242" s="109"/>
      <c r="J242" s="110"/>
      <c r="K242" s="110"/>
      <c r="L242" s="110"/>
      <c r="M242" s="110"/>
      <c r="N242" s="110"/>
      <c r="O242" s="110"/>
      <c r="P242" s="110"/>
      <c r="Q242" s="110"/>
      <c r="R242" s="110"/>
      <c r="S242" s="181"/>
      <c r="T242" s="181"/>
      <c r="U242" s="181"/>
      <c r="V242" s="181"/>
      <c r="W242" s="182"/>
      <c r="Y242" s="85">
        <f t="shared" si="12"/>
        <v>0</v>
      </c>
      <c r="AF242" s="115">
        <f t="shared" si="10"/>
        <v>0</v>
      </c>
      <c r="AG242" s="115">
        <f t="shared" si="15"/>
        <v>0</v>
      </c>
      <c r="AH242" s="115">
        <f t="shared" si="15"/>
        <v>0</v>
      </c>
      <c r="AI242" s="115">
        <f t="shared" si="15"/>
        <v>0</v>
      </c>
      <c r="AJ242" s="115">
        <f t="shared" si="15"/>
        <v>0</v>
      </c>
      <c r="AK242" s="115">
        <f t="shared" si="15"/>
        <v>0</v>
      </c>
      <c r="AL242" s="115">
        <f t="shared" si="15"/>
        <v>0</v>
      </c>
      <c r="AM242" s="115">
        <f t="shared" si="15"/>
        <v>0</v>
      </c>
      <c r="AN242" s="115">
        <f t="shared" si="15"/>
        <v>0</v>
      </c>
      <c r="AO242" s="118" t="b">
        <f t="shared" si="13"/>
        <v>0</v>
      </c>
      <c r="AP242" s="119" t="b">
        <f t="shared" si="14"/>
        <v>0</v>
      </c>
    </row>
    <row r="243" spans="1:42" ht="23.15" customHeight="1" x14ac:dyDescent="0.35">
      <c r="A243" s="124">
        <v>85</v>
      </c>
      <c r="B243" s="176"/>
      <c r="C243" s="177"/>
      <c r="D243" s="177"/>
      <c r="E243" s="177"/>
      <c r="F243" s="177"/>
      <c r="G243" s="94"/>
      <c r="H243" s="95" t="str">
        <f t="shared" si="11"/>
        <v/>
      </c>
      <c r="I243" s="109"/>
      <c r="J243" s="110"/>
      <c r="K243" s="110"/>
      <c r="L243" s="110"/>
      <c r="M243" s="110"/>
      <c r="N243" s="110"/>
      <c r="O243" s="110"/>
      <c r="P243" s="110"/>
      <c r="Q243" s="110"/>
      <c r="R243" s="110"/>
      <c r="S243" s="181"/>
      <c r="T243" s="181"/>
      <c r="U243" s="181"/>
      <c r="V243" s="181"/>
      <c r="W243" s="182"/>
      <c r="Y243" s="85">
        <f t="shared" si="12"/>
        <v>0</v>
      </c>
      <c r="AF243" s="115">
        <f t="shared" si="10"/>
        <v>0</v>
      </c>
      <c r="AG243" s="115">
        <f t="shared" si="15"/>
        <v>0</v>
      </c>
      <c r="AH243" s="115">
        <f t="shared" si="15"/>
        <v>0</v>
      </c>
      <c r="AI243" s="115">
        <f t="shared" si="15"/>
        <v>0</v>
      </c>
      <c r="AJ243" s="115">
        <f t="shared" si="15"/>
        <v>0</v>
      </c>
      <c r="AK243" s="115">
        <f t="shared" si="15"/>
        <v>0</v>
      </c>
      <c r="AL243" s="115">
        <f t="shared" si="15"/>
        <v>0</v>
      </c>
      <c r="AM243" s="115">
        <f t="shared" si="15"/>
        <v>0</v>
      </c>
      <c r="AN243" s="115">
        <f t="shared" si="15"/>
        <v>0</v>
      </c>
      <c r="AO243" s="118" t="b">
        <f t="shared" si="13"/>
        <v>0</v>
      </c>
      <c r="AP243" s="119" t="b">
        <f t="shared" si="14"/>
        <v>0</v>
      </c>
    </row>
    <row r="244" spans="1:42" ht="23.15" customHeight="1" x14ac:dyDescent="0.35">
      <c r="A244" s="124">
        <v>86</v>
      </c>
      <c r="B244" s="176"/>
      <c r="C244" s="177"/>
      <c r="D244" s="177"/>
      <c r="E244" s="177"/>
      <c r="F244" s="177"/>
      <c r="G244" s="94"/>
      <c r="H244" s="95" t="str">
        <f t="shared" si="11"/>
        <v/>
      </c>
      <c r="I244" s="109"/>
      <c r="J244" s="110"/>
      <c r="K244" s="110"/>
      <c r="L244" s="110"/>
      <c r="M244" s="110"/>
      <c r="N244" s="110"/>
      <c r="O244" s="110"/>
      <c r="P244" s="110"/>
      <c r="Q244" s="110"/>
      <c r="R244" s="110"/>
      <c r="S244" s="181"/>
      <c r="T244" s="181"/>
      <c r="U244" s="181"/>
      <c r="V244" s="181"/>
      <c r="W244" s="182"/>
      <c r="Y244" s="85">
        <f t="shared" si="12"/>
        <v>0</v>
      </c>
      <c r="AF244" s="115">
        <f t="shared" si="10"/>
        <v>0</v>
      </c>
      <c r="AG244" s="115">
        <f t="shared" si="15"/>
        <v>0</v>
      </c>
      <c r="AH244" s="115">
        <f t="shared" si="15"/>
        <v>0</v>
      </c>
      <c r="AI244" s="115">
        <f t="shared" si="15"/>
        <v>0</v>
      </c>
      <c r="AJ244" s="115">
        <f t="shared" si="15"/>
        <v>0</v>
      </c>
      <c r="AK244" s="115">
        <f t="shared" si="15"/>
        <v>0</v>
      </c>
      <c r="AL244" s="115">
        <f t="shared" si="15"/>
        <v>0</v>
      </c>
      <c r="AM244" s="115">
        <f t="shared" si="15"/>
        <v>0</v>
      </c>
      <c r="AN244" s="115">
        <f t="shared" si="15"/>
        <v>0</v>
      </c>
      <c r="AO244" s="118" t="b">
        <f t="shared" si="13"/>
        <v>0</v>
      </c>
      <c r="AP244" s="119" t="b">
        <f t="shared" si="14"/>
        <v>0</v>
      </c>
    </row>
    <row r="245" spans="1:42" ht="23.15" customHeight="1" x14ac:dyDescent="0.35">
      <c r="A245" s="124">
        <v>87</v>
      </c>
      <c r="B245" s="176"/>
      <c r="C245" s="177"/>
      <c r="D245" s="177"/>
      <c r="E245" s="177"/>
      <c r="F245" s="177"/>
      <c r="G245" s="94"/>
      <c r="H245" s="95" t="str">
        <f t="shared" si="11"/>
        <v/>
      </c>
      <c r="I245" s="109"/>
      <c r="J245" s="110"/>
      <c r="K245" s="110"/>
      <c r="L245" s="110"/>
      <c r="M245" s="110"/>
      <c r="N245" s="110"/>
      <c r="O245" s="110"/>
      <c r="P245" s="110"/>
      <c r="Q245" s="110"/>
      <c r="R245" s="110"/>
      <c r="S245" s="181"/>
      <c r="T245" s="181"/>
      <c r="U245" s="181"/>
      <c r="V245" s="181"/>
      <c r="W245" s="182"/>
      <c r="Y245" s="85">
        <f t="shared" si="12"/>
        <v>0</v>
      </c>
      <c r="AF245" s="115">
        <f t="shared" si="10"/>
        <v>0</v>
      </c>
      <c r="AG245" s="115">
        <f t="shared" si="15"/>
        <v>0</v>
      </c>
      <c r="AH245" s="115">
        <f t="shared" si="15"/>
        <v>0</v>
      </c>
      <c r="AI245" s="115">
        <f t="shared" si="15"/>
        <v>0</v>
      </c>
      <c r="AJ245" s="115">
        <f t="shared" si="15"/>
        <v>0</v>
      </c>
      <c r="AK245" s="115">
        <f t="shared" si="15"/>
        <v>0</v>
      </c>
      <c r="AL245" s="115">
        <f t="shared" si="15"/>
        <v>0</v>
      </c>
      <c r="AM245" s="115">
        <f t="shared" si="15"/>
        <v>0</v>
      </c>
      <c r="AN245" s="115">
        <f t="shared" si="15"/>
        <v>0</v>
      </c>
      <c r="AO245" s="118" t="b">
        <f t="shared" si="13"/>
        <v>0</v>
      </c>
      <c r="AP245" s="119" t="b">
        <f t="shared" si="14"/>
        <v>0</v>
      </c>
    </row>
    <row r="246" spans="1:42" ht="23.15" customHeight="1" x14ac:dyDescent="0.35">
      <c r="A246" s="124">
        <v>88</v>
      </c>
      <c r="B246" s="176"/>
      <c r="C246" s="177"/>
      <c r="D246" s="177"/>
      <c r="E246" s="177"/>
      <c r="F246" s="177"/>
      <c r="G246" s="94"/>
      <c r="H246" s="95" t="str">
        <f t="shared" si="11"/>
        <v/>
      </c>
      <c r="I246" s="109"/>
      <c r="J246" s="110"/>
      <c r="K246" s="110"/>
      <c r="L246" s="110"/>
      <c r="M246" s="110"/>
      <c r="N246" s="110"/>
      <c r="O246" s="110"/>
      <c r="P246" s="110"/>
      <c r="Q246" s="110"/>
      <c r="R246" s="110"/>
      <c r="S246" s="181"/>
      <c r="T246" s="181"/>
      <c r="U246" s="181"/>
      <c r="V246" s="181"/>
      <c r="W246" s="182"/>
      <c r="Y246" s="85">
        <f t="shared" si="12"/>
        <v>0</v>
      </c>
      <c r="AF246" s="115">
        <f t="shared" si="10"/>
        <v>0</v>
      </c>
      <c r="AG246" s="115">
        <f t="shared" si="15"/>
        <v>0</v>
      </c>
      <c r="AH246" s="115">
        <f t="shared" si="15"/>
        <v>0</v>
      </c>
      <c r="AI246" s="115">
        <f t="shared" si="15"/>
        <v>0</v>
      </c>
      <c r="AJ246" s="115">
        <f t="shared" si="15"/>
        <v>0</v>
      </c>
      <c r="AK246" s="115">
        <f t="shared" si="15"/>
        <v>0</v>
      </c>
      <c r="AL246" s="115">
        <f t="shared" si="15"/>
        <v>0</v>
      </c>
      <c r="AM246" s="115">
        <f t="shared" si="15"/>
        <v>0</v>
      </c>
      <c r="AN246" s="115">
        <f t="shared" si="15"/>
        <v>0</v>
      </c>
      <c r="AO246" s="118" t="b">
        <f t="shared" si="13"/>
        <v>0</v>
      </c>
      <c r="AP246" s="119" t="b">
        <f t="shared" si="14"/>
        <v>0</v>
      </c>
    </row>
    <row r="247" spans="1:42" ht="23.15" customHeight="1" x14ac:dyDescent="0.35">
      <c r="A247" s="124">
        <v>89</v>
      </c>
      <c r="B247" s="176"/>
      <c r="C247" s="177"/>
      <c r="D247" s="177"/>
      <c r="E247" s="177"/>
      <c r="F247" s="177"/>
      <c r="G247" s="94"/>
      <c r="H247" s="95" t="str">
        <f t="shared" si="11"/>
        <v/>
      </c>
      <c r="I247" s="109"/>
      <c r="J247" s="110"/>
      <c r="K247" s="110"/>
      <c r="L247" s="110"/>
      <c r="M247" s="110"/>
      <c r="N247" s="110"/>
      <c r="O247" s="110"/>
      <c r="P247" s="110"/>
      <c r="Q247" s="110"/>
      <c r="R247" s="110"/>
      <c r="S247" s="181"/>
      <c r="T247" s="181"/>
      <c r="U247" s="181"/>
      <c r="V247" s="181"/>
      <c r="W247" s="182"/>
      <c r="Y247" s="85">
        <f t="shared" si="12"/>
        <v>0</v>
      </c>
      <c r="AF247" s="115">
        <f t="shared" si="10"/>
        <v>0</v>
      </c>
      <c r="AG247" s="115">
        <f t="shared" si="15"/>
        <v>0</v>
      </c>
      <c r="AH247" s="115">
        <f t="shared" si="15"/>
        <v>0</v>
      </c>
      <c r="AI247" s="115">
        <f t="shared" si="15"/>
        <v>0</v>
      </c>
      <c r="AJ247" s="115">
        <f t="shared" si="15"/>
        <v>0</v>
      </c>
      <c r="AK247" s="115">
        <f t="shared" si="15"/>
        <v>0</v>
      </c>
      <c r="AL247" s="115">
        <f t="shared" si="15"/>
        <v>0</v>
      </c>
      <c r="AM247" s="115">
        <f t="shared" si="15"/>
        <v>0</v>
      </c>
      <c r="AN247" s="115">
        <f t="shared" si="15"/>
        <v>0</v>
      </c>
      <c r="AO247" s="118" t="b">
        <f t="shared" si="13"/>
        <v>0</v>
      </c>
      <c r="AP247" s="119" t="b">
        <f t="shared" si="14"/>
        <v>0</v>
      </c>
    </row>
    <row r="248" spans="1:42" ht="23.15" customHeight="1" x14ac:dyDescent="0.35">
      <c r="A248" s="124">
        <v>90</v>
      </c>
      <c r="B248" s="176"/>
      <c r="C248" s="177"/>
      <c r="D248" s="177"/>
      <c r="E248" s="177"/>
      <c r="F248" s="177"/>
      <c r="G248" s="94"/>
      <c r="H248" s="95" t="str">
        <f t="shared" si="11"/>
        <v/>
      </c>
      <c r="I248" s="109"/>
      <c r="J248" s="110"/>
      <c r="K248" s="110"/>
      <c r="L248" s="110"/>
      <c r="M248" s="110"/>
      <c r="N248" s="110"/>
      <c r="O248" s="110"/>
      <c r="P248" s="110"/>
      <c r="Q248" s="110"/>
      <c r="R248" s="110"/>
      <c r="S248" s="181"/>
      <c r="T248" s="181"/>
      <c r="U248" s="181"/>
      <c r="V248" s="181"/>
      <c r="W248" s="182"/>
      <c r="Y248" s="85">
        <f t="shared" si="12"/>
        <v>0</v>
      </c>
      <c r="AF248" s="115">
        <f t="shared" si="10"/>
        <v>0</v>
      </c>
      <c r="AG248" s="115">
        <f t="shared" si="15"/>
        <v>0</v>
      </c>
      <c r="AH248" s="115">
        <f t="shared" si="15"/>
        <v>0</v>
      </c>
      <c r="AI248" s="115">
        <f t="shared" si="15"/>
        <v>0</v>
      </c>
      <c r="AJ248" s="115">
        <f t="shared" si="15"/>
        <v>0</v>
      </c>
      <c r="AK248" s="115">
        <f t="shared" si="15"/>
        <v>0</v>
      </c>
      <c r="AL248" s="115">
        <f t="shared" si="15"/>
        <v>0</v>
      </c>
      <c r="AM248" s="115">
        <f t="shared" si="15"/>
        <v>0</v>
      </c>
      <c r="AN248" s="115">
        <f t="shared" si="15"/>
        <v>0</v>
      </c>
      <c r="AO248" s="118" t="b">
        <f t="shared" si="13"/>
        <v>0</v>
      </c>
      <c r="AP248" s="119" t="b">
        <f t="shared" si="14"/>
        <v>0</v>
      </c>
    </row>
    <row r="249" spans="1:42" ht="23.15" customHeight="1" x14ac:dyDescent="0.35">
      <c r="A249" s="124">
        <v>91</v>
      </c>
      <c r="B249" s="176"/>
      <c r="C249" s="177"/>
      <c r="D249" s="177"/>
      <c r="E249" s="177"/>
      <c r="F249" s="177"/>
      <c r="G249" s="94"/>
      <c r="H249" s="95" t="str">
        <f t="shared" si="11"/>
        <v/>
      </c>
      <c r="I249" s="109"/>
      <c r="J249" s="110"/>
      <c r="K249" s="110"/>
      <c r="L249" s="110"/>
      <c r="M249" s="110"/>
      <c r="N249" s="110"/>
      <c r="O249" s="110"/>
      <c r="P249" s="110"/>
      <c r="Q249" s="110"/>
      <c r="R249" s="110"/>
      <c r="S249" s="181"/>
      <c r="T249" s="181"/>
      <c r="U249" s="181"/>
      <c r="V249" s="181"/>
      <c r="W249" s="182"/>
      <c r="Y249" s="85">
        <f t="shared" si="12"/>
        <v>0</v>
      </c>
      <c r="AF249" s="115">
        <f t="shared" si="10"/>
        <v>0</v>
      </c>
      <c r="AG249" s="115">
        <f t="shared" si="15"/>
        <v>0</v>
      </c>
      <c r="AH249" s="115">
        <f t="shared" si="15"/>
        <v>0</v>
      </c>
      <c r="AI249" s="115">
        <f t="shared" si="15"/>
        <v>0</v>
      </c>
      <c r="AJ249" s="115">
        <f t="shared" si="15"/>
        <v>0</v>
      </c>
      <c r="AK249" s="115">
        <f t="shared" si="15"/>
        <v>0</v>
      </c>
      <c r="AL249" s="115">
        <f t="shared" si="15"/>
        <v>0</v>
      </c>
      <c r="AM249" s="115">
        <f t="shared" si="15"/>
        <v>0</v>
      </c>
      <c r="AN249" s="115">
        <f t="shared" si="15"/>
        <v>0</v>
      </c>
      <c r="AO249" s="118" t="b">
        <f t="shared" si="13"/>
        <v>0</v>
      </c>
      <c r="AP249" s="119" t="b">
        <f t="shared" si="14"/>
        <v>0</v>
      </c>
    </row>
    <row r="250" spans="1:42" ht="23.15" customHeight="1" x14ac:dyDescent="0.35">
      <c r="A250" s="124">
        <v>92</v>
      </c>
      <c r="B250" s="176"/>
      <c r="C250" s="177"/>
      <c r="D250" s="177"/>
      <c r="E250" s="177"/>
      <c r="F250" s="177"/>
      <c r="G250" s="94"/>
      <c r="H250" s="95" t="str">
        <f t="shared" si="11"/>
        <v/>
      </c>
      <c r="I250" s="109"/>
      <c r="J250" s="110"/>
      <c r="K250" s="110"/>
      <c r="L250" s="110"/>
      <c r="M250" s="110"/>
      <c r="N250" s="110"/>
      <c r="O250" s="110"/>
      <c r="P250" s="110"/>
      <c r="Q250" s="110"/>
      <c r="R250" s="110"/>
      <c r="S250" s="181"/>
      <c r="T250" s="181"/>
      <c r="U250" s="181"/>
      <c r="V250" s="181"/>
      <c r="W250" s="182"/>
      <c r="Y250" s="85">
        <f t="shared" si="12"/>
        <v>0</v>
      </c>
      <c r="AF250" s="115">
        <f t="shared" si="10"/>
        <v>0</v>
      </c>
      <c r="AG250" s="115">
        <f t="shared" si="15"/>
        <v>0</v>
      </c>
      <c r="AH250" s="115">
        <f t="shared" si="15"/>
        <v>0</v>
      </c>
      <c r="AI250" s="115">
        <f t="shared" si="15"/>
        <v>0</v>
      </c>
      <c r="AJ250" s="115">
        <f t="shared" si="15"/>
        <v>0</v>
      </c>
      <c r="AK250" s="115">
        <f t="shared" si="15"/>
        <v>0</v>
      </c>
      <c r="AL250" s="115">
        <f t="shared" si="15"/>
        <v>0</v>
      </c>
      <c r="AM250" s="115">
        <f t="shared" si="15"/>
        <v>0</v>
      </c>
      <c r="AN250" s="115">
        <f t="shared" si="15"/>
        <v>0</v>
      </c>
      <c r="AO250" s="118" t="b">
        <f t="shared" si="13"/>
        <v>0</v>
      </c>
      <c r="AP250" s="119" t="b">
        <f t="shared" si="14"/>
        <v>0</v>
      </c>
    </row>
    <row r="251" spans="1:42" ht="23.15" customHeight="1" x14ac:dyDescent="0.35">
      <c r="A251" s="124">
        <v>93</v>
      </c>
      <c r="B251" s="176"/>
      <c r="C251" s="177"/>
      <c r="D251" s="177"/>
      <c r="E251" s="177"/>
      <c r="F251" s="177"/>
      <c r="G251" s="94"/>
      <c r="H251" s="95" t="str">
        <f t="shared" si="11"/>
        <v/>
      </c>
      <c r="I251" s="109"/>
      <c r="J251" s="110"/>
      <c r="K251" s="110"/>
      <c r="L251" s="110"/>
      <c r="M251" s="110"/>
      <c r="N251" s="110"/>
      <c r="O251" s="110"/>
      <c r="P251" s="110"/>
      <c r="Q251" s="110"/>
      <c r="R251" s="110"/>
      <c r="S251" s="181"/>
      <c r="T251" s="181"/>
      <c r="U251" s="181"/>
      <c r="V251" s="181"/>
      <c r="W251" s="182"/>
      <c r="Y251" s="85">
        <f t="shared" si="12"/>
        <v>0</v>
      </c>
      <c r="AF251" s="115">
        <f t="shared" si="10"/>
        <v>0</v>
      </c>
      <c r="AG251" s="115">
        <f t="shared" si="15"/>
        <v>0</v>
      </c>
      <c r="AH251" s="115">
        <f t="shared" si="15"/>
        <v>0</v>
      </c>
      <c r="AI251" s="115">
        <f t="shared" si="15"/>
        <v>0</v>
      </c>
      <c r="AJ251" s="115">
        <f t="shared" si="15"/>
        <v>0</v>
      </c>
      <c r="AK251" s="115">
        <f t="shared" si="15"/>
        <v>0</v>
      </c>
      <c r="AL251" s="115">
        <f t="shared" si="15"/>
        <v>0</v>
      </c>
      <c r="AM251" s="115">
        <f t="shared" si="15"/>
        <v>0</v>
      </c>
      <c r="AN251" s="115">
        <f t="shared" si="15"/>
        <v>0</v>
      </c>
      <c r="AO251" s="118" t="b">
        <f t="shared" si="13"/>
        <v>0</v>
      </c>
      <c r="AP251" s="119" t="b">
        <f t="shared" si="14"/>
        <v>0</v>
      </c>
    </row>
    <row r="252" spans="1:42" ht="23.15" customHeight="1" x14ac:dyDescent="0.35">
      <c r="A252" s="124">
        <v>94</v>
      </c>
      <c r="B252" s="176"/>
      <c r="C252" s="177"/>
      <c r="D252" s="177"/>
      <c r="E252" s="177"/>
      <c r="F252" s="177"/>
      <c r="G252" s="94"/>
      <c r="H252" s="95" t="str">
        <f t="shared" si="11"/>
        <v/>
      </c>
      <c r="I252" s="109"/>
      <c r="J252" s="110"/>
      <c r="K252" s="110"/>
      <c r="L252" s="110"/>
      <c r="M252" s="110"/>
      <c r="N252" s="110"/>
      <c r="O252" s="110"/>
      <c r="P252" s="110"/>
      <c r="Q252" s="110"/>
      <c r="R252" s="110"/>
      <c r="S252" s="181"/>
      <c r="T252" s="181"/>
      <c r="U252" s="181"/>
      <c r="V252" s="181"/>
      <c r="W252" s="182"/>
      <c r="Y252" s="85">
        <f t="shared" si="12"/>
        <v>0</v>
      </c>
      <c r="AF252" s="115">
        <f t="shared" si="10"/>
        <v>0</v>
      </c>
      <c r="AG252" s="115">
        <f t="shared" si="15"/>
        <v>0</v>
      </c>
      <c r="AH252" s="115">
        <f t="shared" si="15"/>
        <v>0</v>
      </c>
      <c r="AI252" s="115">
        <f t="shared" si="15"/>
        <v>0</v>
      </c>
      <c r="AJ252" s="115">
        <f t="shared" si="15"/>
        <v>0</v>
      </c>
      <c r="AK252" s="115">
        <f t="shared" si="15"/>
        <v>0</v>
      </c>
      <c r="AL252" s="115">
        <f t="shared" si="15"/>
        <v>0</v>
      </c>
      <c r="AM252" s="115">
        <f t="shared" si="15"/>
        <v>0</v>
      </c>
      <c r="AN252" s="115">
        <f t="shared" si="15"/>
        <v>0</v>
      </c>
      <c r="AO252" s="118" t="b">
        <f t="shared" si="13"/>
        <v>0</v>
      </c>
      <c r="AP252" s="119" t="b">
        <f t="shared" si="14"/>
        <v>0</v>
      </c>
    </row>
    <row r="253" spans="1:42" ht="23.15" customHeight="1" x14ac:dyDescent="0.35">
      <c r="A253" s="124">
        <v>95</v>
      </c>
      <c r="B253" s="176"/>
      <c r="C253" s="177"/>
      <c r="D253" s="177"/>
      <c r="E253" s="177"/>
      <c r="F253" s="177"/>
      <c r="G253" s="94"/>
      <c r="H253" s="95" t="str">
        <f t="shared" si="11"/>
        <v/>
      </c>
      <c r="I253" s="109"/>
      <c r="J253" s="110"/>
      <c r="K253" s="110"/>
      <c r="L253" s="110"/>
      <c r="M253" s="110"/>
      <c r="N253" s="110"/>
      <c r="O253" s="110"/>
      <c r="P253" s="110"/>
      <c r="Q253" s="110"/>
      <c r="R253" s="110"/>
      <c r="S253" s="181"/>
      <c r="T253" s="181"/>
      <c r="U253" s="181"/>
      <c r="V253" s="181"/>
      <c r="W253" s="182"/>
      <c r="Y253" s="85">
        <f t="shared" si="12"/>
        <v>0</v>
      </c>
      <c r="AF253" s="115">
        <f t="shared" si="10"/>
        <v>0</v>
      </c>
      <c r="AG253" s="115">
        <f t="shared" si="15"/>
        <v>0</v>
      </c>
      <c r="AH253" s="115">
        <f t="shared" si="15"/>
        <v>0</v>
      </c>
      <c r="AI253" s="115">
        <f t="shared" si="15"/>
        <v>0</v>
      </c>
      <c r="AJ253" s="115">
        <f t="shared" si="15"/>
        <v>0</v>
      </c>
      <c r="AK253" s="115">
        <f t="shared" si="15"/>
        <v>0</v>
      </c>
      <c r="AL253" s="115">
        <f t="shared" si="15"/>
        <v>0</v>
      </c>
      <c r="AM253" s="115">
        <f t="shared" si="15"/>
        <v>0</v>
      </c>
      <c r="AN253" s="115">
        <f t="shared" si="15"/>
        <v>0</v>
      </c>
      <c r="AO253" s="118" t="b">
        <f t="shared" si="13"/>
        <v>0</v>
      </c>
      <c r="AP253" s="119" t="b">
        <f t="shared" si="14"/>
        <v>0</v>
      </c>
    </row>
    <row r="254" spans="1:42" ht="23.15" customHeight="1" x14ac:dyDescent="0.35">
      <c r="A254" s="124">
        <v>96</v>
      </c>
      <c r="B254" s="176"/>
      <c r="C254" s="177"/>
      <c r="D254" s="177"/>
      <c r="E254" s="177"/>
      <c r="F254" s="177"/>
      <c r="G254" s="94"/>
      <c r="H254" s="95" t="str">
        <f t="shared" si="11"/>
        <v/>
      </c>
      <c r="I254" s="109"/>
      <c r="J254" s="110"/>
      <c r="K254" s="110"/>
      <c r="L254" s="110"/>
      <c r="M254" s="110"/>
      <c r="N254" s="110"/>
      <c r="O254" s="110"/>
      <c r="P254" s="110"/>
      <c r="Q254" s="110"/>
      <c r="R254" s="110"/>
      <c r="S254" s="181"/>
      <c r="T254" s="181"/>
      <c r="U254" s="181"/>
      <c r="V254" s="181"/>
      <c r="W254" s="182"/>
      <c r="Y254" s="85">
        <f t="shared" si="12"/>
        <v>0</v>
      </c>
      <c r="AF254" s="115">
        <f t="shared" si="10"/>
        <v>0</v>
      </c>
      <c r="AG254" s="115">
        <f t="shared" si="15"/>
        <v>0</v>
      </c>
      <c r="AH254" s="115">
        <f t="shared" si="15"/>
        <v>0</v>
      </c>
      <c r="AI254" s="115">
        <f t="shared" si="15"/>
        <v>0</v>
      </c>
      <c r="AJ254" s="115">
        <f t="shared" si="15"/>
        <v>0</v>
      </c>
      <c r="AK254" s="115">
        <f t="shared" si="15"/>
        <v>0</v>
      </c>
      <c r="AL254" s="115">
        <f t="shared" si="15"/>
        <v>0</v>
      </c>
      <c r="AM254" s="115">
        <f t="shared" si="15"/>
        <v>0</v>
      </c>
      <c r="AN254" s="115">
        <f t="shared" si="15"/>
        <v>0</v>
      </c>
      <c r="AO254" s="118" t="b">
        <f t="shared" si="13"/>
        <v>0</v>
      </c>
      <c r="AP254" s="119" t="b">
        <f t="shared" si="14"/>
        <v>0</v>
      </c>
    </row>
    <row r="255" spans="1:42" ht="23.15" customHeight="1" x14ac:dyDescent="0.35">
      <c r="A255" s="124">
        <v>97</v>
      </c>
      <c r="B255" s="176"/>
      <c r="C255" s="177"/>
      <c r="D255" s="177"/>
      <c r="E255" s="177"/>
      <c r="F255" s="177"/>
      <c r="G255" s="94"/>
      <c r="H255" s="95" t="str">
        <f t="shared" si="11"/>
        <v/>
      </c>
      <c r="I255" s="109"/>
      <c r="J255" s="110"/>
      <c r="K255" s="110"/>
      <c r="L255" s="110"/>
      <c r="M255" s="110"/>
      <c r="N255" s="110"/>
      <c r="O255" s="110"/>
      <c r="P255" s="110"/>
      <c r="Q255" s="110"/>
      <c r="R255" s="110"/>
      <c r="S255" s="181"/>
      <c r="T255" s="181"/>
      <c r="U255" s="181"/>
      <c r="V255" s="181"/>
      <c r="W255" s="182"/>
      <c r="Y255" s="85">
        <f t="shared" si="12"/>
        <v>0</v>
      </c>
      <c r="AF255" s="115">
        <f t="shared" si="10"/>
        <v>0</v>
      </c>
      <c r="AG255" s="115">
        <f t="shared" si="15"/>
        <v>0</v>
      </c>
      <c r="AH255" s="115">
        <f t="shared" si="15"/>
        <v>0</v>
      </c>
      <c r="AI255" s="115">
        <f t="shared" si="15"/>
        <v>0</v>
      </c>
      <c r="AJ255" s="115">
        <f t="shared" si="15"/>
        <v>0</v>
      </c>
      <c r="AK255" s="115">
        <f t="shared" si="15"/>
        <v>0</v>
      </c>
      <c r="AL255" s="115">
        <f t="shared" si="15"/>
        <v>0</v>
      </c>
      <c r="AM255" s="115">
        <f t="shared" si="15"/>
        <v>0</v>
      </c>
      <c r="AN255" s="115">
        <f t="shared" si="15"/>
        <v>0</v>
      </c>
      <c r="AO255" s="118" t="b">
        <f t="shared" si="13"/>
        <v>0</v>
      </c>
      <c r="AP255" s="119" t="b">
        <f t="shared" si="14"/>
        <v>0</v>
      </c>
    </row>
    <row r="256" spans="1:42" ht="23.15" customHeight="1" x14ac:dyDescent="0.35">
      <c r="A256" s="124">
        <v>98</v>
      </c>
      <c r="B256" s="176"/>
      <c r="C256" s="177"/>
      <c r="D256" s="177"/>
      <c r="E256" s="177"/>
      <c r="F256" s="177"/>
      <c r="G256" s="94"/>
      <c r="H256" s="95" t="str">
        <f t="shared" si="11"/>
        <v/>
      </c>
      <c r="I256" s="109"/>
      <c r="J256" s="110"/>
      <c r="K256" s="110"/>
      <c r="L256" s="110"/>
      <c r="M256" s="110"/>
      <c r="N256" s="110"/>
      <c r="O256" s="110"/>
      <c r="P256" s="110"/>
      <c r="Q256" s="110"/>
      <c r="R256" s="110"/>
      <c r="S256" s="181"/>
      <c r="T256" s="181"/>
      <c r="U256" s="181"/>
      <c r="V256" s="181"/>
      <c r="W256" s="182"/>
      <c r="Y256" s="85">
        <f t="shared" si="12"/>
        <v>0</v>
      </c>
      <c r="AF256" s="115">
        <f t="shared" si="10"/>
        <v>0</v>
      </c>
      <c r="AG256" s="115">
        <f t="shared" si="15"/>
        <v>0</v>
      </c>
      <c r="AH256" s="115">
        <f t="shared" si="15"/>
        <v>0</v>
      </c>
      <c r="AI256" s="115">
        <f t="shared" si="15"/>
        <v>0</v>
      </c>
      <c r="AJ256" s="115">
        <f t="shared" si="15"/>
        <v>0</v>
      </c>
      <c r="AK256" s="115">
        <f t="shared" si="15"/>
        <v>0</v>
      </c>
      <c r="AL256" s="115">
        <f t="shared" si="15"/>
        <v>0</v>
      </c>
      <c r="AM256" s="115">
        <f t="shared" si="15"/>
        <v>0</v>
      </c>
      <c r="AN256" s="115">
        <f t="shared" si="15"/>
        <v>0</v>
      </c>
      <c r="AO256" s="118" t="b">
        <f t="shared" si="13"/>
        <v>0</v>
      </c>
      <c r="AP256" s="119" t="b">
        <f t="shared" si="14"/>
        <v>0</v>
      </c>
    </row>
    <row r="257" spans="1:42" ht="23.15" customHeight="1" x14ac:dyDescent="0.35">
      <c r="A257" s="124">
        <v>99</v>
      </c>
      <c r="B257" s="176"/>
      <c r="C257" s="177"/>
      <c r="D257" s="177"/>
      <c r="E257" s="177"/>
      <c r="F257" s="177"/>
      <c r="G257" s="94"/>
      <c r="H257" s="95" t="str">
        <f t="shared" si="11"/>
        <v/>
      </c>
      <c r="I257" s="109"/>
      <c r="J257" s="110"/>
      <c r="K257" s="110"/>
      <c r="L257" s="110"/>
      <c r="M257" s="110"/>
      <c r="N257" s="110"/>
      <c r="O257" s="110"/>
      <c r="P257" s="110"/>
      <c r="Q257" s="110"/>
      <c r="R257" s="110"/>
      <c r="S257" s="181"/>
      <c r="T257" s="181"/>
      <c r="U257" s="181"/>
      <c r="V257" s="181"/>
      <c r="W257" s="182"/>
      <c r="Y257" s="85">
        <f t="shared" si="12"/>
        <v>0</v>
      </c>
      <c r="AF257" s="115">
        <f t="shared" si="10"/>
        <v>0</v>
      </c>
      <c r="AG257" s="115">
        <f t="shared" si="15"/>
        <v>0</v>
      </c>
      <c r="AH257" s="115">
        <f t="shared" si="15"/>
        <v>0</v>
      </c>
      <c r="AI257" s="115">
        <f t="shared" si="15"/>
        <v>0</v>
      </c>
      <c r="AJ257" s="115">
        <f t="shared" si="15"/>
        <v>0</v>
      </c>
      <c r="AK257" s="115">
        <f t="shared" si="15"/>
        <v>0</v>
      </c>
      <c r="AL257" s="115">
        <f t="shared" si="15"/>
        <v>0</v>
      </c>
      <c r="AM257" s="115">
        <f t="shared" si="15"/>
        <v>0</v>
      </c>
      <c r="AN257" s="115">
        <f t="shared" si="15"/>
        <v>0</v>
      </c>
      <c r="AO257" s="118" t="b">
        <f t="shared" si="13"/>
        <v>0</v>
      </c>
      <c r="AP257" s="119" t="b">
        <f t="shared" si="14"/>
        <v>0</v>
      </c>
    </row>
    <row r="258" spans="1:42" ht="23.15" customHeight="1" x14ac:dyDescent="0.35">
      <c r="A258" s="124">
        <v>100</v>
      </c>
      <c r="B258" s="176"/>
      <c r="C258" s="177"/>
      <c r="D258" s="177"/>
      <c r="E258" s="177"/>
      <c r="F258" s="177"/>
      <c r="G258" s="94"/>
      <c r="H258" s="95" t="str">
        <f t="shared" si="11"/>
        <v/>
      </c>
      <c r="I258" s="109"/>
      <c r="J258" s="110"/>
      <c r="K258" s="110"/>
      <c r="L258" s="110"/>
      <c r="M258" s="110"/>
      <c r="N258" s="110"/>
      <c r="O258" s="110"/>
      <c r="P258" s="110"/>
      <c r="Q258" s="110"/>
      <c r="R258" s="110"/>
      <c r="S258" s="181"/>
      <c r="T258" s="181"/>
      <c r="U258" s="181"/>
      <c r="V258" s="181"/>
      <c r="W258" s="182"/>
      <c r="Y258" s="85">
        <f t="shared" si="12"/>
        <v>0</v>
      </c>
      <c r="AF258" s="115">
        <f t="shared" si="10"/>
        <v>0</v>
      </c>
      <c r="AG258" s="115">
        <f t="shared" si="15"/>
        <v>0</v>
      </c>
      <c r="AH258" s="115">
        <f t="shared" si="15"/>
        <v>0</v>
      </c>
      <c r="AI258" s="115">
        <f t="shared" si="15"/>
        <v>0</v>
      </c>
      <c r="AJ258" s="115">
        <f t="shared" si="15"/>
        <v>0</v>
      </c>
      <c r="AK258" s="115">
        <f t="shared" si="15"/>
        <v>0</v>
      </c>
      <c r="AL258" s="115">
        <f t="shared" si="15"/>
        <v>0</v>
      </c>
      <c r="AM258" s="115">
        <f t="shared" si="15"/>
        <v>0</v>
      </c>
      <c r="AN258" s="115">
        <f t="shared" si="15"/>
        <v>0</v>
      </c>
      <c r="AO258" s="118" t="b">
        <f t="shared" si="13"/>
        <v>0</v>
      </c>
      <c r="AP258" s="119" t="b">
        <f t="shared" si="14"/>
        <v>0</v>
      </c>
    </row>
    <row r="259" spans="1:42" ht="23.15" customHeight="1" x14ac:dyDescent="0.35">
      <c r="A259" s="124">
        <v>101</v>
      </c>
      <c r="B259" s="176"/>
      <c r="C259" s="177"/>
      <c r="D259" s="177"/>
      <c r="E259" s="177"/>
      <c r="F259" s="177"/>
      <c r="G259" s="94"/>
      <c r="H259" s="95" t="str">
        <f t="shared" si="11"/>
        <v/>
      </c>
      <c r="I259" s="109"/>
      <c r="J259" s="110"/>
      <c r="K259" s="110"/>
      <c r="L259" s="110"/>
      <c r="M259" s="110"/>
      <c r="N259" s="110"/>
      <c r="O259" s="110"/>
      <c r="P259" s="110"/>
      <c r="Q259" s="110"/>
      <c r="R259" s="110"/>
      <c r="S259" s="181"/>
      <c r="T259" s="181"/>
      <c r="U259" s="181"/>
      <c r="V259" s="181"/>
      <c r="W259" s="182"/>
      <c r="Y259" s="85">
        <f t="shared" si="12"/>
        <v>0</v>
      </c>
      <c r="AF259" s="115">
        <f t="shared" si="10"/>
        <v>0</v>
      </c>
      <c r="AG259" s="115">
        <f t="shared" si="15"/>
        <v>0</v>
      </c>
      <c r="AH259" s="115">
        <f t="shared" si="15"/>
        <v>0</v>
      </c>
      <c r="AI259" s="115">
        <f t="shared" si="15"/>
        <v>0</v>
      </c>
      <c r="AJ259" s="115">
        <f t="shared" si="15"/>
        <v>0</v>
      </c>
      <c r="AK259" s="115">
        <f t="shared" si="15"/>
        <v>0</v>
      </c>
      <c r="AL259" s="115">
        <f t="shared" si="15"/>
        <v>0</v>
      </c>
      <c r="AM259" s="115">
        <f t="shared" si="15"/>
        <v>0</v>
      </c>
      <c r="AN259" s="115">
        <f t="shared" si="15"/>
        <v>0</v>
      </c>
      <c r="AO259" s="118" t="b">
        <f t="shared" si="13"/>
        <v>0</v>
      </c>
      <c r="AP259" s="119" t="b">
        <f t="shared" si="14"/>
        <v>0</v>
      </c>
    </row>
    <row r="260" spans="1:42" ht="23.15" customHeight="1" x14ac:dyDescent="0.35">
      <c r="A260" s="124">
        <v>102</v>
      </c>
      <c r="B260" s="176"/>
      <c r="C260" s="177"/>
      <c r="D260" s="177"/>
      <c r="E260" s="177"/>
      <c r="F260" s="177"/>
      <c r="G260" s="94"/>
      <c r="H260" s="95" t="str">
        <f t="shared" si="11"/>
        <v/>
      </c>
      <c r="I260" s="109"/>
      <c r="J260" s="110"/>
      <c r="K260" s="110"/>
      <c r="L260" s="110"/>
      <c r="M260" s="110"/>
      <c r="N260" s="110"/>
      <c r="O260" s="110"/>
      <c r="P260" s="110"/>
      <c r="Q260" s="110"/>
      <c r="R260" s="110"/>
      <c r="S260" s="181"/>
      <c r="T260" s="181"/>
      <c r="U260" s="181"/>
      <c r="V260" s="181"/>
      <c r="W260" s="182"/>
      <c r="Y260" s="85">
        <f t="shared" si="12"/>
        <v>0</v>
      </c>
      <c r="AF260" s="115">
        <f t="shared" si="10"/>
        <v>0</v>
      </c>
      <c r="AG260" s="115">
        <f t="shared" si="15"/>
        <v>0</v>
      </c>
      <c r="AH260" s="115">
        <f t="shared" si="15"/>
        <v>0</v>
      </c>
      <c r="AI260" s="115">
        <f t="shared" si="15"/>
        <v>0</v>
      </c>
      <c r="AJ260" s="115">
        <f t="shared" si="15"/>
        <v>0</v>
      </c>
      <c r="AK260" s="115">
        <f t="shared" si="15"/>
        <v>0</v>
      </c>
      <c r="AL260" s="115">
        <f t="shared" si="15"/>
        <v>0</v>
      </c>
      <c r="AM260" s="115">
        <f t="shared" si="15"/>
        <v>0</v>
      </c>
      <c r="AN260" s="115">
        <f t="shared" si="15"/>
        <v>0</v>
      </c>
      <c r="AO260" s="118" t="b">
        <f t="shared" si="13"/>
        <v>0</v>
      </c>
      <c r="AP260" s="119" t="b">
        <f t="shared" si="14"/>
        <v>0</v>
      </c>
    </row>
    <row r="261" spans="1:42" ht="23.15" customHeight="1" x14ac:dyDescent="0.35">
      <c r="A261" s="124">
        <v>103</v>
      </c>
      <c r="B261" s="176"/>
      <c r="C261" s="177"/>
      <c r="D261" s="177"/>
      <c r="E261" s="177"/>
      <c r="F261" s="177"/>
      <c r="G261" s="94"/>
      <c r="H261" s="95" t="str">
        <f t="shared" si="11"/>
        <v/>
      </c>
      <c r="I261" s="109"/>
      <c r="J261" s="110"/>
      <c r="K261" s="110"/>
      <c r="L261" s="110"/>
      <c r="M261" s="110"/>
      <c r="N261" s="110"/>
      <c r="O261" s="110"/>
      <c r="P261" s="110"/>
      <c r="Q261" s="110"/>
      <c r="R261" s="110"/>
      <c r="S261" s="181"/>
      <c r="T261" s="181"/>
      <c r="U261" s="181"/>
      <c r="V261" s="181"/>
      <c r="W261" s="182"/>
      <c r="Y261" s="85">
        <f t="shared" si="12"/>
        <v>0</v>
      </c>
      <c r="AF261" s="115">
        <f t="shared" si="10"/>
        <v>0</v>
      </c>
      <c r="AG261" s="115">
        <f t="shared" si="15"/>
        <v>0</v>
      </c>
      <c r="AH261" s="115">
        <f t="shared" si="15"/>
        <v>0</v>
      </c>
      <c r="AI261" s="115">
        <f t="shared" si="15"/>
        <v>0</v>
      </c>
      <c r="AJ261" s="115">
        <f t="shared" si="15"/>
        <v>0</v>
      </c>
      <c r="AK261" s="115">
        <f t="shared" si="15"/>
        <v>0</v>
      </c>
      <c r="AL261" s="115">
        <f t="shared" si="15"/>
        <v>0</v>
      </c>
      <c r="AM261" s="115">
        <f t="shared" si="15"/>
        <v>0</v>
      </c>
      <c r="AN261" s="115">
        <f t="shared" si="15"/>
        <v>0</v>
      </c>
      <c r="AO261" s="118" t="b">
        <f t="shared" si="13"/>
        <v>0</v>
      </c>
      <c r="AP261" s="119" t="b">
        <f t="shared" si="14"/>
        <v>0</v>
      </c>
    </row>
    <row r="262" spans="1:42" ht="23.15" customHeight="1" x14ac:dyDescent="0.35">
      <c r="A262" s="124">
        <v>104</v>
      </c>
      <c r="B262" s="176"/>
      <c r="C262" s="177"/>
      <c r="D262" s="177"/>
      <c r="E262" s="177"/>
      <c r="F262" s="177"/>
      <c r="G262" s="94"/>
      <c r="H262" s="95" t="str">
        <f t="shared" si="11"/>
        <v/>
      </c>
      <c r="I262" s="109"/>
      <c r="J262" s="110"/>
      <c r="K262" s="110"/>
      <c r="L262" s="110"/>
      <c r="M262" s="110"/>
      <c r="N262" s="110"/>
      <c r="O262" s="110"/>
      <c r="P262" s="110"/>
      <c r="Q262" s="110"/>
      <c r="R262" s="110"/>
      <c r="S262" s="181"/>
      <c r="T262" s="181"/>
      <c r="U262" s="181"/>
      <c r="V262" s="181"/>
      <c r="W262" s="182"/>
      <c r="Y262" s="85">
        <f t="shared" si="12"/>
        <v>0</v>
      </c>
      <c r="AF262" s="115">
        <f t="shared" si="10"/>
        <v>0</v>
      </c>
      <c r="AG262" s="115">
        <f t="shared" si="15"/>
        <v>0</v>
      </c>
      <c r="AH262" s="115">
        <f t="shared" si="15"/>
        <v>0</v>
      </c>
      <c r="AI262" s="115">
        <f t="shared" si="15"/>
        <v>0</v>
      </c>
      <c r="AJ262" s="115">
        <f t="shared" si="15"/>
        <v>0</v>
      </c>
      <c r="AK262" s="115">
        <f t="shared" si="15"/>
        <v>0</v>
      </c>
      <c r="AL262" s="115">
        <f t="shared" si="15"/>
        <v>0</v>
      </c>
      <c r="AM262" s="115">
        <f t="shared" si="15"/>
        <v>0</v>
      </c>
      <c r="AN262" s="115">
        <f t="shared" si="15"/>
        <v>0</v>
      </c>
      <c r="AO262" s="118" t="b">
        <f t="shared" si="13"/>
        <v>0</v>
      </c>
      <c r="AP262" s="119" t="b">
        <f t="shared" si="14"/>
        <v>0</v>
      </c>
    </row>
    <row r="263" spans="1:42" ht="23.15" customHeight="1" x14ac:dyDescent="0.35">
      <c r="A263" s="124">
        <v>105</v>
      </c>
      <c r="B263" s="176"/>
      <c r="C263" s="177"/>
      <c r="D263" s="177"/>
      <c r="E263" s="177"/>
      <c r="F263" s="177"/>
      <c r="G263" s="94"/>
      <c r="H263" s="95" t="str">
        <f t="shared" si="11"/>
        <v/>
      </c>
      <c r="I263" s="109"/>
      <c r="J263" s="110"/>
      <c r="K263" s="110"/>
      <c r="L263" s="110"/>
      <c r="M263" s="110"/>
      <c r="N263" s="110"/>
      <c r="O263" s="110"/>
      <c r="P263" s="110"/>
      <c r="Q263" s="110"/>
      <c r="R263" s="110"/>
      <c r="S263" s="181"/>
      <c r="T263" s="181"/>
      <c r="U263" s="181"/>
      <c r="V263" s="181"/>
      <c r="W263" s="182"/>
      <c r="Y263" s="85">
        <f t="shared" si="12"/>
        <v>0</v>
      </c>
      <c r="AF263" s="115">
        <f t="shared" si="10"/>
        <v>0</v>
      </c>
      <c r="AG263" s="115">
        <f t="shared" si="15"/>
        <v>0</v>
      </c>
      <c r="AH263" s="115">
        <f t="shared" si="15"/>
        <v>0</v>
      </c>
      <c r="AI263" s="115">
        <f t="shared" si="15"/>
        <v>0</v>
      </c>
      <c r="AJ263" s="115">
        <f t="shared" si="15"/>
        <v>0</v>
      </c>
      <c r="AK263" s="115">
        <f t="shared" si="15"/>
        <v>0</v>
      </c>
      <c r="AL263" s="115">
        <f t="shared" si="15"/>
        <v>0</v>
      </c>
      <c r="AM263" s="115">
        <f t="shared" si="15"/>
        <v>0</v>
      </c>
      <c r="AN263" s="115">
        <f t="shared" si="15"/>
        <v>0</v>
      </c>
      <c r="AO263" s="118" t="b">
        <f t="shared" si="13"/>
        <v>0</v>
      </c>
      <c r="AP263" s="119" t="b">
        <f t="shared" si="14"/>
        <v>0</v>
      </c>
    </row>
    <row r="264" spans="1:42" ht="23.15" customHeight="1" x14ac:dyDescent="0.35">
      <c r="A264" s="124">
        <v>106</v>
      </c>
      <c r="B264" s="176"/>
      <c r="C264" s="177"/>
      <c r="D264" s="177"/>
      <c r="E264" s="177"/>
      <c r="F264" s="177"/>
      <c r="G264" s="94"/>
      <c r="H264" s="95" t="str">
        <f t="shared" si="11"/>
        <v/>
      </c>
      <c r="I264" s="109"/>
      <c r="J264" s="110"/>
      <c r="K264" s="110"/>
      <c r="L264" s="110"/>
      <c r="M264" s="110"/>
      <c r="N264" s="110"/>
      <c r="O264" s="110"/>
      <c r="P264" s="110"/>
      <c r="Q264" s="110"/>
      <c r="R264" s="110"/>
      <c r="S264" s="181"/>
      <c r="T264" s="181"/>
      <c r="U264" s="181"/>
      <c r="V264" s="181"/>
      <c r="W264" s="182"/>
      <c r="Y264" s="85">
        <f t="shared" si="12"/>
        <v>0</v>
      </c>
      <c r="AF264" s="115">
        <f t="shared" si="10"/>
        <v>0</v>
      </c>
      <c r="AG264" s="115">
        <f t="shared" si="15"/>
        <v>0</v>
      </c>
      <c r="AH264" s="115">
        <f t="shared" si="15"/>
        <v>0</v>
      </c>
      <c r="AI264" s="115">
        <f t="shared" si="15"/>
        <v>0</v>
      </c>
      <c r="AJ264" s="115">
        <f t="shared" si="15"/>
        <v>0</v>
      </c>
      <c r="AK264" s="115">
        <f t="shared" si="15"/>
        <v>0</v>
      </c>
      <c r="AL264" s="115">
        <f t="shared" si="15"/>
        <v>0</v>
      </c>
      <c r="AM264" s="115">
        <f t="shared" si="15"/>
        <v>0</v>
      </c>
      <c r="AN264" s="115">
        <f t="shared" si="15"/>
        <v>0</v>
      </c>
      <c r="AO264" s="118" t="b">
        <f t="shared" si="13"/>
        <v>0</v>
      </c>
      <c r="AP264" s="119" t="b">
        <f t="shared" si="14"/>
        <v>0</v>
      </c>
    </row>
    <row r="265" spans="1:42" ht="23.15" customHeight="1" x14ac:dyDescent="0.35">
      <c r="A265" s="124">
        <v>107</v>
      </c>
      <c r="B265" s="176"/>
      <c r="C265" s="177"/>
      <c r="D265" s="177"/>
      <c r="E265" s="177"/>
      <c r="F265" s="177"/>
      <c r="G265" s="94"/>
      <c r="H265" s="95" t="str">
        <f t="shared" si="11"/>
        <v/>
      </c>
      <c r="I265" s="109"/>
      <c r="J265" s="110"/>
      <c r="K265" s="110"/>
      <c r="L265" s="110"/>
      <c r="M265" s="110"/>
      <c r="N265" s="110"/>
      <c r="O265" s="110"/>
      <c r="P265" s="110"/>
      <c r="Q265" s="110"/>
      <c r="R265" s="110"/>
      <c r="S265" s="181"/>
      <c r="T265" s="181"/>
      <c r="U265" s="181"/>
      <c r="V265" s="181"/>
      <c r="W265" s="182"/>
      <c r="Y265" s="85">
        <f t="shared" si="12"/>
        <v>0</v>
      </c>
      <c r="AF265" s="115">
        <f t="shared" si="10"/>
        <v>0</v>
      </c>
      <c r="AG265" s="115">
        <f t="shared" si="15"/>
        <v>0</v>
      </c>
      <c r="AH265" s="115">
        <f t="shared" si="15"/>
        <v>0</v>
      </c>
      <c r="AI265" s="115">
        <f t="shared" si="15"/>
        <v>0</v>
      </c>
      <c r="AJ265" s="115">
        <f t="shared" si="15"/>
        <v>0</v>
      </c>
      <c r="AK265" s="115">
        <f t="shared" si="15"/>
        <v>0</v>
      </c>
      <c r="AL265" s="115">
        <f t="shared" si="15"/>
        <v>0</v>
      </c>
      <c r="AM265" s="115">
        <f t="shared" si="15"/>
        <v>0</v>
      </c>
      <c r="AN265" s="115">
        <f t="shared" si="15"/>
        <v>0</v>
      </c>
      <c r="AO265" s="118" t="b">
        <f t="shared" si="13"/>
        <v>0</v>
      </c>
      <c r="AP265" s="119" t="b">
        <f t="shared" si="14"/>
        <v>0</v>
      </c>
    </row>
    <row r="266" spans="1:42" ht="23.15" customHeight="1" x14ac:dyDescent="0.35">
      <c r="A266" s="124">
        <v>108</v>
      </c>
      <c r="B266" s="176"/>
      <c r="C266" s="177"/>
      <c r="D266" s="177"/>
      <c r="E266" s="177"/>
      <c r="F266" s="177"/>
      <c r="G266" s="94"/>
      <c r="H266" s="95" t="str">
        <f t="shared" si="11"/>
        <v/>
      </c>
      <c r="I266" s="109"/>
      <c r="J266" s="110"/>
      <c r="K266" s="110"/>
      <c r="L266" s="110"/>
      <c r="M266" s="110"/>
      <c r="N266" s="110"/>
      <c r="O266" s="110"/>
      <c r="P266" s="110"/>
      <c r="Q266" s="110"/>
      <c r="R266" s="110"/>
      <c r="S266" s="181"/>
      <c r="T266" s="181"/>
      <c r="U266" s="181"/>
      <c r="V266" s="181"/>
      <c r="W266" s="182"/>
      <c r="Y266" s="85">
        <f t="shared" si="12"/>
        <v>0</v>
      </c>
      <c r="AF266" s="115">
        <f t="shared" si="10"/>
        <v>0</v>
      </c>
      <c r="AG266" s="115">
        <f t="shared" si="15"/>
        <v>0</v>
      </c>
      <c r="AH266" s="115">
        <f t="shared" si="15"/>
        <v>0</v>
      </c>
      <c r="AI266" s="115">
        <f t="shared" si="15"/>
        <v>0</v>
      </c>
      <c r="AJ266" s="115">
        <f t="shared" si="15"/>
        <v>0</v>
      </c>
      <c r="AK266" s="115">
        <f t="shared" si="15"/>
        <v>0</v>
      </c>
      <c r="AL266" s="115">
        <f t="shared" si="15"/>
        <v>0</v>
      </c>
      <c r="AM266" s="115">
        <f t="shared" si="15"/>
        <v>0</v>
      </c>
      <c r="AN266" s="115">
        <f t="shared" si="15"/>
        <v>0</v>
      </c>
      <c r="AO266" s="118" t="b">
        <f t="shared" si="13"/>
        <v>0</v>
      </c>
      <c r="AP266" s="119" t="b">
        <f t="shared" si="14"/>
        <v>0</v>
      </c>
    </row>
    <row r="267" spans="1:42" ht="23.15" customHeight="1" x14ac:dyDescent="0.35">
      <c r="A267" s="124">
        <v>109</v>
      </c>
      <c r="B267" s="176"/>
      <c r="C267" s="177"/>
      <c r="D267" s="177"/>
      <c r="E267" s="177"/>
      <c r="F267" s="177"/>
      <c r="G267" s="94"/>
      <c r="H267" s="95" t="str">
        <f t="shared" si="11"/>
        <v/>
      </c>
      <c r="I267" s="109"/>
      <c r="J267" s="110"/>
      <c r="K267" s="110"/>
      <c r="L267" s="110"/>
      <c r="M267" s="110"/>
      <c r="N267" s="110"/>
      <c r="O267" s="110"/>
      <c r="P267" s="110"/>
      <c r="Q267" s="110"/>
      <c r="R267" s="110"/>
      <c r="S267" s="181"/>
      <c r="T267" s="181"/>
      <c r="U267" s="181"/>
      <c r="V267" s="181"/>
      <c r="W267" s="182"/>
      <c r="Y267" s="85">
        <f t="shared" si="12"/>
        <v>0</v>
      </c>
      <c r="AF267" s="115">
        <f t="shared" si="10"/>
        <v>0</v>
      </c>
      <c r="AG267" s="115">
        <f t="shared" si="15"/>
        <v>0</v>
      </c>
      <c r="AH267" s="115">
        <f t="shared" si="15"/>
        <v>0</v>
      </c>
      <c r="AI267" s="115">
        <f t="shared" si="15"/>
        <v>0</v>
      </c>
      <c r="AJ267" s="115">
        <f t="shared" si="15"/>
        <v>0</v>
      </c>
      <c r="AK267" s="115">
        <f t="shared" si="15"/>
        <v>0</v>
      </c>
      <c r="AL267" s="115">
        <f t="shared" si="15"/>
        <v>0</v>
      </c>
      <c r="AM267" s="115">
        <f t="shared" si="15"/>
        <v>0</v>
      </c>
      <c r="AN267" s="115">
        <f t="shared" si="15"/>
        <v>0</v>
      </c>
      <c r="AO267" s="118" t="b">
        <f t="shared" si="13"/>
        <v>0</v>
      </c>
      <c r="AP267" s="119" t="b">
        <f t="shared" si="14"/>
        <v>0</v>
      </c>
    </row>
    <row r="268" spans="1:42" ht="23.15" customHeight="1" x14ac:dyDescent="0.35">
      <c r="A268" s="124">
        <v>110</v>
      </c>
      <c r="B268" s="176"/>
      <c r="C268" s="177"/>
      <c r="D268" s="177"/>
      <c r="E268" s="177"/>
      <c r="F268" s="177"/>
      <c r="G268" s="94"/>
      <c r="H268" s="95" t="str">
        <f t="shared" si="11"/>
        <v/>
      </c>
      <c r="I268" s="109"/>
      <c r="J268" s="110"/>
      <c r="K268" s="110"/>
      <c r="L268" s="110"/>
      <c r="M268" s="110"/>
      <c r="N268" s="110"/>
      <c r="O268" s="110"/>
      <c r="P268" s="110"/>
      <c r="Q268" s="110"/>
      <c r="R268" s="110"/>
      <c r="S268" s="181"/>
      <c r="T268" s="181"/>
      <c r="U268" s="181"/>
      <c r="V268" s="181"/>
      <c r="W268" s="182"/>
      <c r="Y268" s="85">
        <f t="shared" si="12"/>
        <v>0</v>
      </c>
      <c r="AF268" s="115">
        <f t="shared" si="10"/>
        <v>0</v>
      </c>
      <c r="AG268" s="115">
        <f t="shared" si="10"/>
        <v>0</v>
      </c>
      <c r="AH268" s="115">
        <f t="shared" si="10"/>
        <v>0</v>
      </c>
      <c r="AI268" s="115">
        <f t="shared" si="10"/>
        <v>0</v>
      </c>
      <c r="AJ268" s="115">
        <f t="shared" si="10"/>
        <v>0</v>
      </c>
      <c r="AK268" s="115">
        <f t="shared" si="10"/>
        <v>0</v>
      </c>
      <c r="AL268" s="115">
        <f t="shared" si="10"/>
        <v>0</v>
      </c>
      <c r="AM268" s="115">
        <f t="shared" si="10"/>
        <v>0</v>
      </c>
      <c r="AN268" s="115">
        <f t="shared" si="10"/>
        <v>0</v>
      </c>
      <c r="AO268" s="118" t="b">
        <f t="shared" si="13"/>
        <v>0</v>
      </c>
      <c r="AP268" s="119" t="b">
        <f t="shared" si="14"/>
        <v>0</v>
      </c>
    </row>
    <row r="269" spans="1:42" ht="23.15" customHeight="1" x14ac:dyDescent="0.35">
      <c r="A269" s="124">
        <v>111</v>
      </c>
      <c r="B269" s="176"/>
      <c r="C269" s="177"/>
      <c r="D269" s="177"/>
      <c r="E269" s="177"/>
      <c r="F269" s="177"/>
      <c r="G269" s="94"/>
      <c r="H269" s="95" t="str">
        <f t="shared" si="11"/>
        <v/>
      </c>
      <c r="I269" s="109"/>
      <c r="J269" s="110"/>
      <c r="K269" s="110"/>
      <c r="L269" s="110"/>
      <c r="M269" s="110"/>
      <c r="N269" s="110"/>
      <c r="O269" s="110"/>
      <c r="P269" s="110"/>
      <c r="Q269" s="110"/>
      <c r="R269" s="110"/>
      <c r="S269" s="181"/>
      <c r="T269" s="181"/>
      <c r="U269" s="181"/>
      <c r="V269" s="181"/>
      <c r="W269" s="182"/>
      <c r="Y269" s="85">
        <f t="shared" si="12"/>
        <v>0</v>
      </c>
      <c r="AF269" s="115">
        <f t="shared" ref="AF269:AN297" si="16">IF(COUNTIF($J269:$R269,AF$158)&gt;0,1,0)</f>
        <v>0</v>
      </c>
      <c r="AG269" s="115">
        <f t="shared" si="16"/>
        <v>0</v>
      </c>
      <c r="AH269" s="115">
        <f t="shared" si="16"/>
        <v>0</v>
      </c>
      <c r="AI269" s="115">
        <f t="shared" si="16"/>
        <v>0</v>
      </c>
      <c r="AJ269" s="115">
        <f t="shared" si="16"/>
        <v>0</v>
      </c>
      <c r="AK269" s="115">
        <f t="shared" si="16"/>
        <v>0</v>
      </c>
      <c r="AL269" s="115">
        <f t="shared" si="16"/>
        <v>0</v>
      </c>
      <c r="AM269" s="115">
        <f t="shared" si="16"/>
        <v>0</v>
      </c>
      <c r="AN269" s="115">
        <f t="shared" si="16"/>
        <v>0</v>
      </c>
      <c r="AO269" s="118" t="b">
        <f t="shared" si="13"/>
        <v>0</v>
      </c>
      <c r="AP269" s="119" t="b">
        <f t="shared" si="14"/>
        <v>0</v>
      </c>
    </row>
    <row r="270" spans="1:42" ht="23.15" customHeight="1" x14ac:dyDescent="0.35">
      <c r="A270" s="124">
        <v>112</v>
      </c>
      <c r="B270" s="176"/>
      <c r="C270" s="177"/>
      <c r="D270" s="177"/>
      <c r="E270" s="177"/>
      <c r="F270" s="177"/>
      <c r="G270" s="94"/>
      <c r="H270" s="95" t="str">
        <f t="shared" si="11"/>
        <v/>
      </c>
      <c r="I270" s="109"/>
      <c r="J270" s="110"/>
      <c r="K270" s="110"/>
      <c r="L270" s="110"/>
      <c r="M270" s="110"/>
      <c r="N270" s="110"/>
      <c r="O270" s="110"/>
      <c r="P270" s="110"/>
      <c r="Q270" s="110"/>
      <c r="R270" s="110"/>
      <c r="S270" s="181"/>
      <c r="T270" s="181"/>
      <c r="U270" s="181"/>
      <c r="V270" s="181"/>
      <c r="W270" s="182"/>
      <c r="Y270" s="85">
        <f t="shared" si="12"/>
        <v>0</v>
      </c>
      <c r="AF270" s="115">
        <f t="shared" si="16"/>
        <v>0</v>
      </c>
      <c r="AG270" s="115">
        <f t="shared" si="16"/>
        <v>0</v>
      </c>
      <c r="AH270" s="115">
        <f t="shared" si="16"/>
        <v>0</v>
      </c>
      <c r="AI270" s="115">
        <f t="shared" si="16"/>
        <v>0</v>
      </c>
      <c r="AJ270" s="115">
        <f t="shared" si="16"/>
        <v>0</v>
      </c>
      <c r="AK270" s="115">
        <f t="shared" si="16"/>
        <v>0</v>
      </c>
      <c r="AL270" s="115">
        <f t="shared" si="16"/>
        <v>0</v>
      </c>
      <c r="AM270" s="115">
        <f t="shared" si="16"/>
        <v>0</v>
      </c>
      <c r="AN270" s="115">
        <f t="shared" si="16"/>
        <v>0</v>
      </c>
      <c r="AO270" s="118" t="b">
        <f t="shared" si="13"/>
        <v>0</v>
      </c>
      <c r="AP270" s="119" t="b">
        <f t="shared" si="14"/>
        <v>0</v>
      </c>
    </row>
    <row r="271" spans="1:42" ht="23.15" customHeight="1" x14ac:dyDescent="0.35">
      <c r="A271" s="124">
        <v>113</v>
      </c>
      <c r="B271" s="176"/>
      <c r="C271" s="177"/>
      <c r="D271" s="177"/>
      <c r="E271" s="177"/>
      <c r="F271" s="177"/>
      <c r="G271" s="94"/>
      <c r="H271" s="95" t="str">
        <f t="shared" si="11"/>
        <v/>
      </c>
      <c r="I271" s="109"/>
      <c r="J271" s="110"/>
      <c r="K271" s="110"/>
      <c r="L271" s="110"/>
      <c r="M271" s="110"/>
      <c r="N271" s="110"/>
      <c r="O271" s="110"/>
      <c r="P271" s="110"/>
      <c r="Q271" s="110"/>
      <c r="R271" s="110"/>
      <c r="S271" s="181"/>
      <c r="T271" s="181"/>
      <c r="U271" s="181"/>
      <c r="V271" s="181"/>
      <c r="W271" s="182"/>
      <c r="Y271" s="85">
        <f t="shared" si="12"/>
        <v>0</v>
      </c>
      <c r="AF271" s="115">
        <f t="shared" si="16"/>
        <v>0</v>
      </c>
      <c r="AG271" s="115">
        <f t="shared" si="16"/>
        <v>0</v>
      </c>
      <c r="AH271" s="115">
        <f t="shared" si="16"/>
        <v>0</v>
      </c>
      <c r="AI271" s="115">
        <f t="shared" si="16"/>
        <v>0</v>
      </c>
      <c r="AJ271" s="115">
        <f t="shared" si="16"/>
        <v>0</v>
      </c>
      <c r="AK271" s="115">
        <f t="shared" si="16"/>
        <v>0</v>
      </c>
      <c r="AL271" s="115">
        <f t="shared" si="16"/>
        <v>0</v>
      </c>
      <c r="AM271" s="115">
        <f t="shared" si="16"/>
        <v>0</v>
      </c>
      <c r="AN271" s="115">
        <f t="shared" si="16"/>
        <v>0</v>
      </c>
      <c r="AO271" s="118" t="b">
        <f t="shared" si="13"/>
        <v>0</v>
      </c>
      <c r="AP271" s="119" t="b">
        <f t="shared" si="14"/>
        <v>0</v>
      </c>
    </row>
    <row r="272" spans="1:42" ht="23.15" customHeight="1" x14ac:dyDescent="0.35">
      <c r="A272" s="124">
        <v>114</v>
      </c>
      <c r="B272" s="176"/>
      <c r="C272" s="177"/>
      <c r="D272" s="177"/>
      <c r="E272" s="177"/>
      <c r="F272" s="177"/>
      <c r="G272" s="94"/>
      <c r="H272" s="95" t="str">
        <f t="shared" si="11"/>
        <v/>
      </c>
      <c r="I272" s="109"/>
      <c r="J272" s="110"/>
      <c r="K272" s="110"/>
      <c r="L272" s="110"/>
      <c r="M272" s="110"/>
      <c r="N272" s="110"/>
      <c r="O272" s="110"/>
      <c r="P272" s="110"/>
      <c r="Q272" s="110"/>
      <c r="R272" s="110"/>
      <c r="S272" s="181"/>
      <c r="T272" s="181"/>
      <c r="U272" s="181"/>
      <c r="V272" s="181"/>
      <c r="W272" s="182"/>
      <c r="Y272" s="85">
        <f t="shared" si="12"/>
        <v>0</v>
      </c>
      <c r="AF272" s="115">
        <f t="shared" si="16"/>
        <v>0</v>
      </c>
      <c r="AG272" s="115">
        <f t="shared" si="16"/>
        <v>0</v>
      </c>
      <c r="AH272" s="115">
        <f t="shared" si="16"/>
        <v>0</v>
      </c>
      <c r="AI272" s="115">
        <f t="shared" si="16"/>
        <v>0</v>
      </c>
      <c r="AJ272" s="115">
        <f t="shared" si="16"/>
        <v>0</v>
      </c>
      <c r="AK272" s="115">
        <f t="shared" si="16"/>
        <v>0</v>
      </c>
      <c r="AL272" s="115">
        <f t="shared" si="16"/>
        <v>0</v>
      </c>
      <c r="AM272" s="115">
        <f t="shared" si="16"/>
        <v>0</v>
      </c>
      <c r="AN272" s="115">
        <f t="shared" si="16"/>
        <v>0</v>
      </c>
      <c r="AO272" s="118" t="b">
        <f t="shared" si="13"/>
        <v>0</v>
      </c>
      <c r="AP272" s="119" t="b">
        <f t="shared" si="14"/>
        <v>0</v>
      </c>
    </row>
    <row r="273" spans="1:42" ht="23.15" customHeight="1" x14ac:dyDescent="0.35">
      <c r="A273" s="124">
        <v>115</v>
      </c>
      <c r="B273" s="176"/>
      <c r="C273" s="177"/>
      <c r="D273" s="177"/>
      <c r="E273" s="177"/>
      <c r="F273" s="177"/>
      <c r="G273" s="94"/>
      <c r="H273" s="95" t="str">
        <f t="shared" si="11"/>
        <v/>
      </c>
      <c r="I273" s="109"/>
      <c r="J273" s="110"/>
      <c r="K273" s="110"/>
      <c r="L273" s="110"/>
      <c r="M273" s="110"/>
      <c r="N273" s="110"/>
      <c r="O273" s="110"/>
      <c r="P273" s="110"/>
      <c r="Q273" s="110"/>
      <c r="R273" s="110"/>
      <c r="S273" s="181"/>
      <c r="T273" s="181"/>
      <c r="U273" s="181"/>
      <c r="V273" s="181"/>
      <c r="W273" s="182"/>
      <c r="Y273" s="85">
        <f t="shared" si="12"/>
        <v>0</v>
      </c>
      <c r="AF273" s="115">
        <f t="shared" si="16"/>
        <v>0</v>
      </c>
      <c r="AG273" s="115">
        <f t="shared" si="16"/>
        <v>0</v>
      </c>
      <c r="AH273" s="115">
        <f t="shared" si="16"/>
        <v>0</v>
      </c>
      <c r="AI273" s="115">
        <f t="shared" si="16"/>
        <v>0</v>
      </c>
      <c r="AJ273" s="115">
        <f t="shared" si="16"/>
        <v>0</v>
      </c>
      <c r="AK273" s="115">
        <f t="shared" si="16"/>
        <v>0</v>
      </c>
      <c r="AL273" s="115">
        <f t="shared" si="16"/>
        <v>0</v>
      </c>
      <c r="AM273" s="115">
        <f t="shared" si="16"/>
        <v>0</v>
      </c>
      <c r="AN273" s="115">
        <f t="shared" si="16"/>
        <v>0</v>
      </c>
      <c r="AO273" s="118" t="b">
        <f t="shared" si="13"/>
        <v>0</v>
      </c>
      <c r="AP273" s="119" t="b">
        <f t="shared" si="14"/>
        <v>0</v>
      </c>
    </row>
    <row r="274" spans="1:42" ht="23.15" customHeight="1" x14ac:dyDescent="0.35">
      <c r="A274" s="124">
        <v>116</v>
      </c>
      <c r="B274" s="176"/>
      <c r="C274" s="177"/>
      <c r="D274" s="177"/>
      <c r="E274" s="177"/>
      <c r="F274" s="177"/>
      <c r="G274" s="94"/>
      <c r="H274" s="95" t="str">
        <f t="shared" si="11"/>
        <v/>
      </c>
      <c r="I274" s="109"/>
      <c r="J274" s="110"/>
      <c r="K274" s="110"/>
      <c r="L274" s="110"/>
      <c r="M274" s="110"/>
      <c r="N274" s="110"/>
      <c r="O274" s="110"/>
      <c r="P274" s="110"/>
      <c r="Q274" s="110"/>
      <c r="R274" s="110"/>
      <c r="S274" s="181"/>
      <c r="T274" s="181"/>
      <c r="U274" s="181"/>
      <c r="V274" s="181"/>
      <c r="W274" s="182"/>
      <c r="Y274" s="85">
        <f t="shared" si="12"/>
        <v>0</v>
      </c>
      <c r="AF274" s="115">
        <f t="shared" si="16"/>
        <v>0</v>
      </c>
      <c r="AG274" s="115">
        <f t="shared" si="16"/>
        <v>0</v>
      </c>
      <c r="AH274" s="115">
        <f t="shared" si="16"/>
        <v>0</v>
      </c>
      <c r="AI274" s="115">
        <f t="shared" si="16"/>
        <v>0</v>
      </c>
      <c r="AJ274" s="115">
        <f t="shared" si="16"/>
        <v>0</v>
      </c>
      <c r="AK274" s="115">
        <f t="shared" si="16"/>
        <v>0</v>
      </c>
      <c r="AL274" s="115">
        <f t="shared" si="16"/>
        <v>0</v>
      </c>
      <c r="AM274" s="115">
        <f t="shared" si="16"/>
        <v>0</v>
      </c>
      <c r="AN274" s="115">
        <f t="shared" si="16"/>
        <v>0</v>
      </c>
      <c r="AO274" s="118" t="b">
        <f t="shared" si="13"/>
        <v>0</v>
      </c>
      <c r="AP274" s="119" t="b">
        <f t="shared" si="14"/>
        <v>0</v>
      </c>
    </row>
    <row r="275" spans="1:42" ht="23.15" customHeight="1" x14ac:dyDescent="0.35">
      <c r="A275" s="124">
        <v>117</v>
      </c>
      <c r="B275" s="176"/>
      <c r="C275" s="177"/>
      <c r="D275" s="177"/>
      <c r="E275" s="177"/>
      <c r="F275" s="177"/>
      <c r="G275" s="94"/>
      <c r="H275" s="95" t="str">
        <f t="shared" si="11"/>
        <v/>
      </c>
      <c r="I275" s="109"/>
      <c r="J275" s="110"/>
      <c r="K275" s="110"/>
      <c r="L275" s="110"/>
      <c r="M275" s="110"/>
      <c r="N275" s="110"/>
      <c r="O275" s="110"/>
      <c r="P275" s="110"/>
      <c r="Q275" s="110"/>
      <c r="R275" s="110"/>
      <c r="S275" s="181"/>
      <c r="T275" s="181"/>
      <c r="U275" s="181"/>
      <c r="V275" s="181"/>
      <c r="W275" s="182"/>
      <c r="Y275" s="85">
        <f t="shared" si="12"/>
        <v>0</v>
      </c>
      <c r="AF275" s="115">
        <f t="shared" si="16"/>
        <v>0</v>
      </c>
      <c r="AG275" s="115">
        <f t="shared" si="16"/>
        <v>0</v>
      </c>
      <c r="AH275" s="115">
        <f t="shared" si="16"/>
        <v>0</v>
      </c>
      <c r="AI275" s="115">
        <f t="shared" si="16"/>
        <v>0</v>
      </c>
      <c r="AJ275" s="115">
        <f t="shared" si="16"/>
        <v>0</v>
      </c>
      <c r="AK275" s="115">
        <f t="shared" si="16"/>
        <v>0</v>
      </c>
      <c r="AL275" s="115">
        <f t="shared" si="16"/>
        <v>0</v>
      </c>
      <c r="AM275" s="115">
        <f t="shared" si="16"/>
        <v>0</v>
      </c>
      <c r="AN275" s="115">
        <f t="shared" si="16"/>
        <v>0</v>
      </c>
      <c r="AO275" s="118" t="b">
        <f t="shared" si="13"/>
        <v>0</v>
      </c>
      <c r="AP275" s="119" t="b">
        <f t="shared" si="14"/>
        <v>0</v>
      </c>
    </row>
    <row r="276" spans="1:42" ht="23.15" customHeight="1" x14ac:dyDescent="0.35">
      <c r="A276" s="124">
        <v>118</v>
      </c>
      <c r="B276" s="176"/>
      <c r="C276" s="177"/>
      <c r="D276" s="177"/>
      <c r="E276" s="177"/>
      <c r="F276" s="177"/>
      <c r="G276" s="94"/>
      <c r="H276" s="95" t="str">
        <f t="shared" si="11"/>
        <v/>
      </c>
      <c r="I276" s="109"/>
      <c r="J276" s="110"/>
      <c r="K276" s="110"/>
      <c r="L276" s="110"/>
      <c r="M276" s="110"/>
      <c r="N276" s="110"/>
      <c r="O276" s="110"/>
      <c r="P276" s="110"/>
      <c r="Q276" s="110"/>
      <c r="R276" s="110"/>
      <c r="S276" s="181"/>
      <c r="T276" s="181"/>
      <c r="U276" s="181"/>
      <c r="V276" s="181"/>
      <c r="W276" s="182"/>
      <c r="Y276" s="85">
        <f t="shared" si="12"/>
        <v>0</v>
      </c>
      <c r="AF276" s="115">
        <f t="shared" si="16"/>
        <v>0</v>
      </c>
      <c r="AG276" s="115">
        <f t="shared" si="16"/>
        <v>0</v>
      </c>
      <c r="AH276" s="115">
        <f t="shared" si="16"/>
        <v>0</v>
      </c>
      <c r="AI276" s="115">
        <f t="shared" si="16"/>
        <v>0</v>
      </c>
      <c r="AJ276" s="115">
        <f t="shared" si="16"/>
        <v>0</v>
      </c>
      <c r="AK276" s="115">
        <f t="shared" si="16"/>
        <v>0</v>
      </c>
      <c r="AL276" s="115">
        <f t="shared" si="16"/>
        <v>0</v>
      </c>
      <c r="AM276" s="115">
        <f t="shared" si="16"/>
        <v>0</v>
      </c>
      <c r="AN276" s="115">
        <f t="shared" si="16"/>
        <v>0</v>
      </c>
      <c r="AO276" s="118" t="b">
        <f t="shared" si="13"/>
        <v>0</v>
      </c>
      <c r="AP276" s="119" t="b">
        <f t="shared" si="14"/>
        <v>0</v>
      </c>
    </row>
    <row r="277" spans="1:42" ht="23.15" customHeight="1" x14ac:dyDescent="0.35">
      <c r="A277" s="124">
        <v>119</v>
      </c>
      <c r="B277" s="176"/>
      <c r="C277" s="177"/>
      <c r="D277" s="177"/>
      <c r="E277" s="177"/>
      <c r="F277" s="177"/>
      <c r="G277" s="94"/>
      <c r="H277" s="95" t="str">
        <f t="shared" si="11"/>
        <v/>
      </c>
      <c r="I277" s="109"/>
      <c r="J277" s="110"/>
      <c r="K277" s="110"/>
      <c r="L277" s="110"/>
      <c r="M277" s="110"/>
      <c r="N277" s="110"/>
      <c r="O277" s="110"/>
      <c r="P277" s="110"/>
      <c r="Q277" s="110"/>
      <c r="R277" s="110"/>
      <c r="S277" s="181"/>
      <c r="T277" s="181"/>
      <c r="U277" s="181"/>
      <c r="V277" s="181"/>
      <c r="W277" s="182"/>
      <c r="Y277" s="85">
        <f t="shared" si="12"/>
        <v>0</v>
      </c>
      <c r="AF277" s="115">
        <f t="shared" si="16"/>
        <v>0</v>
      </c>
      <c r="AG277" s="115">
        <f t="shared" si="16"/>
        <v>0</v>
      </c>
      <c r="AH277" s="115">
        <f t="shared" si="16"/>
        <v>0</v>
      </c>
      <c r="AI277" s="115">
        <f t="shared" si="16"/>
        <v>0</v>
      </c>
      <c r="AJ277" s="115">
        <f t="shared" si="16"/>
        <v>0</v>
      </c>
      <c r="AK277" s="115">
        <f t="shared" si="16"/>
        <v>0</v>
      </c>
      <c r="AL277" s="115">
        <f t="shared" si="16"/>
        <v>0</v>
      </c>
      <c r="AM277" s="115">
        <f t="shared" si="16"/>
        <v>0</v>
      </c>
      <c r="AN277" s="115">
        <f t="shared" si="16"/>
        <v>0</v>
      </c>
      <c r="AO277" s="118" t="b">
        <f t="shared" si="13"/>
        <v>0</v>
      </c>
      <c r="AP277" s="119" t="b">
        <f t="shared" si="14"/>
        <v>0</v>
      </c>
    </row>
    <row r="278" spans="1:42" ht="23.15" customHeight="1" x14ac:dyDescent="0.35">
      <c r="A278" s="124">
        <v>120</v>
      </c>
      <c r="B278" s="176"/>
      <c r="C278" s="177"/>
      <c r="D278" s="177"/>
      <c r="E278" s="177"/>
      <c r="F278" s="177"/>
      <c r="G278" s="94"/>
      <c r="H278" s="95" t="str">
        <f t="shared" si="11"/>
        <v/>
      </c>
      <c r="I278" s="109"/>
      <c r="J278" s="110"/>
      <c r="K278" s="110"/>
      <c r="L278" s="110"/>
      <c r="M278" s="110"/>
      <c r="N278" s="110"/>
      <c r="O278" s="110"/>
      <c r="P278" s="110"/>
      <c r="Q278" s="110"/>
      <c r="R278" s="110"/>
      <c r="S278" s="181"/>
      <c r="T278" s="181"/>
      <c r="U278" s="181"/>
      <c r="V278" s="181"/>
      <c r="W278" s="182"/>
      <c r="Y278" s="85">
        <f t="shared" si="12"/>
        <v>0</v>
      </c>
      <c r="AF278" s="115">
        <f t="shared" si="16"/>
        <v>0</v>
      </c>
      <c r="AG278" s="115">
        <f t="shared" si="16"/>
        <v>0</v>
      </c>
      <c r="AH278" s="115">
        <f t="shared" si="16"/>
        <v>0</v>
      </c>
      <c r="AI278" s="115">
        <f t="shared" si="16"/>
        <v>0</v>
      </c>
      <c r="AJ278" s="115">
        <f t="shared" si="16"/>
        <v>0</v>
      </c>
      <c r="AK278" s="115">
        <f t="shared" si="16"/>
        <v>0</v>
      </c>
      <c r="AL278" s="115">
        <f t="shared" si="16"/>
        <v>0</v>
      </c>
      <c r="AM278" s="115">
        <f t="shared" si="16"/>
        <v>0</v>
      </c>
      <c r="AN278" s="115">
        <f t="shared" si="16"/>
        <v>0</v>
      </c>
      <c r="AO278" s="118" t="b">
        <f t="shared" si="13"/>
        <v>0</v>
      </c>
      <c r="AP278" s="119" t="b">
        <f t="shared" si="14"/>
        <v>0</v>
      </c>
    </row>
    <row r="279" spans="1:42" ht="23.15" customHeight="1" x14ac:dyDescent="0.35">
      <c r="A279" s="124">
        <v>121</v>
      </c>
      <c r="B279" s="176"/>
      <c r="C279" s="177"/>
      <c r="D279" s="177"/>
      <c r="E279" s="177"/>
      <c r="F279" s="177"/>
      <c r="G279" s="94"/>
      <c r="H279" s="95" t="str">
        <f t="shared" si="11"/>
        <v/>
      </c>
      <c r="I279" s="109"/>
      <c r="J279" s="110"/>
      <c r="K279" s="110"/>
      <c r="L279" s="110"/>
      <c r="M279" s="110"/>
      <c r="N279" s="110"/>
      <c r="O279" s="110"/>
      <c r="P279" s="110"/>
      <c r="Q279" s="110"/>
      <c r="R279" s="110"/>
      <c r="S279" s="181"/>
      <c r="T279" s="181"/>
      <c r="U279" s="181"/>
      <c r="V279" s="181"/>
      <c r="W279" s="182"/>
      <c r="Y279" s="85">
        <f t="shared" si="12"/>
        <v>0</v>
      </c>
      <c r="AF279" s="115">
        <f t="shared" si="16"/>
        <v>0</v>
      </c>
      <c r="AG279" s="115">
        <f t="shared" si="16"/>
        <v>0</v>
      </c>
      <c r="AH279" s="115">
        <f t="shared" si="16"/>
        <v>0</v>
      </c>
      <c r="AI279" s="115">
        <f t="shared" si="16"/>
        <v>0</v>
      </c>
      <c r="AJ279" s="115">
        <f t="shared" si="16"/>
        <v>0</v>
      </c>
      <c r="AK279" s="115">
        <f t="shared" si="16"/>
        <v>0</v>
      </c>
      <c r="AL279" s="115">
        <f t="shared" si="16"/>
        <v>0</v>
      </c>
      <c r="AM279" s="115">
        <f t="shared" si="16"/>
        <v>0</v>
      </c>
      <c r="AN279" s="115">
        <f t="shared" si="16"/>
        <v>0</v>
      </c>
      <c r="AO279" s="118" t="b">
        <f t="shared" si="13"/>
        <v>0</v>
      </c>
      <c r="AP279" s="119" t="b">
        <f t="shared" si="14"/>
        <v>0</v>
      </c>
    </row>
    <row r="280" spans="1:42" ht="23.15" customHeight="1" x14ac:dyDescent="0.35">
      <c r="A280" s="124">
        <v>122</v>
      </c>
      <c r="B280" s="176"/>
      <c r="C280" s="177"/>
      <c r="D280" s="177"/>
      <c r="E280" s="177"/>
      <c r="F280" s="177"/>
      <c r="G280" s="94"/>
      <c r="H280" s="95" t="str">
        <f t="shared" si="11"/>
        <v/>
      </c>
      <c r="I280" s="109"/>
      <c r="J280" s="110"/>
      <c r="K280" s="110"/>
      <c r="L280" s="110"/>
      <c r="M280" s="110"/>
      <c r="N280" s="110"/>
      <c r="O280" s="110"/>
      <c r="P280" s="110"/>
      <c r="Q280" s="110"/>
      <c r="R280" s="110"/>
      <c r="S280" s="181"/>
      <c r="T280" s="181"/>
      <c r="U280" s="181"/>
      <c r="V280" s="181"/>
      <c r="W280" s="182"/>
      <c r="Y280" s="85">
        <f t="shared" si="12"/>
        <v>0</v>
      </c>
      <c r="AF280" s="115">
        <f t="shared" si="16"/>
        <v>0</v>
      </c>
      <c r="AG280" s="115">
        <f t="shared" si="16"/>
        <v>0</v>
      </c>
      <c r="AH280" s="115">
        <f t="shared" si="16"/>
        <v>0</v>
      </c>
      <c r="AI280" s="115">
        <f t="shared" si="16"/>
        <v>0</v>
      </c>
      <c r="AJ280" s="115">
        <f t="shared" si="16"/>
        <v>0</v>
      </c>
      <c r="AK280" s="115">
        <f t="shared" si="16"/>
        <v>0</v>
      </c>
      <c r="AL280" s="115">
        <f t="shared" si="16"/>
        <v>0</v>
      </c>
      <c r="AM280" s="115">
        <f t="shared" si="16"/>
        <v>0</v>
      </c>
      <c r="AN280" s="115">
        <f t="shared" si="16"/>
        <v>0</v>
      </c>
      <c r="AO280" s="118" t="b">
        <f t="shared" si="13"/>
        <v>0</v>
      </c>
      <c r="AP280" s="119" t="b">
        <f t="shared" si="14"/>
        <v>0</v>
      </c>
    </row>
    <row r="281" spans="1:42" ht="23.15" customHeight="1" x14ac:dyDescent="0.35">
      <c r="A281" s="124">
        <v>123</v>
      </c>
      <c r="B281" s="176"/>
      <c r="C281" s="177"/>
      <c r="D281" s="177"/>
      <c r="E281" s="177"/>
      <c r="F281" s="177"/>
      <c r="G281" s="94"/>
      <c r="H281" s="95" t="str">
        <f t="shared" si="11"/>
        <v/>
      </c>
      <c r="I281" s="109"/>
      <c r="J281" s="110"/>
      <c r="K281" s="110"/>
      <c r="L281" s="110"/>
      <c r="M281" s="110"/>
      <c r="N281" s="110"/>
      <c r="O281" s="110"/>
      <c r="P281" s="110"/>
      <c r="Q281" s="110"/>
      <c r="R281" s="110"/>
      <c r="S281" s="181"/>
      <c r="T281" s="181"/>
      <c r="U281" s="181"/>
      <c r="V281" s="181"/>
      <c r="W281" s="182"/>
      <c r="Y281" s="85">
        <f t="shared" si="12"/>
        <v>0</v>
      </c>
      <c r="AF281" s="115">
        <f t="shared" si="16"/>
        <v>0</v>
      </c>
      <c r="AG281" s="115">
        <f t="shared" si="16"/>
        <v>0</v>
      </c>
      <c r="AH281" s="115">
        <f t="shared" si="16"/>
        <v>0</v>
      </c>
      <c r="AI281" s="115">
        <f t="shared" si="16"/>
        <v>0</v>
      </c>
      <c r="AJ281" s="115">
        <f t="shared" si="16"/>
        <v>0</v>
      </c>
      <c r="AK281" s="115">
        <f t="shared" si="16"/>
        <v>0</v>
      </c>
      <c r="AL281" s="115">
        <f t="shared" si="16"/>
        <v>0</v>
      </c>
      <c r="AM281" s="115">
        <f t="shared" si="16"/>
        <v>0</v>
      </c>
      <c r="AN281" s="115">
        <f t="shared" si="16"/>
        <v>0</v>
      </c>
      <c r="AO281" s="118" t="b">
        <f t="shared" si="13"/>
        <v>0</v>
      </c>
      <c r="AP281" s="119" t="b">
        <f t="shared" si="14"/>
        <v>0</v>
      </c>
    </row>
    <row r="282" spans="1:42" ht="23.15" customHeight="1" x14ac:dyDescent="0.35">
      <c r="A282" s="124">
        <v>124</v>
      </c>
      <c r="B282" s="176"/>
      <c r="C282" s="177"/>
      <c r="D282" s="177"/>
      <c r="E282" s="177"/>
      <c r="F282" s="177"/>
      <c r="G282" s="94"/>
      <c r="H282" s="95" t="str">
        <f t="shared" si="11"/>
        <v/>
      </c>
      <c r="I282" s="109"/>
      <c r="J282" s="110"/>
      <c r="K282" s="110"/>
      <c r="L282" s="110"/>
      <c r="M282" s="110"/>
      <c r="N282" s="110"/>
      <c r="O282" s="110"/>
      <c r="P282" s="110"/>
      <c r="Q282" s="110"/>
      <c r="R282" s="110"/>
      <c r="S282" s="181"/>
      <c r="T282" s="181"/>
      <c r="U282" s="181"/>
      <c r="V282" s="181"/>
      <c r="W282" s="182"/>
      <c r="Y282" s="85">
        <f t="shared" si="12"/>
        <v>0</v>
      </c>
      <c r="Z282" s="82"/>
      <c r="AF282" s="115">
        <f t="shared" si="16"/>
        <v>0</v>
      </c>
      <c r="AG282" s="115">
        <f t="shared" si="16"/>
        <v>0</v>
      </c>
      <c r="AH282" s="115">
        <f t="shared" si="16"/>
        <v>0</v>
      </c>
      <c r="AI282" s="115">
        <f t="shared" si="16"/>
        <v>0</v>
      </c>
      <c r="AJ282" s="115">
        <f t="shared" si="16"/>
        <v>0</v>
      </c>
      <c r="AK282" s="115">
        <f t="shared" si="16"/>
        <v>0</v>
      </c>
      <c r="AL282" s="115">
        <f t="shared" si="16"/>
        <v>0</v>
      </c>
      <c r="AM282" s="115">
        <f t="shared" si="16"/>
        <v>0</v>
      </c>
      <c r="AN282" s="115">
        <f t="shared" si="16"/>
        <v>0</v>
      </c>
      <c r="AO282" s="118" t="b">
        <f t="shared" si="13"/>
        <v>0</v>
      </c>
      <c r="AP282" s="119" t="b">
        <f t="shared" si="14"/>
        <v>0</v>
      </c>
    </row>
    <row r="283" spans="1:42" ht="23.15" customHeight="1" x14ac:dyDescent="0.35">
      <c r="A283" s="124">
        <v>125</v>
      </c>
      <c r="B283" s="176"/>
      <c r="C283" s="177"/>
      <c r="D283" s="177"/>
      <c r="E283" s="177"/>
      <c r="F283" s="177"/>
      <c r="G283" s="94"/>
      <c r="H283" s="95" t="str">
        <f t="shared" si="11"/>
        <v/>
      </c>
      <c r="I283" s="109"/>
      <c r="J283" s="110"/>
      <c r="K283" s="110"/>
      <c r="L283" s="110"/>
      <c r="M283" s="110"/>
      <c r="N283" s="110"/>
      <c r="O283" s="110"/>
      <c r="P283" s="110"/>
      <c r="Q283" s="110"/>
      <c r="R283" s="110"/>
      <c r="S283" s="181"/>
      <c r="T283" s="181"/>
      <c r="U283" s="181"/>
      <c r="V283" s="181"/>
      <c r="W283" s="182"/>
      <c r="Y283" s="85">
        <f t="shared" si="12"/>
        <v>0</v>
      </c>
      <c r="Z283" s="82"/>
      <c r="AF283" s="115">
        <f t="shared" si="16"/>
        <v>0</v>
      </c>
      <c r="AG283" s="115">
        <f t="shared" si="16"/>
        <v>0</v>
      </c>
      <c r="AH283" s="115">
        <f t="shared" si="16"/>
        <v>0</v>
      </c>
      <c r="AI283" s="115">
        <f t="shared" si="16"/>
        <v>0</v>
      </c>
      <c r="AJ283" s="115">
        <f t="shared" si="16"/>
        <v>0</v>
      </c>
      <c r="AK283" s="115">
        <f t="shared" si="16"/>
        <v>0</v>
      </c>
      <c r="AL283" s="115">
        <f t="shared" si="16"/>
        <v>0</v>
      </c>
      <c r="AM283" s="115">
        <f t="shared" si="16"/>
        <v>0</v>
      </c>
      <c r="AN283" s="115">
        <f t="shared" si="16"/>
        <v>0</v>
      </c>
      <c r="AO283" s="118" t="b">
        <f t="shared" si="13"/>
        <v>0</v>
      </c>
      <c r="AP283" s="119" t="b">
        <f t="shared" si="14"/>
        <v>0</v>
      </c>
    </row>
    <row r="284" spans="1:42" ht="23.15" customHeight="1" x14ac:dyDescent="0.35">
      <c r="A284" s="124">
        <v>126</v>
      </c>
      <c r="B284" s="176"/>
      <c r="C284" s="177"/>
      <c r="D284" s="177"/>
      <c r="E284" s="177"/>
      <c r="F284" s="177"/>
      <c r="G284" s="94"/>
      <c r="H284" s="95" t="str">
        <f t="shared" si="11"/>
        <v/>
      </c>
      <c r="I284" s="109"/>
      <c r="J284" s="110"/>
      <c r="K284" s="110"/>
      <c r="L284" s="110"/>
      <c r="M284" s="110"/>
      <c r="N284" s="110"/>
      <c r="O284" s="110"/>
      <c r="P284" s="110"/>
      <c r="Q284" s="110"/>
      <c r="R284" s="110"/>
      <c r="S284" s="181"/>
      <c r="T284" s="181"/>
      <c r="U284" s="181"/>
      <c r="V284" s="181"/>
      <c r="W284" s="182"/>
      <c r="Y284" s="85">
        <f t="shared" si="12"/>
        <v>0</v>
      </c>
      <c r="AF284" s="115">
        <f t="shared" si="16"/>
        <v>0</v>
      </c>
      <c r="AG284" s="115">
        <f t="shared" si="16"/>
        <v>0</v>
      </c>
      <c r="AH284" s="115">
        <f t="shared" si="16"/>
        <v>0</v>
      </c>
      <c r="AI284" s="115">
        <f t="shared" si="16"/>
        <v>0</v>
      </c>
      <c r="AJ284" s="115">
        <f t="shared" si="16"/>
        <v>0</v>
      </c>
      <c r="AK284" s="115">
        <f t="shared" si="16"/>
        <v>0</v>
      </c>
      <c r="AL284" s="115">
        <f t="shared" si="16"/>
        <v>0</v>
      </c>
      <c r="AM284" s="115">
        <f t="shared" si="16"/>
        <v>0</v>
      </c>
      <c r="AN284" s="115">
        <f t="shared" si="16"/>
        <v>0</v>
      </c>
      <c r="AO284" s="118" t="b">
        <f t="shared" si="13"/>
        <v>0</v>
      </c>
      <c r="AP284" s="119" t="b">
        <f t="shared" si="14"/>
        <v>0</v>
      </c>
    </row>
    <row r="285" spans="1:42" ht="23.15" customHeight="1" x14ac:dyDescent="0.35">
      <c r="A285" s="124">
        <v>127</v>
      </c>
      <c r="B285" s="176"/>
      <c r="C285" s="177"/>
      <c r="D285" s="177"/>
      <c r="E285" s="177"/>
      <c r="F285" s="177"/>
      <c r="G285" s="94"/>
      <c r="H285" s="95" t="str">
        <f t="shared" si="11"/>
        <v/>
      </c>
      <c r="I285" s="109"/>
      <c r="J285" s="110"/>
      <c r="K285" s="110"/>
      <c r="L285" s="110"/>
      <c r="M285" s="110"/>
      <c r="N285" s="110"/>
      <c r="O285" s="110"/>
      <c r="P285" s="110"/>
      <c r="Q285" s="110"/>
      <c r="R285" s="110"/>
      <c r="S285" s="181"/>
      <c r="T285" s="181"/>
      <c r="U285" s="181"/>
      <c r="V285" s="181"/>
      <c r="W285" s="182"/>
      <c r="Y285" s="85">
        <f t="shared" si="12"/>
        <v>0</v>
      </c>
      <c r="AF285" s="115">
        <f t="shared" si="16"/>
        <v>0</v>
      </c>
      <c r="AG285" s="115">
        <f t="shared" si="16"/>
        <v>0</v>
      </c>
      <c r="AH285" s="115">
        <f t="shared" si="16"/>
        <v>0</v>
      </c>
      <c r="AI285" s="115">
        <f t="shared" si="16"/>
        <v>0</v>
      </c>
      <c r="AJ285" s="115">
        <f t="shared" si="16"/>
        <v>0</v>
      </c>
      <c r="AK285" s="115">
        <f t="shared" si="16"/>
        <v>0</v>
      </c>
      <c r="AL285" s="115">
        <f t="shared" si="16"/>
        <v>0</v>
      </c>
      <c r="AM285" s="115">
        <f t="shared" si="16"/>
        <v>0</v>
      </c>
      <c r="AN285" s="115">
        <f t="shared" si="16"/>
        <v>0</v>
      </c>
      <c r="AO285" s="118" t="b">
        <f t="shared" si="13"/>
        <v>0</v>
      </c>
      <c r="AP285" s="119" t="b">
        <f t="shared" si="14"/>
        <v>0</v>
      </c>
    </row>
    <row r="286" spans="1:42" ht="23.15" customHeight="1" x14ac:dyDescent="0.35">
      <c r="A286" s="124">
        <v>128</v>
      </c>
      <c r="B286" s="176"/>
      <c r="C286" s="177"/>
      <c r="D286" s="177"/>
      <c r="E286" s="177"/>
      <c r="F286" s="177"/>
      <c r="G286" s="94"/>
      <c r="H286" s="95" t="str">
        <f t="shared" si="11"/>
        <v/>
      </c>
      <c r="I286" s="109"/>
      <c r="J286" s="110"/>
      <c r="K286" s="110"/>
      <c r="L286" s="110"/>
      <c r="M286" s="110"/>
      <c r="N286" s="110"/>
      <c r="O286" s="110"/>
      <c r="P286" s="110"/>
      <c r="Q286" s="110"/>
      <c r="R286" s="110"/>
      <c r="S286" s="181"/>
      <c r="T286" s="181"/>
      <c r="U286" s="181"/>
      <c r="V286" s="181"/>
      <c r="W286" s="182"/>
      <c r="Y286" s="85">
        <f t="shared" si="12"/>
        <v>0</v>
      </c>
      <c r="AF286" s="115">
        <f t="shared" si="16"/>
        <v>0</v>
      </c>
      <c r="AG286" s="115">
        <f t="shared" si="16"/>
        <v>0</v>
      </c>
      <c r="AH286" s="115">
        <f t="shared" si="16"/>
        <v>0</v>
      </c>
      <c r="AI286" s="115">
        <f t="shared" si="16"/>
        <v>0</v>
      </c>
      <c r="AJ286" s="115">
        <f t="shared" si="16"/>
        <v>0</v>
      </c>
      <c r="AK286" s="115">
        <f t="shared" si="16"/>
        <v>0</v>
      </c>
      <c r="AL286" s="115">
        <f t="shared" si="16"/>
        <v>0</v>
      </c>
      <c r="AM286" s="115">
        <f t="shared" si="16"/>
        <v>0</v>
      </c>
      <c r="AN286" s="115">
        <f t="shared" si="16"/>
        <v>0</v>
      </c>
      <c r="AO286" s="118" t="b">
        <f t="shared" si="13"/>
        <v>0</v>
      </c>
      <c r="AP286" s="119" t="b">
        <f t="shared" si="14"/>
        <v>0</v>
      </c>
    </row>
    <row r="287" spans="1:42" ht="23.15" customHeight="1" x14ac:dyDescent="0.35">
      <c r="A287" s="124">
        <v>129</v>
      </c>
      <c r="B287" s="176"/>
      <c r="C287" s="177"/>
      <c r="D287" s="177"/>
      <c r="E287" s="177"/>
      <c r="F287" s="177"/>
      <c r="G287" s="94"/>
      <c r="H287" s="95" t="str">
        <f t="shared" si="11"/>
        <v/>
      </c>
      <c r="I287" s="109"/>
      <c r="J287" s="110"/>
      <c r="K287" s="110"/>
      <c r="L287" s="110"/>
      <c r="M287" s="110"/>
      <c r="N287" s="110"/>
      <c r="O287" s="110"/>
      <c r="P287" s="110"/>
      <c r="Q287" s="110"/>
      <c r="R287" s="110"/>
      <c r="S287" s="181"/>
      <c r="T287" s="181"/>
      <c r="U287" s="181"/>
      <c r="V287" s="181"/>
      <c r="W287" s="182"/>
      <c r="Y287" s="85">
        <f t="shared" si="12"/>
        <v>0</v>
      </c>
      <c r="AF287" s="115">
        <f t="shared" si="16"/>
        <v>0</v>
      </c>
      <c r="AG287" s="115">
        <f t="shared" si="16"/>
        <v>0</v>
      </c>
      <c r="AH287" s="115">
        <f t="shared" si="16"/>
        <v>0</v>
      </c>
      <c r="AI287" s="115">
        <f t="shared" si="16"/>
        <v>0</v>
      </c>
      <c r="AJ287" s="115">
        <f t="shared" si="16"/>
        <v>0</v>
      </c>
      <c r="AK287" s="115">
        <f t="shared" si="16"/>
        <v>0</v>
      </c>
      <c r="AL287" s="115">
        <f t="shared" si="16"/>
        <v>0</v>
      </c>
      <c r="AM287" s="115">
        <f t="shared" si="16"/>
        <v>0</v>
      </c>
      <c r="AN287" s="115">
        <f t="shared" si="16"/>
        <v>0</v>
      </c>
      <c r="AO287" s="118" t="b">
        <f t="shared" si="13"/>
        <v>0</v>
      </c>
      <c r="AP287" s="119" t="b">
        <f t="shared" si="14"/>
        <v>0</v>
      </c>
    </row>
    <row r="288" spans="1:42" ht="23.15" customHeight="1" x14ac:dyDescent="0.35">
      <c r="A288" s="124">
        <v>130</v>
      </c>
      <c r="B288" s="176"/>
      <c r="C288" s="177"/>
      <c r="D288" s="177"/>
      <c r="E288" s="177"/>
      <c r="F288" s="177"/>
      <c r="G288" s="94"/>
      <c r="H288" s="95" t="str">
        <f t="shared" ref="H288:H298" si="17">IF(AND(AO288=TRUE,AP288=TRUE),"Универсал","")</f>
        <v/>
      </c>
      <c r="I288" s="109"/>
      <c r="J288" s="110"/>
      <c r="K288" s="110"/>
      <c r="L288" s="110"/>
      <c r="M288" s="110"/>
      <c r="N288" s="110"/>
      <c r="O288" s="110"/>
      <c r="P288" s="110"/>
      <c r="Q288" s="110"/>
      <c r="R288" s="110"/>
      <c r="S288" s="181"/>
      <c r="T288" s="181"/>
      <c r="U288" s="181"/>
      <c r="V288" s="181"/>
      <c r="W288" s="182"/>
      <c r="Y288" s="85">
        <f t="shared" ref="Y288:Y298" si="18">COUNTA(J288:R288)</f>
        <v>0</v>
      </c>
      <c r="AF288" s="115">
        <f t="shared" si="16"/>
        <v>0</v>
      </c>
      <c r="AG288" s="115">
        <f t="shared" si="16"/>
        <v>0</v>
      </c>
      <c r="AH288" s="115">
        <f t="shared" si="16"/>
        <v>0</v>
      </c>
      <c r="AI288" s="115">
        <f t="shared" si="16"/>
        <v>0</v>
      </c>
      <c r="AJ288" s="115">
        <f t="shared" si="16"/>
        <v>0</v>
      </c>
      <c r="AK288" s="115">
        <f t="shared" si="16"/>
        <v>0</v>
      </c>
      <c r="AL288" s="115">
        <f t="shared" si="16"/>
        <v>0</v>
      </c>
      <c r="AM288" s="115">
        <f t="shared" si="16"/>
        <v>0</v>
      </c>
      <c r="AN288" s="115">
        <f t="shared" si="16"/>
        <v>0</v>
      </c>
      <c r="AO288" s="118" t="b">
        <f t="shared" ref="AO288:AO298" si="19">IF(COUNTIF(AG288:AI288,0)&gt;0,FALSE,TRUE)</f>
        <v>0</v>
      </c>
      <c r="AP288" s="119" t="b">
        <f t="shared" ref="AP288:AP298" si="20">IF(SUM(AG288:AI288)=3,TRUE,FALSE)</f>
        <v>0</v>
      </c>
    </row>
    <row r="289" spans="1:42" ht="23.15" customHeight="1" x14ac:dyDescent="0.35">
      <c r="A289" s="124">
        <v>131</v>
      </c>
      <c r="B289" s="176"/>
      <c r="C289" s="177"/>
      <c r="D289" s="177"/>
      <c r="E289" s="177"/>
      <c r="F289" s="177"/>
      <c r="G289" s="94"/>
      <c r="H289" s="95" t="str">
        <f t="shared" si="17"/>
        <v/>
      </c>
      <c r="I289" s="109"/>
      <c r="J289" s="110"/>
      <c r="K289" s="110"/>
      <c r="L289" s="110"/>
      <c r="M289" s="110"/>
      <c r="N289" s="110"/>
      <c r="O289" s="110"/>
      <c r="P289" s="110"/>
      <c r="Q289" s="110"/>
      <c r="R289" s="110"/>
      <c r="S289" s="181"/>
      <c r="T289" s="181"/>
      <c r="U289" s="181"/>
      <c r="V289" s="181"/>
      <c r="W289" s="182"/>
      <c r="Y289" s="85">
        <f t="shared" si="18"/>
        <v>0</v>
      </c>
      <c r="AF289" s="115">
        <f t="shared" si="16"/>
        <v>0</v>
      </c>
      <c r="AG289" s="115">
        <f t="shared" si="16"/>
        <v>0</v>
      </c>
      <c r="AH289" s="115">
        <f t="shared" si="16"/>
        <v>0</v>
      </c>
      <c r="AI289" s="115">
        <f t="shared" si="16"/>
        <v>0</v>
      </c>
      <c r="AJ289" s="115">
        <f t="shared" si="16"/>
        <v>0</v>
      </c>
      <c r="AK289" s="115">
        <f t="shared" si="16"/>
        <v>0</v>
      </c>
      <c r="AL289" s="115">
        <f t="shared" si="16"/>
        <v>0</v>
      </c>
      <c r="AM289" s="115">
        <f t="shared" si="16"/>
        <v>0</v>
      </c>
      <c r="AN289" s="115">
        <f t="shared" si="16"/>
        <v>0</v>
      </c>
      <c r="AO289" s="118" t="b">
        <f t="shared" si="19"/>
        <v>0</v>
      </c>
      <c r="AP289" s="119" t="b">
        <f t="shared" si="20"/>
        <v>0</v>
      </c>
    </row>
    <row r="290" spans="1:42" ht="23.15" customHeight="1" x14ac:dyDescent="0.35">
      <c r="A290" s="124">
        <v>132</v>
      </c>
      <c r="B290" s="176"/>
      <c r="C290" s="177"/>
      <c r="D290" s="177"/>
      <c r="E290" s="177"/>
      <c r="F290" s="177"/>
      <c r="G290" s="94"/>
      <c r="H290" s="95" t="str">
        <f t="shared" si="17"/>
        <v/>
      </c>
      <c r="I290" s="109"/>
      <c r="J290" s="110"/>
      <c r="K290" s="110"/>
      <c r="L290" s="110"/>
      <c r="M290" s="110"/>
      <c r="N290" s="110"/>
      <c r="O290" s="110"/>
      <c r="P290" s="110"/>
      <c r="Q290" s="110"/>
      <c r="R290" s="110"/>
      <c r="S290" s="181"/>
      <c r="T290" s="181"/>
      <c r="U290" s="181"/>
      <c r="V290" s="181"/>
      <c r="W290" s="182"/>
      <c r="Y290" s="85">
        <f t="shared" si="18"/>
        <v>0</v>
      </c>
      <c r="AF290" s="115">
        <f t="shared" si="16"/>
        <v>0</v>
      </c>
      <c r="AG290" s="115">
        <f t="shared" si="16"/>
        <v>0</v>
      </c>
      <c r="AH290" s="115">
        <f t="shared" si="16"/>
        <v>0</v>
      </c>
      <c r="AI290" s="115">
        <f t="shared" si="16"/>
        <v>0</v>
      </c>
      <c r="AJ290" s="115">
        <f t="shared" si="16"/>
        <v>0</v>
      </c>
      <c r="AK290" s="115">
        <f t="shared" si="16"/>
        <v>0</v>
      </c>
      <c r="AL290" s="115">
        <f t="shared" si="16"/>
        <v>0</v>
      </c>
      <c r="AM290" s="115">
        <f t="shared" si="16"/>
        <v>0</v>
      </c>
      <c r="AN290" s="115">
        <f t="shared" si="16"/>
        <v>0</v>
      </c>
      <c r="AO290" s="118" t="b">
        <f t="shared" si="19"/>
        <v>0</v>
      </c>
      <c r="AP290" s="119" t="b">
        <f t="shared" si="20"/>
        <v>0</v>
      </c>
    </row>
    <row r="291" spans="1:42" ht="23.15" customHeight="1" x14ac:dyDescent="0.35">
      <c r="A291" s="124">
        <v>133</v>
      </c>
      <c r="B291" s="176"/>
      <c r="C291" s="177"/>
      <c r="D291" s="177"/>
      <c r="E291" s="177"/>
      <c r="F291" s="177"/>
      <c r="G291" s="94"/>
      <c r="H291" s="95" t="str">
        <f t="shared" si="17"/>
        <v/>
      </c>
      <c r="I291" s="109"/>
      <c r="J291" s="110"/>
      <c r="K291" s="110"/>
      <c r="L291" s="110"/>
      <c r="M291" s="110"/>
      <c r="N291" s="110"/>
      <c r="O291" s="110"/>
      <c r="P291" s="110"/>
      <c r="Q291" s="110"/>
      <c r="R291" s="110"/>
      <c r="S291" s="181"/>
      <c r="T291" s="181"/>
      <c r="U291" s="181"/>
      <c r="V291" s="181"/>
      <c r="W291" s="182"/>
      <c r="Y291" s="85">
        <f t="shared" si="18"/>
        <v>0</v>
      </c>
      <c r="AF291" s="115">
        <f t="shared" si="16"/>
        <v>0</v>
      </c>
      <c r="AG291" s="115">
        <f t="shared" si="16"/>
        <v>0</v>
      </c>
      <c r="AH291" s="115">
        <f t="shared" si="16"/>
        <v>0</v>
      </c>
      <c r="AI291" s="115">
        <f t="shared" si="16"/>
        <v>0</v>
      </c>
      <c r="AJ291" s="115">
        <f t="shared" si="16"/>
        <v>0</v>
      </c>
      <c r="AK291" s="115">
        <f t="shared" si="16"/>
        <v>0</v>
      </c>
      <c r="AL291" s="115">
        <f t="shared" si="16"/>
        <v>0</v>
      </c>
      <c r="AM291" s="115">
        <f t="shared" si="16"/>
        <v>0</v>
      </c>
      <c r="AN291" s="115">
        <f t="shared" si="16"/>
        <v>0</v>
      </c>
      <c r="AO291" s="118" t="b">
        <f t="shared" si="19"/>
        <v>0</v>
      </c>
      <c r="AP291" s="119" t="b">
        <f t="shared" si="20"/>
        <v>0</v>
      </c>
    </row>
    <row r="292" spans="1:42" ht="23.15" customHeight="1" x14ac:dyDescent="0.35">
      <c r="A292" s="124">
        <v>134</v>
      </c>
      <c r="B292" s="176"/>
      <c r="C292" s="177"/>
      <c r="D292" s="177"/>
      <c r="E292" s="177"/>
      <c r="F292" s="177"/>
      <c r="G292" s="94"/>
      <c r="H292" s="95" t="str">
        <f t="shared" si="17"/>
        <v/>
      </c>
      <c r="I292" s="109"/>
      <c r="J292" s="110"/>
      <c r="K292" s="110"/>
      <c r="L292" s="110"/>
      <c r="M292" s="110"/>
      <c r="N292" s="110"/>
      <c r="O292" s="110"/>
      <c r="P292" s="110"/>
      <c r="Q292" s="110"/>
      <c r="R292" s="110"/>
      <c r="S292" s="181"/>
      <c r="T292" s="181"/>
      <c r="U292" s="181"/>
      <c r="V292" s="181"/>
      <c r="W292" s="182"/>
      <c r="Y292" s="85">
        <f t="shared" si="18"/>
        <v>0</v>
      </c>
      <c r="AF292" s="115">
        <f t="shared" si="16"/>
        <v>0</v>
      </c>
      <c r="AG292" s="115">
        <f t="shared" si="16"/>
        <v>0</v>
      </c>
      <c r="AH292" s="115">
        <f t="shared" si="16"/>
        <v>0</v>
      </c>
      <c r="AI292" s="115">
        <f t="shared" si="16"/>
        <v>0</v>
      </c>
      <c r="AJ292" s="115">
        <f t="shared" si="16"/>
        <v>0</v>
      </c>
      <c r="AK292" s="115">
        <f t="shared" si="16"/>
        <v>0</v>
      </c>
      <c r="AL292" s="115">
        <f t="shared" si="16"/>
        <v>0</v>
      </c>
      <c r="AM292" s="115">
        <f t="shared" si="16"/>
        <v>0</v>
      </c>
      <c r="AN292" s="115">
        <f t="shared" si="16"/>
        <v>0</v>
      </c>
      <c r="AO292" s="118" t="b">
        <f t="shared" si="19"/>
        <v>0</v>
      </c>
      <c r="AP292" s="119" t="b">
        <f t="shared" si="20"/>
        <v>0</v>
      </c>
    </row>
    <row r="293" spans="1:42" ht="23.15" customHeight="1" x14ac:dyDescent="0.35">
      <c r="A293" s="124">
        <v>135</v>
      </c>
      <c r="B293" s="176"/>
      <c r="C293" s="177"/>
      <c r="D293" s="177"/>
      <c r="E293" s="177"/>
      <c r="F293" s="177"/>
      <c r="G293" s="94"/>
      <c r="H293" s="95" t="str">
        <f t="shared" si="17"/>
        <v/>
      </c>
      <c r="I293" s="109"/>
      <c r="J293" s="110"/>
      <c r="K293" s="110"/>
      <c r="L293" s="110"/>
      <c r="M293" s="110"/>
      <c r="N293" s="110"/>
      <c r="O293" s="110"/>
      <c r="P293" s="110"/>
      <c r="Q293" s="110"/>
      <c r="R293" s="110"/>
      <c r="S293" s="181"/>
      <c r="T293" s="181"/>
      <c r="U293" s="181"/>
      <c r="V293" s="181"/>
      <c r="W293" s="182"/>
      <c r="Y293" s="85">
        <f t="shared" si="18"/>
        <v>0</v>
      </c>
      <c r="AF293" s="115">
        <f t="shared" si="16"/>
        <v>0</v>
      </c>
      <c r="AG293" s="115">
        <f t="shared" si="16"/>
        <v>0</v>
      </c>
      <c r="AH293" s="115">
        <f t="shared" si="16"/>
        <v>0</v>
      </c>
      <c r="AI293" s="115">
        <f t="shared" si="16"/>
        <v>0</v>
      </c>
      <c r="AJ293" s="115">
        <f t="shared" si="16"/>
        <v>0</v>
      </c>
      <c r="AK293" s="115">
        <f t="shared" si="16"/>
        <v>0</v>
      </c>
      <c r="AL293" s="115">
        <f t="shared" si="16"/>
        <v>0</v>
      </c>
      <c r="AM293" s="115">
        <f t="shared" si="16"/>
        <v>0</v>
      </c>
      <c r="AN293" s="115">
        <f t="shared" si="16"/>
        <v>0</v>
      </c>
      <c r="AO293" s="118" t="b">
        <f t="shared" si="19"/>
        <v>0</v>
      </c>
      <c r="AP293" s="119" t="b">
        <f t="shared" si="20"/>
        <v>0</v>
      </c>
    </row>
    <row r="294" spans="1:42" ht="23.15" customHeight="1" x14ac:dyDescent="0.35">
      <c r="A294" s="124">
        <v>136</v>
      </c>
      <c r="B294" s="176"/>
      <c r="C294" s="177"/>
      <c r="D294" s="177"/>
      <c r="E294" s="177"/>
      <c r="F294" s="177"/>
      <c r="G294" s="94"/>
      <c r="H294" s="95" t="str">
        <f t="shared" si="17"/>
        <v/>
      </c>
      <c r="I294" s="109"/>
      <c r="J294" s="110"/>
      <c r="K294" s="110"/>
      <c r="L294" s="110"/>
      <c r="M294" s="110"/>
      <c r="N294" s="110"/>
      <c r="O294" s="110"/>
      <c r="P294" s="110"/>
      <c r="Q294" s="110"/>
      <c r="R294" s="110"/>
      <c r="S294" s="181"/>
      <c r="T294" s="181"/>
      <c r="U294" s="181"/>
      <c r="V294" s="181"/>
      <c r="W294" s="182"/>
      <c r="Y294" s="85">
        <f t="shared" si="18"/>
        <v>0</v>
      </c>
      <c r="AF294" s="115">
        <f t="shared" si="16"/>
        <v>0</v>
      </c>
      <c r="AG294" s="115">
        <f t="shared" si="16"/>
        <v>0</v>
      </c>
      <c r="AH294" s="115">
        <f t="shared" si="16"/>
        <v>0</v>
      </c>
      <c r="AI294" s="115">
        <f t="shared" si="16"/>
        <v>0</v>
      </c>
      <c r="AJ294" s="115">
        <f t="shared" si="16"/>
        <v>0</v>
      </c>
      <c r="AK294" s="115">
        <f t="shared" si="16"/>
        <v>0</v>
      </c>
      <c r="AL294" s="115">
        <f t="shared" si="16"/>
        <v>0</v>
      </c>
      <c r="AM294" s="115">
        <f t="shared" si="16"/>
        <v>0</v>
      </c>
      <c r="AN294" s="115">
        <f t="shared" si="16"/>
        <v>0</v>
      </c>
      <c r="AO294" s="118" t="b">
        <f t="shared" si="19"/>
        <v>0</v>
      </c>
      <c r="AP294" s="119" t="b">
        <f t="shared" si="20"/>
        <v>0</v>
      </c>
    </row>
    <row r="295" spans="1:42" ht="23.15" customHeight="1" x14ac:dyDescent="0.35">
      <c r="A295" s="124">
        <v>137</v>
      </c>
      <c r="B295" s="176"/>
      <c r="C295" s="177"/>
      <c r="D295" s="177"/>
      <c r="E295" s="177"/>
      <c r="F295" s="177"/>
      <c r="G295" s="94"/>
      <c r="H295" s="95" t="str">
        <f t="shared" si="17"/>
        <v/>
      </c>
      <c r="I295" s="109"/>
      <c r="J295" s="110"/>
      <c r="K295" s="110"/>
      <c r="L295" s="110"/>
      <c r="M295" s="110"/>
      <c r="N295" s="110"/>
      <c r="O295" s="110"/>
      <c r="P295" s="110"/>
      <c r="Q295" s="110"/>
      <c r="R295" s="110"/>
      <c r="S295" s="181"/>
      <c r="T295" s="181"/>
      <c r="U295" s="181"/>
      <c r="V295" s="181"/>
      <c r="W295" s="182"/>
      <c r="Y295" s="85">
        <f t="shared" si="18"/>
        <v>0</v>
      </c>
      <c r="AF295" s="115">
        <f t="shared" si="16"/>
        <v>0</v>
      </c>
      <c r="AG295" s="115">
        <f t="shared" si="16"/>
        <v>0</v>
      </c>
      <c r="AH295" s="115">
        <f t="shared" si="16"/>
        <v>0</v>
      </c>
      <c r="AI295" s="115">
        <f t="shared" si="16"/>
        <v>0</v>
      </c>
      <c r="AJ295" s="115">
        <f t="shared" si="16"/>
        <v>0</v>
      </c>
      <c r="AK295" s="115">
        <f t="shared" si="16"/>
        <v>0</v>
      </c>
      <c r="AL295" s="115">
        <f t="shared" si="16"/>
        <v>0</v>
      </c>
      <c r="AM295" s="115">
        <f t="shared" si="16"/>
        <v>0</v>
      </c>
      <c r="AN295" s="115">
        <f t="shared" si="16"/>
        <v>0</v>
      </c>
      <c r="AO295" s="118" t="b">
        <f t="shared" si="19"/>
        <v>0</v>
      </c>
      <c r="AP295" s="119" t="b">
        <f t="shared" si="20"/>
        <v>0</v>
      </c>
    </row>
    <row r="296" spans="1:42" ht="23.15" customHeight="1" x14ac:dyDescent="0.35">
      <c r="A296" s="124">
        <v>138</v>
      </c>
      <c r="B296" s="176"/>
      <c r="C296" s="177"/>
      <c r="D296" s="177"/>
      <c r="E296" s="177"/>
      <c r="F296" s="177"/>
      <c r="G296" s="94"/>
      <c r="H296" s="95" t="str">
        <f t="shared" si="17"/>
        <v/>
      </c>
      <c r="I296" s="109"/>
      <c r="J296" s="110"/>
      <c r="K296" s="110"/>
      <c r="L296" s="110"/>
      <c r="M296" s="110"/>
      <c r="N296" s="110"/>
      <c r="O296" s="110"/>
      <c r="P296" s="110"/>
      <c r="Q296" s="110"/>
      <c r="R296" s="110"/>
      <c r="S296" s="181"/>
      <c r="T296" s="181"/>
      <c r="U296" s="181"/>
      <c r="V296" s="181"/>
      <c r="W296" s="182"/>
      <c r="Y296" s="85">
        <f t="shared" si="18"/>
        <v>0</v>
      </c>
      <c r="AF296" s="115">
        <f t="shared" si="16"/>
        <v>0</v>
      </c>
      <c r="AG296" s="115">
        <f t="shared" si="16"/>
        <v>0</v>
      </c>
      <c r="AH296" s="115">
        <f t="shared" si="16"/>
        <v>0</v>
      </c>
      <c r="AI296" s="115">
        <f t="shared" si="16"/>
        <v>0</v>
      </c>
      <c r="AJ296" s="115">
        <f t="shared" si="16"/>
        <v>0</v>
      </c>
      <c r="AK296" s="115">
        <f t="shared" si="16"/>
        <v>0</v>
      </c>
      <c r="AL296" s="115">
        <f t="shared" si="16"/>
        <v>0</v>
      </c>
      <c r="AM296" s="115">
        <f t="shared" si="16"/>
        <v>0</v>
      </c>
      <c r="AN296" s="115">
        <f t="shared" si="16"/>
        <v>0</v>
      </c>
      <c r="AO296" s="118" t="b">
        <f t="shared" si="19"/>
        <v>0</v>
      </c>
      <c r="AP296" s="119" t="b">
        <f t="shared" si="20"/>
        <v>0</v>
      </c>
    </row>
    <row r="297" spans="1:42" ht="23.15" customHeight="1" x14ac:dyDescent="0.35">
      <c r="A297" s="124">
        <v>139</v>
      </c>
      <c r="B297" s="176"/>
      <c r="C297" s="177"/>
      <c r="D297" s="177"/>
      <c r="E297" s="177"/>
      <c r="F297" s="177"/>
      <c r="G297" s="94"/>
      <c r="H297" s="95" t="str">
        <f t="shared" si="17"/>
        <v/>
      </c>
      <c r="I297" s="109"/>
      <c r="J297" s="110"/>
      <c r="K297" s="110"/>
      <c r="L297" s="110"/>
      <c r="M297" s="110"/>
      <c r="N297" s="110"/>
      <c r="O297" s="110"/>
      <c r="P297" s="110"/>
      <c r="Q297" s="110"/>
      <c r="R297" s="110"/>
      <c r="S297" s="181"/>
      <c r="T297" s="181"/>
      <c r="U297" s="181"/>
      <c r="V297" s="181"/>
      <c r="W297" s="182"/>
      <c r="Y297" s="85">
        <f t="shared" si="18"/>
        <v>0</v>
      </c>
      <c r="AF297" s="115">
        <f t="shared" si="16"/>
        <v>0</v>
      </c>
      <c r="AG297" s="115">
        <f t="shared" si="16"/>
        <v>0</v>
      </c>
      <c r="AH297" s="115">
        <f t="shared" si="16"/>
        <v>0</v>
      </c>
      <c r="AI297" s="115">
        <f t="shared" ref="AG297:AN298" si="21">IF(COUNTIF($J297:$R297,AI$158)&gt;0,1,0)</f>
        <v>0</v>
      </c>
      <c r="AJ297" s="115">
        <f t="shared" si="21"/>
        <v>0</v>
      </c>
      <c r="AK297" s="115">
        <f t="shared" si="21"/>
        <v>0</v>
      </c>
      <c r="AL297" s="115">
        <f t="shared" si="21"/>
        <v>0</v>
      </c>
      <c r="AM297" s="115">
        <f t="shared" si="21"/>
        <v>0</v>
      </c>
      <c r="AN297" s="115">
        <f t="shared" si="21"/>
        <v>0</v>
      </c>
      <c r="AO297" s="118" t="b">
        <f t="shared" si="19"/>
        <v>0</v>
      </c>
      <c r="AP297" s="119" t="b">
        <f t="shared" si="20"/>
        <v>0</v>
      </c>
    </row>
    <row r="298" spans="1:42" ht="23.15" customHeight="1" x14ac:dyDescent="0.35">
      <c r="A298" s="124">
        <v>140</v>
      </c>
      <c r="B298" s="176"/>
      <c r="C298" s="177"/>
      <c r="D298" s="177"/>
      <c r="E298" s="177"/>
      <c r="F298" s="177"/>
      <c r="G298" s="94"/>
      <c r="H298" s="95" t="str">
        <f t="shared" si="17"/>
        <v/>
      </c>
      <c r="I298" s="109"/>
      <c r="J298" s="110"/>
      <c r="K298" s="110"/>
      <c r="L298" s="110"/>
      <c r="M298" s="110"/>
      <c r="N298" s="110"/>
      <c r="O298" s="110"/>
      <c r="P298" s="110"/>
      <c r="Q298" s="110"/>
      <c r="R298" s="110"/>
      <c r="S298" s="181"/>
      <c r="T298" s="181"/>
      <c r="U298" s="181"/>
      <c r="V298" s="181"/>
      <c r="W298" s="182"/>
      <c r="Y298" s="85">
        <f t="shared" si="18"/>
        <v>0</v>
      </c>
      <c r="AF298" s="115">
        <f t="shared" ref="AF298" si="22">IF(COUNTIF($J298:$R298,AF$158)&gt;0,1,0)</f>
        <v>0</v>
      </c>
      <c r="AG298" s="115">
        <f t="shared" si="21"/>
        <v>0</v>
      </c>
      <c r="AH298" s="115">
        <f t="shared" si="21"/>
        <v>0</v>
      </c>
      <c r="AI298" s="115">
        <f t="shared" si="21"/>
        <v>0</v>
      </c>
      <c r="AJ298" s="115">
        <f t="shared" si="21"/>
        <v>0</v>
      </c>
      <c r="AK298" s="115">
        <f t="shared" si="21"/>
        <v>0</v>
      </c>
      <c r="AL298" s="115">
        <f t="shared" si="21"/>
        <v>0</v>
      </c>
      <c r="AM298" s="115">
        <f t="shared" si="21"/>
        <v>0</v>
      </c>
      <c r="AN298" s="115">
        <f t="shared" si="21"/>
        <v>0</v>
      </c>
      <c r="AO298" s="118" t="b">
        <f t="shared" si="19"/>
        <v>0</v>
      </c>
      <c r="AP298" s="119" t="b">
        <f t="shared" si="20"/>
        <v>0</v>
      </c>
    </row>
    <row r="299" spans="1:42" ht="23.15" customHeight="1" x14ac:dyDescent="0.35">
      <c r="A299" s="124"/>
      <c r="B299" s="124"/>
      <c r="C299" s="124"/>
      <c r="D299" s="124"/>
      <c r="E299" s="124"/>
      <c r="F299" s="124"/>
      <c r="G299" s="124"/>
      <c r="H299" s="124"/>
      <c r="AF299" s="115">
        <f>SUM(AF159:AF298)</f>
        <v>2</v>
      </c>
      <c r="AG299" s="116">
        <f t="shared" ref="AG299:AN299" si="23">SUM(AG159:AG298)</f>
        <v>4</v>
      </c>
      <c r="AH299" s="117">
        <f t="shared" si="23"/>
        <v>5</v>
      </c>
      <c r="AI299" s="115">
        <f t="shared" si="23"/>
        <v>4</v>
      </c>
      <c r="AJ299" s="116">
        <f t="shared" si="23"/>
        <v>3</v>
      </c>
      <c r="AK299" s="117">
        <f t="shared" si="23"/>
        <v>2</v>
      </c>
      <c r="AL299" s="115">
        <f t="shared" si="23"/>
        <v>4</v>
      </c>
      <c r="AM299" s="116">
        <f t="shared" si="23"/>
        <v>2</v>
      </c>
      <c r="AN299" s="117">
        <f t="shared" si="23"/>
        <v>1</v>
      </c>
      <c r="AO299" s="133"/>
      <c r="AP299" s="50"/>
    </row>
    <row r="301" spans="1:42" ht="13" x14ac:dyDescent="0.35">
      <c r="A301" s="124"/>
      <c r="B301" s="124"/>
      <c r="C301" s="124"/>
      <c r="D301" s="124"/>
      <c r="E301" s="124"/>
      <c r="F301" s="124"/>
      <c r="G301" s="124"/>
      <c r="H301" s="124"/>
      <c r="X301" s="82"/>
      <c r="Y301" s="82"/>
    </row>
    <row r="302" spans="1:42" ht="13" x14ac:dyDescent="0.35">
      <c r="A302" s="124"/>
      <c r="B302" s="124"/>
      <c r="C302" s="124"/>
      <c r="D302" s="124"/>
      <c r="E302" s="124"/>
      <c r="F302" s="124"/>
      <c r="G302" s="124"/>
      <c r="H302" s="124"/>
      <c r="X302" s="82"/>
      <c r="Y302" s="82"/>
    </row>
    <row r="308" spans="2:18" x14ac:dyDescent="0.35">
      <c r="B308" s="124"/>
      <c r="C308" s="124"/>
      <c r="D308" s="124"/>
      <c r="E308" s="124"/>
      <c r="F308" s="124"/>
      <c r="G308" s="124"/>
      <c r="H308" s="124" t="s">
        <v>72</v>
      </c>
    </row>
    <row r="309" spans="2:18" ht="12" x14ac:dyDescent="0.35">
      <c r="B309" s="86" t="s">
        <v>274</v>
      </c>
      <c r="C309" s="86" t="s">
        <v>275</v>
      </c>
      <c r="D309" s="87" t="s">
        <v>276</v>
      </c>
      <c r="E309" s="86" t="s">
        <v>277</v>
      </c>
      <c r="F309" s="86" t="s">
        <v>278</v>
      </c>
      <c r="G309" s="124"/>
      <c r="H309" s="44" t="s">
        <v>274</v>
      </c>
      <c r="I309" s="44" t="s">
        <v>275</v>
      </c>
      <c r="J309" s="44" t="s">
        <v>114</v>
      </c>
      <c r="K309" s="41"/>
      <c r="L309" s="41"/>
      <c r="M309" s="41"/>
    </row>
    <row r="310" spans="2:18" x14ac:dyDescent="0.35">
      <c r="B310" s="88">
        <f>C327</f>
        <v>1</v>
      </c>
      <c r="C310" s="88">
        <f>+D327+E327+F327</f>
        <v>1</v>
      </c>
      <c r="D310" s="88">
        <f>IF(B310&gt;C310,C310-B310,0)</f>
        <v>0</v>
      </c>
      <c r="E310" s="88">
        <f>IF(D310=0,F310,C310)</f>
        <v>1</v>
      </c>
      <c r="F310" s="88">
        <f>+C310+I327</f>
        <v>1</v>
      </c>
      <c r="G310" s="124" t="s">
        <v>279</v>
      </c>
      <c r="H310" s="89">
        <f>E17</f>
        <v>4.2105263157894735</v>
      </c>
      <c r="I310" s="88">
        <f>COUNTIF($B112,"=Trainer")+COUNTIF($B114,"=Trainer")+COUNTIF($B116,"=Trainer")+COUNTIF($B118,"=Trainer")+COUNTIF($B120,"=Trainer")+COUNTIF($B122,"=Trainer")+COUNTIF($B124,"=Trainer")+COUNTIF($B126,"=Trainer")+COUNTIF($B128,"=Trainer")+COUNTIF($B130,"=Trainer")</f>
        <v>4</v>
      </c>
      <c r="J310" s="90">
        <f>I310-H310</f>
        <v>-0.21052631578947345</v>
      </c>
      <c r="K310" s="41"/>
      <c r="L310" s="41"/>
      <c r="M310" s="41"/>
    </row>
    <row r="311" spans="2:18" x14ac:dyDescent="0.35">
      <c r="B311" s="88">
        <f>C328</f>
        <v>1</v>
      </c>
      <c r="C311" s="88">
        <f>+D328+E328+F328</f>
        <v>1</v>
      </c>
      <c r="D311" s="88">
        <f>IF(B311&gt;C311,C311-B311,0)</f>
        <v>0</v>
      </c>
      <c r="E311" s="88">
        <f>IF(D311=0,F311,C311)</f>
        <v>1</v>
      </c>
      <c r="F311" s="88">
        <f>+C311+I328</f>
        <v>1</v>
      </c>
      <c r="G311" s="124" t="s">
        <v>280</v>
      </c>
      <c r="H311" s="89">
        <f>F17-H310</f>
        <v>21.05263157894737</v>
      </c>
      <c r="I311" s="88">
        <f>B471</f>
        <v>22</v>
      </c>
      <c r="J311" s="90">
        <f>I311-H311</f>
        <v>0.94736842105263008</v>
      </c>
      <c r="K311" s="41"/>
      <c r="L311" s="41"/>
      <c r="M311" s="41"/>
    </row>
    <row r="312" spans="2:18" x14ac:dyDescent="0.35">
      <c r="B312" s="88">
        <f>C329</f>
        <v>4</v>
      </c>
      <c r="C312" s="88">
        <f>+D329+E329+F329</f>
        <v>4</v>
      </c>
      <c r="D312" s="88">
        <f>IF(B312&gt;C312,C312-B312,0)</f>
        <v>0</v>
      </c>
      <c r="E312" s="88">
        <f>IF(D312=0,F312,C312)</f>
        <v>4</v>
      </c>
      <c r="F312" s="88">
        <f>+C312+I329</f>
        <v>4</v>
      </c>
      <c r="G312" s="124" t="s">
        <v>197</v>
      </c>
      <c r="H312" s="88"/>
      <c r="I312" s="88">
        <f>COUNTIF($H159:$H298,"=Универсал")</f>
        <v>3</v>
      </c>
      <c r="J312" s="41"/>
      <c r="K312" s="41"/>
      <c r="L312" s="41"/>
      <c r="M312" s="41"/>
    </row>
    <row r="313" spans="2:18" x14ac:dyDescent="0.35">
      <c r="B313" s="88">
        <f>SUM(B310:B312)</f>
        <v>6</v>
      </c>
      <c r="C313" s="88">
        <f>SUM(C310:C312)</f>
        <v>6</v>
      </c>
      <c r="D313" s="88">
        <f>SUM(D310:D312)</f>
        <v>0</v>
      </c>
      <c r="E313" s="88">
        <f>SUM(E310:E312)</f>
        <v>6</v>
      </c>
      <c r="F313" s="91">
        <f>SUM(F310:F312)</f>
        <v>6</v>
      </c>
      <c r="G313" s="124"/>
      <c r="H313" s="88"/>
      <c r="I313" s="88"/>
      <c r="J313" s="41"/>
      <c r="K313" s="41"/>
      <c r="L313" s="41"/>
      <c r="M313" s="41"/>
    </row>
    <row r="314" spans="2:18" x14ac:dyDescent="0.35">
      <c r="B314" s="171" t="s">
        <v>281</v>
      </c>
      <c r="C314" s="171"/>
      <c r="D314" s="171"/>
      <c r="E314" s="171"/>
      <c r="F314" s="171" t="s">
        <v>282</v>
      </c>
      <c r="G314" s="171"/>
      <c r="H314" s="171"/>
      <c r="I314" s="171"/>
      <c r="J314" s="171" t="s">
        <v>283</v>
      </c>
      <c r="K314" s="171"/>
      <c r="L314" s="171"/>
      <c r="M314" s="171"/>
      <c r="N314" s="171"/>
      <c r="O314" s="99"/>
      <c r="P314" s="99"/>
      <c r="Q314" s="99"/>
      <c r="R314" s="99"/>
    </row>
    <row r="315" spans="2:18" ht="21" x14ac:dyDescent="0.35">
      <c r="B315" s="92" t="s">
        <v>120</v>
      </c>
      <c r="C315" s="92" t="s">
        <v>284</v>
      </c>
      <c r="D315" s="92" t="s">
        <v>129</v>
      </c>
      <c r="E315" s="92" t="s">
        <v>285</v>
      </c>
      <c r="F315" s="92" t="s">
        <v>120</v>
      </c>
      <c r="G315" s="92" t="s">
        <v>284</v>
      </c>
      <c r="H315" s="92" t="s">
        <v>129</v>
      </c>
      <c r="I315" s="92" t="s">
        <v>285</v>
      </c>
      <c r="J315" s="92" t="s">
        <v>120</v>
      </c>
      <c r="K315" s="92" t="s">
        <v>284</v>
      </c>
      <c r="L315" s="92" t="s">
        <v>129</v>
      </c>
      <c r="M315" s="92" t="s">
        <v>285</v>
      </c>
      <c r="N315" s="92" t="s">
        <v>286</v>
      </c>
      <c r="O315" s="100"/>
      <c r="P315" s="100"/>
      <c r="Q315" s="100"/>
      <c r="R315" s="100"/>
    </row>
    <row r="316" spans="2:18" x14ac:dyDescent="0.35">
      <c r="B316" s="92">
        <f>M3</f>
        <v>0</v>
      </c>
      <c r="C316" s="92">
        <f>M4</f>
        <v>0</v>
      </c>
      <c r="D316" s="92">
        <f>M5</f>
        <v>1</v>
      </c>
      <c r="E316" s="92">
        <f>SUM(B316:D316)</f>
        <v>1</v>
      </c>
      <c r="F316" s="93">
        <f>+D328+I327</f>
        <v>0</v>
      </c>
      <c r="G316" s="93">
        <f>+D329+I328</f>
        <v>0</v>
      </c>
      <c r="H316" s="93">
        <f>+I329</f>
        <v>0</v>
      </c>
      <c r="I316" s="93">
        <f>SUM(F316:H316)</f>
        <v>0</v>
      </c>
      <c r="J316" s="93">
        <f>F316-B316</f>
        <v>0</v>
      </c>
      <c r="K316" s="93">
        <f>G316-C316</f>
        <v>0</v>
      </c>
      <c r="L316" s="93">
        <f>H316-D316</f>
        <v>-1</v>
      </c>
      <c r="M316" s="93">
        <f>SUMIF(J316:L316,"&lt;0")</f>
        <v>-1</v>
      </c>
      <c r="N316" s="93">
        <f>SUM(J316:L316)+M316</f>
        <v>-2</v>
      </c>
      <c r="O316" s="101"/>
      <c r="P316" s="101"/>
      <c r="Q316" s="101"/>
      <c r="R316" s="101"/>
    </row>
    <row r="318" spans="2:18" x14ac:dyDescent="0.35">
      <c r="B318" s="122"/>
      <c r="C318" s="122"/>
      <c r="D318" s="122"/>
      <c r="E318" s="61"/>
      <c r="F318" s="61"/>
      <c r="G318" s="122"/>
      <c r="H318" s="41"/>
      <c r="I318" s="137"/>
      <c r="J318" s="137"/>
      <c r="K318" s="137"/>
      <c r="L318" s="137"/>
      <c r="M318" s="137"/>
    </row>
    <row r="319" spans="2:18" x14ac:dyDescent="0.35">
      <c r="B319" s="61" t="s">
        <v>287</v>
      </c>
      <c r="C319" s="122"/>
      <c r="D319" s="122"/>
      <c r="E319" s="61"/>
      <c r="F319" s="61"/>
      <c r="G319" s="122"/>
      <c r="H319" s="41"/>
      <c r="I319" s="137"/>
      <c r="J319" s="137"/>
      <c r="K319" s="137"/>
      <c r="L319" s="137"/>
      <c r="M319" s="137"/>
    </row>
    <row r="320" spans="2:18" x14ac:dyDescent="0.35">
      <c r="B320" s="122">
        <f>M316*-1</f>
        <v>1</v>
      </c>
      <c r="C320" s="122"/>
      <c r="D320" s="122"/>
      <c r="E320" s="61"/>
      <c r="F320" s="61"/>
      <c r="G320" s="122"/>
      <c r="H320" s="61"/>
      <c r="I320" s="41"/>
      <c r="J320" s="41"/>
      <c r="K320" s="41"/>
      <c r="L320" s="41"/>
      <c r="M320" s="41"/>
    </row>
    <row r="321" spans="1:13" x14ac:dyDescent="0.35">
      <c r="A321" s="124"/>
      <c r="B321" s="61" t="s">
        <v>288</v>
      </c>
      <c r="C321" s="122"/>
      <c r="D321" s="122"/>
      <c r="E321" s="61"/>
      <c r="F321" s="61"/>
      <c r="G321" s="122"/>
      <c r="H321" s="61"/>
      <c r="I321" s="41"/>
      <c r="J321" s="41"/>
      <c r="K321" s="41"/>
      <c r="L321" s="41"/>
      <c r="M321" s="41"/>
    </row>
    <row r="322" spans="1:13" x14ac:dyDescent="0.35">
      <c r="A322" s="124"/>
      <c r="B322" s="122">
        <f>IF(B320&gt;0,E316-B320,M316)</f>
        <v>0</v>
      </c>
      <c r="C322" s="122"/>
      <c r="D322" s="122"/>
      <c r="E322" s="61"/>
      <c r="F322" s="61"/>
      <c r="G322" s="122"/>
      <c r="H322" s="61"/>
      <c r="I322" s="61"/>
      <c r="J322" s="41"/>
      <c r="K322" s="41"/>
      <c r="L322" s="41"/>
      <c r="M322" s="41"/>
    </row>
    <row r="324" spans="1:13" ht="12" x14ac:dyDescent="0.35">
      <c r="A324" s="124"/>
      <c r="B324" s="185" t="s">
        <v>112</v>
      </c>
      <c r="C324" s="186" t="s">
        <v>289</v>
      </c>
      <c r="D324" s="188"/>
      <c r="E324" s="188"/>
      <c r="F324" s="188"/>
      <c r="G324" s="188"/>
      <c r="H324" s="187"/>
      <c r="I324" s="186" t="s">
        <v>106</v>
      </c>
      <c r="J324" s="187"/>
    </row>
    <row r="325" spans="1:13" x14ac:dyDescent="0.35">
      <c r="A325" s="124"/>
      <c r="B325" s="185"/>
      <c r="C325" s="183" t="s">
        <v>290</v>
      </c>
      <c r="D325" s="183" t="s">
        <v>291</v>
      </c>
      <c r="E325" s="183" t="s">
        <v>292</v>
      </c>
      <c r="F325" s="183" t="s">
        <v>293</v>
      </c>
      <c r="G325" s="183" t="s">
        <v>294</v>
      </c>
      <c r="H325" s="183" t="s">
        <v>295</v>
      </c>
      <c r="I325" s="183" t="s">
        <v>296</v>
      </c>
      <c r="J325" s="183" t="s">
        <v>297</v>
      </c>
    </row>
    <row r="326" spans="1:13" x14ac:dyDescent="0.35">
      <c r="A326" s="124"/>
      <c r="B326" s="185"/>
      <c r="C326" s="184"/>
      <c r="D326" s="184"/>
      <c r="E326" s="184"/>
      <c r="F326" s="184"/>
      <c r="G326" s="184"/>
      <c r="H326" s="184"/>
      <c r="I326" s="184"/>
      <c r="J326" s="184"/>
    </row>
    <row r="327" spans="1:13" x14ac:dyDescent="0.35">
      <c r="A327" s="124"/>
      <c r="B327" s="127" t="s">
        <v>120</v>
      </c>
      <c r="C327" s="141">
        <f>B17</f>
        <v>1</v>
      </c>
      <c r="D327" s="127">
        <f>COUNTIF($B20:$AM20,"=AC")</f>
        <v>0</v>
      </c>
      <c r="E327" s="127">
        <f>COUNTIF($B20:$AM20,"=AC IT")</f>
        <v>0</v>
      </c>
      <c r="F327" s="127">
        <f>COUNTIF($B20,"=RGM")</f>
        <v>1</v>
      </c>
      <c r="G327" s="127">
        <f>COUNTIF($B20,"=RGM IT")</f>
        <v>0</v>
      </c>
      <c r="H327" s="127">
        <f>C327-D327-E327-F327-G327</f>
        <v>0</v>
      </c>
      <c r="I327" s="127">
        <f>COUNTIF($B$85:$AM$85,"=RGM")+COUNTIF($B$81:$AM$81,"=RGM")+COUNTIF($B$83:$AM$83,"=RGM")+COUNTIF($B$87:$AM$87,"=RGM")+COUNTIF($B$89:$AM$89,"=RGM")+COUNTIF($B$91:$AM$91,"=RGM")+COUNTIF($B$93:$AM$93,"=RGM")</f>
        <v>0</v>
      </c>
      <c r="J327" s="127">
        <f>COUNTIF($B$85:$AM$85,"=RGM IT")+COUNTIF($B$81:$AM$81,"=RGM IT")+COUNTIF($B$83:$AM$83,"=RGM IT")+COUNTIF($B$87:$AM$87,"=RGM IT")+COUNTIF($B$89:$AM$89,"=RGM IT")+COUNTIF($B$91:$AM$91,"=RGM IT")+COUNTIF($B$93:$AM$93,"=RGM IT")</f>
        <v>0</v>
      </c>
    </row>
    <row r="328" spans="1:13" x14ac:dyDescent="0.35">
      <c r="A328" s="124"/>
      <c r="B328" s="127" t="s">
        <v>63</v>
      </c>
      <c r="C328" s="127">
        <f>C17</f>
        <v>1</v>
      </c>
      <c r="D328" s="127">
        <f>COUNTIF($B23:$AM23,"=RGM")+COUNTIF($B27:$AM27,"=RGM")+COUNTIF($B25:$AM25,"=RGM")</f>
        <v>0</v>
      </c>
      <c r="E328" s="127">
        <f>COUNTIF($B23:$AM23,"=RGM IT")+COUNTIF($B27:$AM27,"=RGM IT")+COUNTIF($B25:$AM25,"=RGM IT")+COUNTIF($B23:$AM23,"=RGM DR")+COUNTIF($B27:$AM27,"=RGM DR")+COUNTIF($B25:$AM25,"=RGM DR")</f>
        <v>0</v>
      </c>
      <c r="F328" s="127">
        <f>COUNTIF($B23,"=ARGM")+COUNTIF($B27,"=ARGM")+COUNTIF($B25,"=ARGM")</f>
        <v>1</v>
      </c>
      <c r="G328" s="127">
        <f>COUNTIF($B23,"=ARGM IT")+COUNTIF($B27,"=ARGM IT")+COUNTIF($B25,"=ARGM IT")</f>
        <v>0</v>
      </c>
      <c r="H328" s="127">
        <f>C328-D328-E328-F328-G328</f>
        <v>0</v>
      </c>
      <c r="I328" s="127">
        <f>COUNTIF($B$85:$AM$85,"=ARGM")+COUNTIF($B$81:$AM$81,"=ARGM")+COUNTIF($B$83:$AM$83,"=ARGM")+COUNTIF($B$87:$AM$87,"=ARGM")+COUNTIF($B$89:$AM$89,"=ARGM")+COUNTIF($B$91:$AM$91,"=ARGM")+COUNTIF($B$93:$AM$93,"=ARGM")</f>
        <v>0</v>
      </c>
      <c r="J328" s="127">
        <f>COUNTIF($B$85:$AM$85,"=ARGM IT")+COUNTIF($B$81:$AM$81,"=ARGM IT")+COUNTIF($B$83:$AM$83,"=ARGM IT")+COUNTIF($B$87:$AM$87,"=ARGM IT")+COUNTIF($B$89:$AM$89,"=ARGM IT")+COUNTIF($B$91:$AM$91,"=ARGM IT")+COUNTIF($B$93:$AM$93,"=ARGM IT")</f>
        <v>0</v>
      </c>
    </row>
    <row r="329" spans="1:13" x14ac:dyDescent="0.35">
      <c r="A329" s="124"/>
      <c r="B329" s="127" t="s">
        <v>129</v>
      </c>
      <c r="C329" s="127">
        <f>D17</f>
        <v>4</v>
      </c>
      <c r="D329" s="127">
        <f>COUNTIF($B30:$AM30,"=ARGM")+COUNTIF($B32:$AM32,"=ARGM")+COUNTIF($B34:$AM34,"=ARGM")+COUNTIF($B36:$AM36,"=ARGM")+COUNTIF($B42:$AM42,"=ARGM")+COUNTIF($B44:$AM44,"=ARGM")+COUNTIF($B38:$AM38,"=ARGM")+COUNTIF($B40:$AM40,"=ARGM")</f>
        <v>0</v>
      </c>
      <c r="E329" s="127">
        <f>COUNTIF($B30:$AM30,"=ARGM IT")+COUNTIF($B32:$AM32,"=ARGM IT")+COUNTIF($B34:$AM34,"=ARGM IT")+COUNTIF($B36:$AM36,"=ARGM IT")+COUNTIF($B42:$AM42,"=ARGM IT")+COUNTIF($B44:$AM44,"=ARGM IT")+COUNTIF($B38:$AM38,"=ARGM IT")+COUNTIF($B40:$AM40,"=ARGM IT")</f>
        <v>0</v>
      </c>
      <c r="F329" s="127">
        <f>COUNTIF($B30,"=SM")+COUNTIF($B32,"=SM")+COUNTIF($B34,"=SM")+COUNTIF($B36,"=SM")+COUNTIF($B42,"=SM")+COUNTIF($B44,"=SM")+COUNTIF($B38,"=SM")+COUNTIF($B40,"=SM")</f>
        <v>4</v>
      </c>
      <c r="G329" s="127">
        <f>COUNTIF($B30,"=SM IT")+COUNTIF($B32,"=SM IT")+COUNTIF($B34,"=SM IT")+COUNTIF($B36,"=SM IT")+COUNTIF($B42,"=SM IT")+COUNTIF($B44,"=SM IT")+COUNTIF($B38,"=SM IT")+COUNTIF($B40,"=SM IT")</f>
        <v>0</v>
      </c>
      <c r="H329" s="127">
        <f>C329-D329-E329-F329-G329</f>
        <v>0</v>
      </c>
      <c r="I329" s="127">
        <f>COUNTIF($B$85:$AM$85,"=SM")+COUNTIF($B$81:$AM$81,"=SM")+COUNTIF($B$83:$AM$83,"=SM")+COUNTIF($B$87:$AM$87,"=SM")+COUNTIF($B$89:$AM$89,"=SM")+COUNTIF($B$91:$AM$91,"=SM")+COUNTIF($B$93:$AM$93,"=SM")</f>
        <v>0</v>
      </c>
      <c r="J329" s="127">
        <f>COUNTIF($B$85:$AM$85,"=SM IT")+COUNTIF($B$81:$AM$81,"=SM IT")+COUNTIF($B$83:$AM$83,"=SM IT")+COUNTIF($B$87:$AM$87,"=SM IT")+COUNTIF($B$89:$AM$89,"=SM IT")+COUNTIF($B$91:$AM$91,"=SM IT")+COUNTIF($B$93:$AM$93,"=SM IT")</f>
        <v>1</v>
      </c>
    </row>
    <row r="331" spans="1:13" x14ac:dyDescent="0.35">
      <c r="A331" s="124">
        <v>1</v>
      </c>
      <c r="B331" s="169">
        <f>IF(B159&gt;0,1,0)</f>
        <v>1</v>
      </c>
      <c r="C331" s="169"/>
      <c r="D331" s="169"/>
      <c r="E331" s="169"/>
      <c r="F331" s="169"/>
      <c r="G331" s="124">
        <f>IF(G159&gt;0,1,0)</f>
        <v>1</v>
      </c>
      <c r="H331" s="124"/>
    </row>
    <row r="332" spans="1:13" x14ac:dyDescent="0.35">
      <c r="A332" s="124">
        <v>2</v>
      </c>
      <c r="B332" s="169">
        <f t="shared" ref="B332:B395" si="24">IF(B160&gt;0,1,0)</f>
        <v>1</v>
      </c>
      <c r="C332" s="169"/>
      <c r="D332" s="169"/>
      <c r="E332" s="169"/>
      <c r="F332" s="169"/>
      <c r="G332" s="124">
        <f t="shared" ref="G332:G395" si="25">IF(G160&gt;0,1,0)</f>
        <v>1</v>
      </c>
      <c r="H332" s="124"/>
    </row>
    <row r="333" spans="1:13" x14ac:dyDescent="0.35">
      <c r="A333" s="124">
        <v>3</v>
      </c>
      <c r="B333" s="169">
        <f t="shared" si="24"/>
        <v>1</v>
      </c>
      <c r="C333" s="169"/>
      <c r="D333" s="169"/>
      <c r="E333" s="169"/>
      <c r="F333" s="169"/>
      <c r="G333" s="124">
        <f t="shared" si="25"/>
        <v>1</v>
      </c>
      <c r="H333" s="124"/>
    </row>
    <row r="334" spans="1:13" x14ac:dyDescent="0.35">
      <c r="A334" s="124">
        <v>4</v>
      </c>
      <c r="B334" s="169">
        <f t="shared" si="24"/>
        <v>1</v>
      </c>
      <c r="C334" s="169"/>
      <c r="D334" s="169"/>
      <c r="E334" s="169"/>
      <c r="F334" s="169"/>
      <c r="G334" s="124">
        <f t="shared" si="25"/>
        <v>1</v>
      </c>
      <c r="H334" s="124"/>
    </row>
    <row r="335" spans="1:13" x14ac:dyDescent="0.35">
      <c r="A335" s="124">
        <v>5</v>
      </c>
      <c r="B335" s="169">
        <f t="shared" si="24"/>
        <v>1</v>
      </c>
      <c r="C335" s="169"/>
      <c r="D335" s="169"/>
      <c r="E335" s="169"/>
      <c r="F335" s="169"/>
      <c r="G335" s="124">
        <f t="shared" si="25"/>
        <v>1</v>
      </c>
      <c r="H335" s="124"/>
    </row>
    <row r="336" spans="1:13" x14ac:dyDescent="0.35">
      <c r="A336" s="124">
        <v>6</v>
      </c>
      <c r="B336" s="169">
        <f t="shared" si="24"/>
        <v>1</v>
      </c>
      <c r="C336" s="169"/>
      <c r="D336" s="169"/>
      <c r="E336" s="169"/>
      <c r="F336" s="169"/>
      <c r="G336" s="124">
        <f t="shared" si="25"/>
        <v>1</v>
      </c>
      <c r="H336" s="124"/>
    </row>
    <row r="337" spans="1:7" x14ac:dyDescent="0.35">
      <c r="A337" s="124">
        <v>7</v>
      </c>
      <c r="B337" s="169">
        <f t="shared" si="24"/>
        <v>1</v>
      </c>
      <c r="C337" s="169"/>
      <c r="D337" s="169"/>
      <c r="E337" s="169"/>
      <c r="F337" s="169"/>
      <c r="G337" s="124">
        <f t="shared" si="25"/>
        <v>1</v>
      </c>
    </row>
    <row r="338" spans="1:7" x14ac:dyDescent="0.35">
      <c r="A338" s="124">
        <v>8</v>
      </c>
      <c r="B338" s="169">
        <f t="shared" si="24"/>
        <v>1</v>
      </c>
      <c r="C338" s="169"/>
      <c r="D338" s="169"/>
      <c r="E338" s="169"/>
      <c r="F338" s="169"/>
      <c r="G338" s="124">
        <f t="shared" si="25"/>
        <v>1</v>
      </c>
    </row>
    <row r="339" spans="1:7" x14ac:dyDescent="0.35">
      <c r="A339" s="124">
        <v>9</v>
      </c>
      <c r="B339" s="169">
        <f t="shared" si="24"/>
        <v>1</v>
      </c>
      <c r="C339" s="169"/>
      <c r="D339" s="169"/>
      <c r="E339" s="169"/>
      <c r="F339" s="169"/>
      <c r="G339" s="124">
        <f t="shared" si="25"/>
        <v>1</v>
      </c>
    </row>
    <row r="340" spans="1:7" x14ac:dyDescent="0.35">
      <c r="A340" s="124">
        <v>10</v>
      </c>
      <c r="B340" s="169">
        <f t="shared" si="24"/>
        <v>1</v>
      </c>
      <c r="C340" s="169"/>
      <c r="D340" s="169"/>
      <c r="E340" s="169"/>
      <c r="F340" s="169"/>
      <c r="G340" s="124">
        <f t="shared" si="25"/>
        <v>1</v>
      </c>
    </row>
    <row r="341" spans="1:7" x14ac:dyDescent="0.35">
      <c r="A341" s="124">
        <v>11</v>
      </c>
      <c r="B341" s="169">
        <f t="shared" si="24"/>
        <v>1</v>
      </c>
      <c r="C341" s="169"/>
      <c r="D341" s="169"/>
      <c r="E341" s="169"/>
      <c r="F341" s="169"/>
      <c r="G341" s="124">
        <f t="shared" si="25"/>
        <v>1</v>
      </c>
    </row>
    <row r="342" spans="1:7" x14ac:dyDescent="0.35">
      <c r="A342" s="124">
        <v>12</v>
      </c>
      <c r="B342" s="169">
        <f t="shared" si="24"/>
        <v>1</v>
      </c>
      <c r="C342" s="169"/>
      <c r="D342" s="169"/>
      <c r="E342" s="169"/>
      <c r="F342" s="169"/>
      <c r="G342" s="124">
        <f t="shared" si="25"/>
        <v>1</v>
      </c>
    </row>
    <row r="343" spans="1:7" x14ac:dyDescent="0.35">
      <c r="A343" s="124">
        <v>13</v>
      </c>
      <c r="B343" s="169">
        <f t="shared" si="24"/>
        <v>1</v>
      </c>
      <c r="C343" s="169"/>
      <c r="D343" s="169"/>
      <c r="E343" s="169"/>
      <c r="F343" s="169"/>
      <c r="G343" s="124">
        <f t="shared" si="25"/>
        <v>1</v>
      </c>
    </row>
    <row r="344" spans="1:7" x14ac:dyDescent="0.35">
      <c r="A344" s="124">
        <v>14</v>
      </c>
      <c r="B344" s="169">
        <f t="shared" si="24"/>
        <v>1</v>
      </c>
      <c r="C344" s="169"/>
      <c r="D344" s="169"/>
      <c r="E344" s="169"/>
      <c r="F344" s="169"/>
      <c r="G344" s="124">
        <f t="shared" si="25"/>
        <v>1</v>
      </c>
    </row>
    <row r="345" spans="1:7" x14ac:dyDescent="0.35">
      <c r="A345" s="124">
        <v>15</v>
      </c>
      <c r="B345" s="169">
        <f t="shared" si="24"/>
        <v>1</v>
      </c>
      <c r="C345" s="169"/>
      <c r="D345" s="169"/>
      <c r="E345" s="169"/>
      <c r="F345" s="169"/>
      <c r="G345" s="124">
        <f t="shared" si="25"/>
        <v>1</v>
      </c>
    </row>
    <row r="346" spans="1:7" x14ac:dyDescent="0.35">
      <c r="A346" s="124">
        <v>16</v>
      </c>
      <c r="B346" s="169">
        <f t="shared" si="24"/>
        <v>1</v>
      </c>
      <c r="C346" s="169"/>
      <c r="D346" s="169"/>
      <c r="E346" s="169"/>
      <c r="F346" s="169"/>
      <c r="G346" s="124">
        <f t="shared" si="25"/>
        <v>1</v>
      </c>
    </row>
    <row r="347" spans="1:7" x14ac:dyDescent="0.35">
      <c r="A347" s="124">
        <v>17</v>
      </c>
      <c r="B347" s="169">
        <f t="shared" si="24"/>
        <v>1</v>
      </c>
      <c r="C347" s="169"/>
      <c r="D347" s="169"/>
      <c r="E347" s="169"/>
      <c r="F347" s="169"/>
      <c r="G347" s="124">
        <f t="shared" si="25"/>
        <v>1</v>
      </c>
    </row>
    <row r="348" spans="1:7" x14ac:dyDescent="0.35">
      <c r="A348" s="124">
        <v>18</v>
      </c>
      <c r="B348" s="169">
        <f t="shared" si="24"/>
        <v>1</v>
      </c>
      <c r="C348" s="169"/>
      <c r="D348" s="169"/>
      <c r="E348" s="169"/>
      <c r="F348" s="169"/>
      <c r="G348" s="124">
        <f t="shared" si="25"/>
        <v>1</v>
      </c>
    </row>
    <row r="349" spans="1:7" x14ac:dyDescent="0.35">
      <c r="A349" s="124">
        <v>19</v>
      </c>
      <c r="B349" s="169">
        <f t="shared" si="24"/>
        <v>1</v>
      </c>
      <c r="C349" s="169"/>
      <c r="D349" s="169"/>
      <c r="E349" s="169"/>
      <c r="F349" s="169"/>
      <c r="G349" s="124">
        <f t="shared" si="25"/>
        <v>1</v>
      </c>
    </row>
    <row r="350" spans="1:7" x14ac:dyDescent="0.35">
      <c r="A350" s="124">
        <v>20</v>
      </c>
      <c r="B350" s="169">
        <f t="shared" si="24"/>
        <v>1</v>
      </c>
      <c r="C350" s="169"/>
      <c r="D350" s="169"/>
      <c r="E350" s="169"/>
      <c r="F350" s="169"/>
      <c r="G350" s="124">
        <f t="shared" si="25"/>
        <v>1</v>
      </c>
    </row>
    <row r="351" spans="1:7" x14ac:dyDescent="0.35">
      <c r="A351" s="124">
        <v>21</v>
      </c>
      <c r="B351" s="169">
        <f t="shared" si="24"/>
        <v>1</v>
      </c>
      <c r="C351" s="169"/>
      <c r="D351" s="169"/>
      <c r="E351" s="169"/>
      <c r="F351" s="169"/>
      <c r="G351" s="124">
        <f t="shared" si="25"/>
        <v>1</v>
      </c>
    </row>
    <row r="352" spans="1:7" x14ac:dyDescent="0.35">
      <c r="A352" s="124">
        <v>22</v>
      </c>
      <c r="B352" s="169">
        <f t="shared" si="24"/>
        <v>1</v>
      </c>
      <c r="C352" s="169"/>
      <c r="D352" s="169"/>
      <c r="E352" s="169"/>
      <c r="F352" s="169"/>
      <c r="G352" s="124">
        <f t="shared" si="25"/>
        <v>1</v>
      </c>
    </row>
    <row r="353" spans="1:7" x14ac:dyDescent="0.35">
      <c r="A353" s="124">
        <v>23</v>
      </c>
      <c r="B353" s="169">
        <f t="shared" si="24"/>
        <v>0</v>
      </c>
      <c r="C353" s="169"/>
      <c r="D353" s="169"/>
      <c r="E353" s="169"/>
      <c r="F353" s="169"/>
      <c r="G353" s="124">
        <f t="shared" si="25"/>
        <v>0</v>
      </c>
    </row>
    <row r="354" spans="1:7" x14ac:dyDescent="0.35">
      <c r="A354" s="124">
        <v>24</v>
      </c>
      <c r="B354" s="169">
        <f t="shared" si="24"/>
        <v>0</v>
      </c>
      <c r="C354" s="169"/>
      <c r="D354" s="169"/>
      <c r="E354" s="169"/>
      <c r="F354" s="169"/>
      <c r="G354" s="124">
        <f t="shared" si="25"/>
        <v>0</v>
      </c>
    </row>
    <row r="355" spans="1:7" x14ac:dyDescent="0.35">
      <c r="A355" s="124">
        <v>25</v>
      </c>
      <c r="B355" s="169">
        <f t="shared" si="24"/>
        <v>0</v>
      </c>
      <c r="C355" s="169"/>
      <c r="D355" s="169"/>
      <c r="E355" s="169"/>
      <c r="F355" s="169"/>
      <c r="G355" s="124">
        <f t="shared" si="25"/>
        <v>0</v>
      </c>
    </row>
    <row r="356" spans="1:7" x14ac:dyDescent="0.35">
      <c r="A356" s="124">
        <v>26</v>
      </c>
      <c r="B356" s="169">
        <f t="shared" si="24"/>
        <v>0</v>
      </c>
      <c r="C356" s="169"/>
      <c r="D356" s="169"/>
      <c r="E356" s="169"/>
      <c r="F356" s="169"/>
      <c r="G356" s="124">
        <f t="shared" si="25"/>
        <v>0</v>
      </c>
    </row>
    <row r="357" spans="1:7" x14ac:dyDescent="0.35">
      <c r="A357" s="124">
        <v>27</v>
      </c>
      <c r="B357" s="169">
        <f t="shared" si="24"/>
        <v>0</v>
      </c>
      <c r="C357" s="169"/>
      <c r="D357" s="169"/>
      <c r="E357" s="169"/>
      <c r="F357" s="169"/>
      <c r="G357" s="124">
        <f t="shared" si="25"/>
        <v>0</v>
      </c>
    </row>
    <row r="358" spans="1:7" x14ac:dyDescent="0.35">
      <c r="A358" s="124">
        <v>28</v>
      </c>
      <c r="B358" s="169">
        <f t="shared" si="24"/>
        <v>0</v>
      </c>
      <c r="C358" s="169"/>
      <c r="D358" s="169"/>
      <c r="E358" s="169"/>
      <c r="F358" s="169"/>
      <c r="G358" s="124">
        <f t="shared" si="25"/>
        <v>0</v>
      </c>
    </row>
    <row r="359" spans="1:7" x14ac:dyDescent="0.35">
      <c r="A359" s="124">
        <v>29</v>
      </c>
      <c r="B359" s="169">
        <f t="shared" si="24"/>
        <v>0</v>
      </c>
      <c r="C359" s="169"/>
      <c r="D359" s="169"/>
      <c r="E359" s="169"/>
      <c r="F359" s="169"/>
      <c r="G359" s="124">
        <f t="shared" si="25"/>
        <v>0</v>
      </c>
    </row>
    <row r="360" spans="1:7" x14ac:dyDescent="0.35">
      <c r="A360" s="124">
        <v>30</v>
      </c>
      <c r="B360" s="169">
        <f t="shared" si="24"/>
        <v>0</v>
      </c>
      <c r="C360" s="169"/>
      <c r="D360" s="169"/>
      <c r="E360" s="169"/>
      <c r="F360" s="169"/>
      <c r="G360" s="124">
        <f t="shared" si="25"/>
        <v>0</v>
      </c>
    </row>
    <row r="361" spans="1:7" x14ac:dyDescent="0.35">
      <c r="A361" s="124">
        <v>31</v>
      </c>
      <c r="B361" s="169">
        <f t="shared" si="24"/>
        <v>0</v>
      </c>
      <c r="C361" s="169"/>
      <c r="D361" s="169"/>
      <c r="E361" s="169"/>
      <c r="F361" s="169"/>
      <c r="G361" s="124">
        <f t="shared" si="25"/>
        <v>0</v>
      </c>
    </row>
    <row r="362" spans="1:7" x14ac:dyDescent="0.35">
      <c r="A362" s="124">
        <v>32</v>
      </c>
      <c r="B362" s="169">
        <f t="shared" si="24"/>
        <v>0</v>
      </c>
      <c r="C362" s="169"/>
      <c r="D362" s="169"/>
      <c r="E362" s="169"/>
      <c r="F362" s="169"/>
      <c r="G362" s="124">
        <f t="shared" si="25"/>
        <v>0</v>
      </c>
    </row>
    <row r="363" spans="1:7" x14ac:dyDescent="0.35">
      <c r="A363" s="124">
        <v>33</v>
      </c>
      <c r="B363" s="169">
        <f t="shared" si="24"/>
        <v>0</v>
      </c>
      <c r="C363" s="169"/>
      <c r="D363" s="169"/>
      <c r="E363" s="169"/>
      <c r="F363" s="169"/>
      <c r="G363" s="124">
        <f t="shared" si="25"/>
        <v>0</v>
      </c>
    </row>
    <row r="364" spans="1:7" x14ac:dyDescent="0.35">
      <c r="A364" s="124">
        <v>34</v>
      </c>
      <c r="B364" s="169">
        <f t="shared" si="24"/>
        <v>0</v>
      </c>
      <c r="C364" s="169"/>
      <c r="D364" s="169"/>
      <c r="E364" s="169"/>
      <c r="F364" s="169"/>
      <c r="G364" s="124">
        <f t="shared" si="25"/>
        <v>0</v>
      </c>
    </row>
    <row r="365" spans="1:7" x14ac:dyDescent="0.35">
      <c r="A365" s="124">
        <v>35</v>
      </c>
      <c r="B365" s="169">
        <f t="shared" si="24"/>
        <v>0</v>
      </c>
      <c r="C365" s="169"/>
      <c r="D365" s="169"/>
      <c r="E365" s="169"/>
      <c r="F365" s="169"/>
      <c r="G365" s="124">
        <f t="shared" si="25"/>
        <v>0</v>
      </c>
    </row>
    <row r="366" spans="1:7" x14ac:dyDescent="0.35">
      <c r="A366" s="124">
        <v>36</v>
      </c>
      <c r="B366" s="169">
        <f t="shared" si="24"/>
        <v>0</v>
      </c>
      <c r="C366" s="169"/>
      <c r="D366" s="169"/>
      <c r="E366" s="169"/>
      <c r="F366" s="169"/>
      <c r="G366" s="124">
        <f t="shared" si="25"/>
        <v>0</v>
      </c>
    </row>
    <row r="367" spans="1:7" x14ac:dyDescent="0.35">
      <c r="A367" s="124">
        <v>37</v>
      </c>
      <c r="B367" s="169">
        <f t="shared" si="24"/>
        <v>0</v>
      </c>
      <c r="C367" s="169"/>
      <c r="D367" s="169"/>
      <c r="E367" s="169"/>
      <c r="F367" s="169"/>
      <c r="G367" s="124">
        <f t="shared" si="25"/>
        <v>0</v>
      </c>
    </row>
    <row r="368" spans="1:7" x14ac:dyDescent="0.35">
      <c r="A368" s="124">
        <v>38</v>
      </c>
      <c r="B368" s="169">
        <f t="shared" si="24"/>
        <v>0</v>
      </c>
      <c r="C368" s="169"/>
      <c r="D368" s="169"/>
      <c r="E368" s="169"/>
      <c r="F368" s="169"/>
      <c r="G368" s="124">
        <f t="shared" si="25"/>
        <v>0</v>
      </c>
    </row>
    <row r="369" spans="1:7" x14ac:dyDescent="0.35">
      <c r="A369" s="124">
        <v>39</v>
      </c>
      <c r="B369" s="169">
        <f t="shared" si="24"/>
        <v>0</v>
      </c>
      <c r="C369" s="169"/>
      <c r="D369" s="169"/>
      <c r="E369" s="169"/>
      <c r="F369" s="169"/>
      <c r="G369" s="124">
        <f t="shared" si="25"/>
        <v>0</v>
      </c>
    </row>
    <row r="370" spans="1:7" x14ac:dyDescent="0.35">
      <c r="A370" s="124">
        <v>40</v>
      </c>
      <c r="B370" s="169">
        <f t="shared" si="24"/>
        <v>0</v>
      </c>
      <c r="C370" s="169"/>
      <c r="D370" s="169"/>
      <c r="E370" s="169"/>
      <c r="F370" s="169"/>
      <c r="G370" s="124">
        <f t="shared" si="25"/>
        <v>0</v>
      </c>
    </row>
    <row r="371" spans="1:7" x14ac:dyDescent="0.35">
      <c r="A371" s="124">
        <v>41</v>
      </c>
      <c r="B371" s="169">
        <f t="shared" si="24"/>
        <v>0</v>
      </c>
      <c r="C371" s="169"/>
      <c r="D371" s="169"/>
      <c r="E371" s="169"/>
      <c r="F371" s="169"/>
      <c r="G371" s="124">
        <f t="shared" si="25"/>
        <v>0</v>
      </c>
    </row>
    <row r="372" spans="1:7" x14ac:dyDescent="0.35">
      <c r="A372" s="124">
        <v>42</v>
      </c>
      <c r="B372" s="169">
        <f t="shared" si="24"/>
        <v>0</v>
      </c>
      <c r="C372" s="169"/>
      <c r="D372" s="169"/>
      <c r="E372" s="169"/>
      <c r="F372" s="169"/>
      <c r="G372" s="124">
        <f t="shared" si="25"/>
        <v>0</v>
      </c>
    </row>
    <row r="373" spans="1:7" x14ac:dyDescent="0.35">
      <c r="A373" s="124">
        <v>43</v>
      </c>
      <c r="B373" s="169">
        <f t="shared" si="24"/>
        <v>0</v>
      </c>
      <c r="C373" s="169"/>
      <c r="D373" s="169"/>
      <c r="E373" s="169"/>
      <c r="F373" s="169"/>
      <c r="G373" s="124">
        <f t="shared" si="25"/>
        <v>0</v>
      </c>
    </row>
    <row r="374" spans="1:7" x14ac:dyDescent="0.35">
      <c r="A374" s="124">
        <v>44</v>
      </c>
      <c r="B374" s="169">
        <f t="shared" si="24"/>
        <v>0</v>
      </c>
      <c r="C374" s="169"/>
      <c r="D374" s="169"/>
      <c r="E374" s="169"/>
      <c r="F374" s="169"/>
      <c r="G374" s="124">
        <f t="shared" si="25"/>
        <v>0</v>
      </c>
    </row>
    <row r="375" spans="1:7" x14ac:dyDescent="0.35">
      <c r="A375" s="124">
        <v>45</v>
      </c>
      <c r="B375" s="169">
        <f t="shared" si="24"/>
        <v>0</v>
      </c>
      <c r="C375" s="169"/>
      <c r="D375" s="169"/>
      <c r="E375" s="169"/>
      <c r="F375" s="169"/>
      <c r="G375" s="124">
        <f t="shared" si="25"/>
        <v>0</v>
      </c>
    </row>
    <row r="376" spans="1:7" x14ac:dyDescent="0.35">
      <c r="A376" s="124">
        <v>46</v>
      </c>
      <c r="B376" s="169">
        <f t="shared" si="24"/>
        <v>0</v>
      </c>
      <c r="C376" s="169"/>
      <c r="D376" s="169"/>
      <c r="E376" s="169"/>
      <c r="F376" s="169"/>
      <c r="G376" s="124">
        <f t="shared" si="25"/>
        <v>0</v>
      </c>
    </row>
    <row r="377" spans="1:7" x14ac:dyDescent="0.35">
      <c r="A377" s="124">
        <v>47</v>
      </c>
      <c r="B377" s="169">
        <f t="shared" si="24"/>
        <v>0</v>
      </c>
      <c r="C377" s="169"/>
      <c r="D377" s="169"/>
      <c r="E377" s="169"/>
      <c r="F377" s="169"/>
      <c r="G377" s="124">
        <f t="shared" si="25"/>
        <v>0</v>
      </c>
    </row>
    <row r="378" spans="1:7" x14ac:dyDescent="0.35">
      <c r="A378" s="124">
        <v>48</v>
      </c>
      <c r="B378" s="169">
        <f t="shared" si="24"/>
        <v>0</v>
      </c>
      <c r="C378" s="169"/>
      <c r="D378" s="169"/>
      <c r="E378" s="169"/>
      <c r="F378" s="169"/>
      <c r="G378" s="124">
        <f t="shared" si="25"/>
        <v>0</v>
      </c>
    </row>
    <row r="379" spans="1:7" x14ac:dyDescent="0.35">
      <c r="A379" s="124">
        <v>49</v>
      </c>
      <c r="B379" s="169">
        <f t="shared" si="24"/>
        <v>0</v>
      </c>
      <c r="C379" s="169"/>
      <c r="D379" s="169"/>
      <c r="E379" s="169"/>
      <c r="F379" s="169"/>
      <c r="G379" s="124">
        <f t="shared" si="25"/>
        <v>0</v>
      </c>
    </row>
    <row r="380" spans="1:7" x14ac:dyDescent="0.35">
      <c r="A380" s="124">
        <v>50</v>
      </c>
      <c r="B380" s="169">
        <f t="shared" si="24"/>
        <v>0</v>
      </c>
      <c r="C380" s="169"/>
      <c r="D380" s="169"/>
      <c r="E380" s="169"/>
      <c r="F380" s="169"/>
      <c r="G380" s="124">
        <f t="shared" si="25"/>
        <v>0</v>
      </c>
    </row>
    <row r="381" spans="1:7" x14ac:dyDescent="0.35">
      <c r="A381" s="124">
        <v>51</v>
      </c>
      <c r="B381" s="169">
        <f t="shared" si="24"/>
        <v>0</v>
      </c>
      <c r="C381" s="169"/>
      <c r="D381" s="169"/>
      <c r="E381" s="169"/>
      <c r="F381" s="169"/>
      <c r="G381" s="124">
        <f t="shared" si="25"/>
        <v>0</v>
      </c>
    </row>
    <row r="382" spans="1:7" x14ac:dyDescent="0.35">
      <c r="A382" s="124">
        <v>52</v>
      </c>
      <c r="B382" s="169">
        <f t="shared" si="24"/>
        <v>0</v>
      </c>
      <c r="C382" s="169"/>
      <c r="D382" s="169"/>
      <c r="E382" s="169"/>
      <c r="F382" s="169"/>
      <c r="G382" s="124">
        <f t="shared" si="25"/>
        <v>0</v>
      </c>
    </row>
    <row r="383" spans="1:7" x14ac:dyDescent="0.35">
      <c r="A383" s="124">
        <v>53</v>
      </c>
      <c r="B383" s="169">
        <f t="shared" si="24"/>
        <v>0</v>
      </c>
      <c r="C383" s="169"/>
      <c r="D383" s="169"/>
      <c r="E383" s="169"/>
      <c r="F383" s="169"/>
      <c r="G383" s="124">
        <f t="shared" si="25"/>
        <v>0</v>
      </c>
    </row>
    <row r="384" spans="1:7" x14ac:dyDescent="0.35">
      <c r="A384" s="124">
        <v>54</v>
      </c>
      <c r="B384" s="169">
        <f t="shared" si="24"/>
        <v>0</v>
      </c>
      <c r="C384" s="169"/>
      <c r="D384" s="169"/>
      <c r="E384" s="169"/>
      <c r="F384" s="169"/>
      <c r="G384" s="124">
        <f t="shared" si="25"/>
        <v>0</v>
      </c>
    </row>
    <row r="385" spans="1:7" x14ac:dyDescent="0.35">
      <c r="A385" s="124">
        <v>55</v>
      </c>
      <c r="B385" s="169">
        <f t="shared" si="24"/>
        <v>0</v>
      </c>
      <c r="C385" s="169"/>
      <c r="D385" s="169"/>
      <c r="E385" s="169"/>
      <c r="F385" s="169"/>
      <c r="G385" s="124">
        <f t="shared" si="25"/>
        <v>0</v>
      </c>
    </row>
    <row r="386" spans="1:7" x14ac:dyDescent="0.35">
      <c r="A386" s="124">
        <v>56</v>
      </c>
      <c r="B386" s="169">
        <f t="shared" si="24"/>
        <v>0</v>
      </c>
      <c r="C386" s="169"/>
      <c r="D386" s="169"/>
      <c r="E386" s="169"/>
      <c r="F386" s="169"/>
      <c r="G386" s="124">
        <f t="shared" si="25"/>
        <v>0</v>
      </c>
    </row>
    <row r="387" spans="1:7" x14ac:dyDescent="0.35">
      <c r="A387" s="124">
        <v>57</v>
      </c>
      <c r="B387" s="169">
        <f t="shared" si="24"/>
        <v>0</v>
      </c>
      <c r="C387" s="169"/>
      <c r="D387" s="169"/>
      <c r="E387" s="169"/>
      <c r="F387" s="169"/>
      <c r="G387" s="124">
        <f t="shared" si="25"/>
        <v>0</v>
      </c>
    </row>
    <row r="388" spans="1:7" x14ac:dyDescent="0.35">
      <c r="A388" s="124">
        <v>58</v>
      </c>
      <c r="B388" s="169">
        <f t="shared" si="24"/>
        <v>0</v>
      </c>
      <c r="C388" s="169"/>
      <c r="D388" s="169"/>
      <c r="E388" s="169"/>
      <c r="F388" s="169"/>
      <c r="G388" s="124">
        <f t="shared" si="25"/>
        <v>0</v>
      </c>
    </row>
    <row r="389" spans="1:7" x14ac:dyDescent="0.35">
      <c r="A389" s="124">
        <v>59</v>
      </c>
      <c r="B389" s="169">
        <f t="shared" si="24"/>
        <v>0</v>
      </c>
      <c r="C389" s="169"/>
      <c r="D389" s="169"/>
      <c r="E389" s="169"/>
      <c r="F389" s="169"/>
      <c r="G389" s="124">
        <f t="shared" si="25"/>
        <v>0</v>
      </c>
    </row>
    <row r="390" spans="1:7" x14ac:dyDescent="0.35">
      <c r="A390" s="124">
        <v>60</v>
      </c>
      <c r="B390" s="169">
        <f t="shared" si="24"/>
        <v>0</v>
      </c>
      <c r="C390" s="169"/>
      <c r="D390" s="169"/>
      <c r="E390" s="169"/>
      <c r="F390" s="169"/>
      <c r="G390" s="124">
        <f t="shared" si="25"/>
        <v>0</v>
      </c>
    </row>
    <row r="391" spans="1:7" x14ac:dyDescent="0.35">
      <c r="A391" s="124">
        <v>61</v>
      </c>
      <c r="B391" s="169">
        <f t="shared" si="24"/>
        <v>0</v>
      </c>
      <c r="C391" s="169"/>
      <c r="D391" s="169"/>
      <c r="E391" s="169"/>
      <c r="F391" s="169"/>
      <c r="G391" s="124">
        <f t="shared" si="25"/>
        <v>0</v>
      </c>
    </row>
    <row r="392" spans="1:7" x14ac:dyDescent="0.35">
      <c r="A392" s="124">
        <v>62</v>
      </c>
      <c r="B392" s="169">
        <f t="shared" si="24"/>
        <v>0</v>
      </c>
      <c r="C392" s="169"/>
      <c r="D392" s="169"/>
      <c r="E392" s="169"/>
      <c r="F392" s="169"/>
      <c r="G392" s="124">
        <f t="shared" si="25"/>
        <v>0</v>
      </c>
    </row>
    <row r="393" spans="1:7" x14ac:dyDescent="0.35">
      <c r="A393" s="124">
        <v>63</v>
      </c>
      <c r="B393" s="169">
        <f t="shared" si="24"/>
        <v>0</v>
      </c>
      <c r="C393" s="169"/>
      <c r="D393" s="169"/>
      <c r="E393" s="169"/>
      <c r="F393" s="169"/>
      <c r="G393" s="124">
        <f t="shared" si="25"/>
        <v>0</v>
      </c>
    </row>
    <row r="394" spans="1:7" x14ac:dyDescent="0.35">
      <c r="A394" s="124">
        <v>64</v>
      </c>
      <c r="B394" s="169">
        <f t="shared" si="24"/>
        <v>0</v>
      </c>
      <c r="C394" s="169"/>
      <c r="D394" s="169"/>
      <c r="E394" s="169"/>
      <c r="F394" s="169"/>
      <c r="G394" s="124">
        <f t="shared" si="25"/>
        <v>0</v>
      </c>
    </row>
    <row r="395" spans="1:7" x14ac:dyDescent="0.35">
      <c r="A395" s="124">
        <v>65</v>
      </c>
      <c r="B395" s="169">
        <f t="shared" si="24"/>
        <v>0</v>
      </c>
      <c r="C395" s="169"/>
      <c r="D395" s="169"/>
      <c r="E395" s="169"/>
      <c r="F395" s="169"/>
      <c r="G395" s="124">
        <f t="shared" si="25"/>
        <v>0</v>
      </c>
    </row>
    <row r="396" spans="1:7" x14ac:dyDescent="0.35">
      <c r="A396" s="124">
        <v>66</v>
      </c>
      <c r="B396" s="169">
        <f t="shared" ref="B396:B459" si="26">IF(B224&gt;0,1,0)</f>
        <v>0</v>
      </c>
      <c r="C396" s="169"/>
      <c r="D396" s="169"/>
      <c r="E396" s="169"/>
      <c r="F396" s="169"/>
      <c r="G396" s="124">
        <f t="shared" ref="G396:G459" si="27">IF(G224&gt;0,1,0)</f>
        <v>0</v>
      </c>
    </row>
    <row r="397" spans="1:7" x14ac:dyDescent="0.35">
      <c r="A397" s="124">
        <v>67</v>
      </c>
      <c r="B397" s="169">
        <f t="shared" si="26"/>
        <v>0</v>
      </c>
      <c r="C397" s="169"/>
      <c r="D397" s="169"/>
      <c r="E397" s="169"/>
      <c r="F397" s="169"/>
      <c r="G397" s="124">
        <f t="shared" si="27"/>
        <v>0</v>
      </c>
    </row>
    <row r="398" spans="1:7" x14ac:dyDescent="0.35">
      <c r="A398" s="124">
        <v>68</v>
      </c>
      <c r="B398" s="169">
        <f t="shared" si="26"/>
        <v>0</v>
      </c>
      <c r="C398" s="169"/>
      <c r="D398" s="169"/>
      <c r="E398" s="169"/>
      <c r="F398" s="169"/>
      <c r="G398" s="124">
        <f t="shared" si="27"/>
        <v>0</v>
      </c>
    </row>
    <row r="399" spans="1:7" x14ac:dyDescent="0.35">
      <c r="A399" s="124">
        <v>69</v>
      </c>
      <c r="B399" s="169">
        <f t="shared" si="26"/>
        <v>0</v>
      </c>
      <c r="C399" s="169"/>
      <c r="D399" s="169"/>
      <c r="E399" s="169"/>
      <c r="F399" s="169"/>
      <c r="G399" s="124">
        <f t="shared" si="27"/>
        <v>0</v>
      </c>
    </row>
    <row r="400" spans="1:7" x14ac:dyDescent="0.35">
      <c r="A400" s="124">
        <v>70</v>
      </c>
      <c r="B400" s="169">
        <f t="shared" si="26"/>
        <v>0</v>
      </c>
      <c r="C400" s="169"/>
      <c r="D400" s="169"/>
      <c r="E400" s="169"/>
      <c r="F400" s="169"/>
      <c r="G400" s="124">
        <f t="shared" si="27"/>
        <v>0</v>
      </c>
    </row>
    <row r="401" spans="1:7" x14ac:dyDescent="0.35">
      <c r="A401" s="124">
        <v>71</v>
      </c>
      <c r="B401" s="169">
        <f t="shared" si="26"/>
        <v>0</v>
      </c>
      <c r="C401" s="169"/>
      <c r="D401" s="169"/>
      <c r="E401" s="169"/>
      <c r="F401" s="169"/>
      <c r="G401" s="124">
        <f t="shared" si="27"/>
        <v>0</v>
      </c>
    </row>
    <row r="402" spans="1:7" x14ac:dyDescent="0.35">
      <c r="A402" s="124">
        <v>72</v>
      </c>
      <c r="B402" s="169">
        <f t="shared" si="26"/>
        <v>0</v>
      </c>
      <c r="C402" s="169"/>
      <c r="D402" s="169"/>
      <c r="E402" s="169"/>
      <c r="F402" s="169"/>
      <c r="G402" s="124">
        <f t="shared" si="27"/>
        <v>0</v>
      </c>
    </row>
    <row r="403" spans="1:7" x14ac:dyDescent="0.35">
      <c r="A403" s="124">
        <v>73</v>
      </c>
      <c r="B403" s="169">
        <f t="shared" si="26"/>
        <v>0</v>
      </c>
      <c r="C403" s="169"/>
      <c r="D403" s="169"/>
      <c r="E403" s="169"/>
      <c r="F403" s="169"/>
      <c r="G403" s="124">
        <f t="shared" si="27"/>
        <v>0</v>
      </c>
    </row>
    <row r="404" spans="1:7" x14ac:dyDescent="0.35">
      <c r="A404" s="124">
        <v>74</v>
      </c>
      <c r="B404" s="169">
        <f t="shared" si="26"/>
        <v>0</v>
      </c>
      <c r="C404" s="169"/>
      <c r="D404" s="169"/>
      <c r="E404" s="169"/>
      <c r="F404" s="169"/>
      <c r="G404" s="124">
        <f t="shared" si="27"/>
        <v>0</v>
      </c>
    </row>
    <row r="405" spans="1:7" x14ac:dyDescent="0.35">
      <c r="A405" s="124">
        <v>75</v>
      </c>
      <c r="B405" s="169">
        <f t="shared" si="26"/>
        <v>0</v>
      </c>
      <c r="C405" s="169"/>
      <c r="D405" s="169"/>
      <c r="E405" s="169"/>
      <c r="F405" s="169"/>
      <c r="G405" s="124">
        <f t="shared" si="27"/>
        <v>0</v>
      </c>
    </row>
    <row r="406" spans="1:7" x14ac:dyDescent="0.35">
      <c r="A406" s="124">
        <v>76</v>
      </c>
      <c r="B406" s="169">
        <f t="shared" si="26"/>
        <v>0</v>
      </c>
      <c r="C406" s="169"/>
      <c r="D406" s="169"/>
      <c r="E406" s="169"/>
      <c r="F406" s="169"/>
      <c r="G406" s="124">
        <f t="shared" si="27"/>
        <v>0</v>
      </c>
    </row>
    <row r="407" spans="1:7" x14ac:dyDescent="0.35">
      <c r="A407" s="124">
        <v>77</v>
      </c>
      <c r="B407" s="169">
        <f t="shared" si="26"/>
        <v>0</v>
      </c>
      <c r="C407" s="169"/>
      <c r="D407" s="169"/>
      <c r="E407" s="169"/>
      <c r="F407" s="169"/>
      <c r="G407" s="124">
        <f t="shared" si="27"/>
        <v>0</v>
      </c>
    </row>
    <row r="408" spans="1:7" x14ac:dyDescent="0.35">
      <c r="A408" s="124">
        <v>78</v>
      </c>
      <c r="B408" s="169">
        <f t="shared" si="26"/>
        <v>0</v>
      </c>
      <c r="C408" s="169"/>
      <c r="D408" s="169"/>
      <c r="E408" s="169"/>
      <c r="F408" s="169"/>
      <c r="G408" s="124">
        <f t="shared" si="27"/>
        <v>0</v>
      </c>
    </row>
    <row r="409" spans="1:7" x14ac:dyDescent="0.35">
      <c r="A409" s="124">
        <v>79</v>
      </c>
      <c r="B409" s="169">
        <f t="shared" si="26"/>
        <v>0</v>
      </c>
      <c r="C409" s="169"/>
      <c r="D409" s="169"/>
      <c r="E409" s="169"/>
      <c r="F409" s="169"/>
      <c r="G409" s="124">
        <f t="shared" si="27"/>
        <v>0</v>
      </c>
    </row>
    <row r="410" spans="1:7" x14ac:dyDescent="0.35">
      <c r="A410" s="124">
        <v>80</v>
      </c>
      <c r="B410" s="169">
        <f t="shared" si="26"/>
        <v>0</v>
      </c>
      <c r="C410" s="169"/>
      <c r="D410" s="169"/>
      <c r="E410" s="169"/>
      <c r="F410" s="169"/>
      <c r="G410" s="124">
        <f t="shared" si="27"/>
        <v>0</v>
      </c>
    </row>
    <row r="411" spans="1:7" x14ac:dyDescent="0.35">
      <c r="A411" s="124">
        <v>81</v>
      </c>
      <c r="B411" s="169">
        <f t="shared" si="26"/>
        <v>0</v>
      </c>
      <c r="C411" s="169"/>
      <c r="D411" s="169"/>
      <c r="E411" s="169"/>
      <c r="F411" s="169"/>
      <c r="G411" s="124">
        <f t="shared" si="27"/>
        <v>0</v>
      </c>
    </row>
    <row r="412" spans="1:7" x14ac:dyDescent="0.35">
      <c r="A412" s="124">
        <v>82</v>
      </c>
      <c r="B412" s="169">
        <f t="shared" si="26"/>
        <v>0</v>
      </c>
      <c r="C412" s="169"/>
      <c r="D412" s="169"/>
      <c r="E412" s="169"/>
      <c r="F412" s="169"/>
      <c r="G412" s="124">
        <f t="shared" si="27"/>
        <v>0</v>
      </c>
    </row>
    <row r="413" spans="1:7" x14ac:dyDescent="0.35">
      <c r="A413" s="124">
        <v>83</v>
      </c>
      <c r="B413" s="169">
        <f t="shared" si="26"/>
        <v>0</v>
      </c>
      <c r="C413" s="169"/>
      <c r="D413" s="169"/>
      <c r="E413" s="169"/>
      <c r="F413" s="169"/>
      <c r="G413" s="124">
        <f t="shared" si="27"/>
        <v>0</v>
      </c>
    </row>
    <row r="414" spans="1:7" x14ac:dyDescent="0.35">
      <c r="A414" s="124">
        <v>84</v>
      </c>
      <c r="B414" s="169">
        <f t="shared" si="26"/>
        <v>0</v>
      </c>
      <c r="C414" s="169"/>
      <c r="D414" s="169"/>
      <c r="E414" s="169"/>
      <c r="F414" s="169"/>
      <c r="G414" s="124">
        <f t="shared" si="27"/>
        <v>0</v>
      </c>
    </row>
    <row r="415" spans="1:7" x14ac:dyDescent="0.35">
      <c r="A415" s="124">
        <v>85</v>
      </c>
      <c r="B415" s="169">
        <f t="shared" si="26"/>
        <v>0</v>
      </c>
      <c r="C415" s="169"/>
      <c r="D415" s="169"/>
      <c r="E415" s="169"/>
      <c r="F415" s="169"/>
      <c r="G415" s="124">
        <f t="shared" si="27"/>
        <v>0</v>
      </c>
    </row>
    <row r="416" spans="1:7" x14ac:dyDescent="0.35">
      <c r="A416" s="124">
        <v>86</v>
      </c>
      <c r="B416" s="169">
        <f t="shared" si="26"/>
        <v>0</v>
      </c>
      <c r="C416" s="169"/>
      <c r="D416" s="169"/>
      <c r="E416" s="169"/>
      <c r="F416" s="169"/>
      <c r="G416" s="124">
        <f t="shared" si="27"/>
        <v>0</v>
      </c>
    </row>
    <row r="417" spans="1:7" x14ac:dyDescent="0.35">
      <c r="A417" s="124">
        <v>87</v>
      </c>
      <c r="B417" s="169">
        <f t="shared" si="26"/>
        <v>0</v>
      </c>
      <c r="C417" s="169"/>
      <c r="D417" s="169"/>
      <c r="E417" s="169"/>
      <c r="F417" s="169"/>
      <c r="G417" s="124">
        <f t="shared" si="27"/>
        <v>0</v>
      </c>
    </row>
    <row r="418" spans="1:7" x14ac:dyDescent="0.35">
      <c r="A418" s="124">
        <v>88</v>
      </c>
      <c r="B418" s="169">
        <f t="shared" si="26"/>
        <v>0</v>
      </c>
      <c r="C418" s="169"/>
      <c r="D418" s="169"/>
      <c r="E418" s="169"/>
      <c r="F418" s="169"/>
      <c r="G418" s="124">
        <f t="shared" si="27"/>
        <v>0</v>
      </c>
    </row>
    <row r="419" spans="1:7" x14ac:dyDescent="0.35">
      <c r="A419" s="124">
        <v>89</v>
      </c>
      <c r="B419" s="169">
        <f t="shared" si="26"/>
        <v>0</v>
      </c>
      <c r="C419" s="169"/>
      <c r="D419" s="169"/>
      <c r="E419" s="169"/>
      <c r="F419" s="169"/>
      <c r="G419" s="124">
        <f t="shared" si="27"/>
        <v>0</v>
      </c>
    </row>
    <row r="420" spans="1:7" x14ac:dyDescent="0.35">
      <c r="A420" s="124">
        <v>90</v>
      </c>
      <c r="B420" s="169">
        <f t="shared" si="26"/>
        <v>0</v>
      </c>
      <c r="C420" s="169"/>
      <c r="D420" s="169"/>
      <c r="E420" s="169"/>
      <c r="F420" s="169"/>
      <c r="G420" s="124">
        <f t="shared" si="27"/>
        <v>0</v>
      </c>
    </row>
    <row r="421" spans="1:7" x14ac:dyDescent="0.35">
      <c r="A421" s="124">
        <v>91</v>
      </c>
      <c r="B421" s="169">
        <f t="shared" si="26"/>
        <v>0</v>
      </c>
      <c r="C421" s="169"/>
      <c r="D421" s="169"/>
      <c r="E421" s="169"/>
      <c r="F421" s="169"/>
      <c r="G421" s="124">
        <f t="shared" si="27"/>
        <v>0</v>
      </c>
    </row>
    <row r="422" spans="1:7" x14ac:dyDescent="0.35">
      <c r="A422" s="124">
        <v>92</v>
      </c>
      <c r="B422" s="169">
        <f t="shared" si="26"/>
        <v>0</v>
      </c>
      <c r="C422" s="169"/>
      <c r="D422" s="169"/>
      <c r="E422" s="169"/>
      <c r="F422" s="169"/>
      <c r="G422" s="124">
        <f t="shared" si="27"/>
        <v>0</v>
      </c>
    </row>
    <row r="423" spans="1:7" x14ac:dyDescent="0.35">
      <c r="A423" s="124">
        <v>93</v>
      </c>
      <c r="B423" s="169">
        <f t="shared" si="26"/>
        <v>0</v>
      </c>
      <c r="C423" s="169"/>
      <c r="D423" s="169"/>
      <c r="E423" s="169"/>
      <c r="F423" s="169"/>
      <c r="G423" s="124">
        <f t="shared" si="27"/>
        <v>0</v>
      </c>
    </row>
    <row r="424" spans="1:7" x14ac:dyDescent="0.35">
      <c r="A424" s="124">
        <v>94</v>
      </c>
      <c r="B424" s="169">
        <f t="shared" si="26"/>
        <v>0</v>
      </c>
      <c r="C424" s="169"/>
      <c r="D424" s="169"/>
      <c r="E424" s="169"/>
      <c r="F424" s="169"/>
      <c r="G424" s="124">
        <f t="shared" si="27"/>
        <v>0</v>
      </c>
    </row>
    <row r="425" spans="1:7" x14ac:dyDescent="0.35">
      <c r="A425" s="124">
        <v>95</v>
      </c>
      <c r="B425" s="169">
        <f t="shared" si="26"/>
        <v>0</v>
      </c>
      <c r="C425" s="169"/>
      <c r="D425" s="169"/>
      <c r="E425" s="169"/>
      <c r="F425" s="169"/>
      <c r="G425" s="124">
        <f t="shared" si="27"/>
        <v>0</v>
      </c>
    </row>
    <row r="426" spans="1:7" x14ac:dyDescent="0.35">
      <c r="A426" s="124">
        <v>96</v>
      </c>
      <c r="B426" s="169">
        <f t="shared" si="26"/>
        <v>0</v>
      </c>
      <c r="C426" s="169"/>
      <c r="D426" s="169"/>
      <c r="E426" s="169"/>
      <c r="F426" s="169"/>
      <c r="G426" s="124">
        <f t="shared" si="27"/>
        <v>0</v>
      </c>
    </row>
    <row r="427" spans="1:7" x14ac:dyDescent="0.35">
      <c r="A427" s="124">
        <v>97</v>
      </c>
      <c r="B427" s="169">
        <f t="shared" si="26"/>
        <v>0</v>
      </c>
      <c r="C427" s="169"/>
      <c r="D427" s="169"/>
      <c r="E427" s="169"/>
      <c r="F427" s="169"/>
      <c r="G427" s="124">
        <f t="shared" si="27"/>
        <v>0</v>
      </c>
    </row>
    <row r="428" spans="1:7" x14ac:dyDescent="0.35">
      <c r="A428" s="124">
        <v>98</v>
      </c>
      <c r="B428" s="169">
        <f t="shared" si="26"/>
        <v>0</v>
      </c>
      <c r="C428" s="169"/>
      <c r="D428" s="169"/>
      <c r="E428" s="169"/>
      <c r="F428" s="169"/>
      <c r="G428" s="124">
        <f t="shared" si="27"/>
        <v>0</v>
      </c>
    </row>
    <row r="429" spans="1:7" x14ac:dyDescent="0.35">
      <c r="A429" s="124">
        <v>99</v>
      </c>
      <c r="B429" s="169">
        <f t="shared" si="26"/>
        <v>0</v>
      </c>
      <c r="C429" s="169"/>
      <c r="D429" s="169"/>
      <c r="E429" s="169"/>
      <c r="F429" s="169"/>
      <c r="G429" s="124">
        <f t="shared" si="27"/>
        <v>0</v>
      </c>
    </row>
    <row r="430" spans="1:7" x14ac:dyDescent="0.35">
      <c r="A430" s="124">
        <v>100</v>
      </c>
      <c r="B430" s="169">
        <f t="shared" si="26"/>
        <v>0</v>
      </c>
      <c r="C430" s="169"/>
      <c r="D430" s="169"/>
      <c r="E430" s="169"/>
      <c r="F430" s="169"/>
      <c r="G430" s="124">
        <f t="shared" si="27"/>
        <v>0</v>
      </c>
    </row>
    <row r="431" spans="1:7" x14ac:dyDescent="0.35">
      <c r="A431" s="124">
        <v>101</v>
      </c>
      <c r="B431" s="169">
        <f t="shared" si="26"/>
        <v>0</v>
      </c>
      <c r="C431" s="169"/>
      <c r="D431" s="169"/>
      <c r="E431" s="169"/>
      <c r="F431" s="169"/>
      <c r="G431" s="124">
        <f t="shared" si="27"/>
        <v>0</v>
      </c>
    </row>
    <row r="432" spans="1:7" x14ac:dyDescent="0.35">
      <c r="A432" s="124">
        <v>102</v>
      </c>
      <c r="B432" s="169">
        <f t="shared" si="26"/>
        <v>0</v>
      </c>
      <c r="C432" s="169"/>
      <c r="D432" s="169"/>
      <c r="E432" s="169"/>
      <c r="F432" s="169"/>
      <c r="G432" s="124">
        <f t="shared" si="27"/>
        <v>0</v>
      </c>
    </row>
    <row r="433" spans="1:7" x14ac:dyDescent="0.35">
      <c r="A433" s="124">
        <v>103</v>
      </c>
      <c r="B433" s="169">
        <f t="shared" si="26"/>
        <v>0</v>
      </c>
      <c r="C433" s="169"/>
      <c r="D433" s="169"/>
      <c r="E433" s="169"/>
      <c r="F433" s="169"/>
      <c r="G433" s="124">
        <f t="shared" si="27"/>
        <v>0</v>
      </c>
    </row>
    <row r="434" spans="1:7" x14ac:dyDescent="0.35">
      <c r="A434" s="124">
        <v>104</v>
      </c>
      <c r="B434" s="169">
        <f t="shared" si="26"/>
        <v>0</v>
      </c>
      <c r="C434" s="169"/>
      <c r="D434" s="169"/>
      <c r="E434" s="169"/>
      <c r="F434" s="169"/>
      <c r="G434" s="124">
        <f t="shared" si="27"/>
        <v>0</v>
      </c>
    </row>
    <row r="435" spans="1:7" x14ac:dyDescent="0.35">
      <c r="A435" s="124">
        <v>105</v>
      </c>
      <c r="B435" s="169">
        <f t="shared" si="26"/>
        <v>0</v>
      </c>
      <c r="C435" s="169"/>
      <c r="D435" s="169"/>
      <c r="E435" s="169"/>
      <c r="F435" s="169"/>
      <c r="G435" s="124">
        <f t="shared" si="27"/>
        <v>0</v>
      </c>
    </row>
    <row r="436" spans="1:7" x14ac:dyDescent="0.35">
      <c r="A436" s="124">
        <v>106</v>
      </c>
      <c r="B436" s="169">
        <f t="shared" si="26"/>
        <v>0</v>
      </c>
      <c r="C436" s="169"/>
      <c r="D436" s="169"/>
      <c r="E436" s="169"/>
      <c r="F436" s="169"/>
      <c r="G436" s="124">
        <f t="shared" si="27"/>
        <v>0</v>
      </c>
    </row>
    <row r="437" spans="1:7" x14ac:dyDescent="0.35">
      <c r="A437" s="124">
        <v>107</v>
      </c>
      <c r="B437" s="169">
        <f t="shared" si="26"/>
        <v>0</v>
      </c>
      <c r="C437" s="169"/>
      <c r="D437" s="169"/>
      <c r="E437" s="169"/>
      <c r="F437" s="169"/>
      <c r="G437" s="124">
        <f t="shared" si="27"/>
        <v>0</v>
      </c>
    </row>
    <row r="438" spans="1:7" x14ac:dyDescent="0.35">
      <c r="A438" s="124">
        <v>108</v>
      </c>
      <c r="B438" s="169">
        <f t="shared" si="26"/>
        <v>0</v>
      </c>
      <c r="C438" s="169"/>
      <c r="D438" s="169"/>
      <c r="E438" s="169"/>
      <c r="F438" s="169"/>
      <c r="G438" s="124">
        <f t="shared" si="27"/>
        <v>0</v>
      </c>
    </row>
    <row r="439" spans="1:7" x14ac:dyDescent="0.35">
      <c r="A439" s="124">
        <v>109</v>
      </c>
      <c r="B439" s="169">
        <f t="shared" si="26"/>
        <v>0</v>
      </c>
      <c r="C439" s="169"/>
      <c r="D439" s="169"/>
      <c r="E439" s="169"/>
      <c r="F439" s="169"/>
      <c r="G439" s="124">
        <f t="shared" si="27"/>
        <v>0</v>
      </c>
    </row>
    <row r="440" spans="1:7" x14ac:dyDescent="0.35">
      <c r="A440" s="124">
        <v>110</v>
      </c>
      <c r="B440" s="169">
        <f t="shared" si="26"/>
        <v>0</v>
      </c>
      <c r="C440" s="169"/>
      <c r="D440" s="169"/>
      <c r="E440" s="169"/>
      <c r="F440" s="169"/>
      <c r="G440" s="124">
        <f t="shared" si="27"/>
        <v>0</v>
      </c>
    </row>
    <row r="441" spans="1:7" x14ac:dyDescent="0.35">
      <c r="A441" s="124">
        <v>111</v>
      </c>
      <c r="B441" s="169">
        <f t="shared" si="26"/>
        <v>0</v>
      </c>
      <c r="C441" s="169"/>
      <c r="D441" s="169"/>
      <c r="E441" s="169"/>
      <c r="F441" s="169"/>
      <c r="G441" s="124">
        <f t="shared" si="27"/>
        <v>0</v>
      </c>
    </row>
    <row r="442" spans="1:7" x14ac:dyDescent="0.35">
      <c r="A442" s="124">
        <v>112</v>
      </c>
      <c r="B442" s="169">
        <f t="shared" si="26"/>
        <v>0</v>
      </c>
      <c r="C442" s="169"/>
      <c r="D442" s="169"/>
      <c r="E442" s="169"/>
      <c r="F442" s="169"/>
      <c r="G442" s="124">
        <f t="shared" si="27"/>
        <v>0</v>
      </c>
    </row>
    <row r="443" spans="1:7" x14ac:dyDescent="0.35">
      <c r="A443" s="124">
        <v>113</v>
      </c>
      <c r="B443" s="169">
        <f t="shared" si="26"/>
        <v>0</v>
      </c>
      <c r="C443" s="169"/>
      <c r="D443" s="169"/>
      <c r="E443" s="169"/>
      <c r="F443" s="169"/>
      <c r="G443" s="124">
        <f t="shared" si="27"/>
        <v>0</v>
      </c>
    </row>
    <row r="444" spans="1:7" x14ac:dyDescent="0.35">
      <c r="A444" s="124">
        <v>114</v>
      </c>
      <c r="B444" s="169">
        <f t="shared" si="26"/>
        <v>0</v>
      </c>
      <c r="C444" s="169"/>
      <c r="D444" s="169"/>
      <c r="E444" s="169"/>
      <c r="F444" s="169"/>
      <c r="G444" s="124">
        <f t="shared" si="27"/>
        <v>0</v>
      </c>
    </row>
    <row r="445" spans="1:7" x14ac:dyDescent="0.35">
      <c r="A445" s="124">
        <v>115</v>
      </c>
      <c r="B445" s="169">
        <f t="shared" si="26"/>
        <v>0</v>
      </c>
      <c r="C445" s="169"/>
      <c r="D445" s="169"/>
      <c r="E445" s="169"/>
      <c r="F445" s="169"/>
      <c r="G445" s="124">
        <f t="shared" si="27"/>
        <v>0</v>
      </c>
    </row>
    <row r="446" spans="1:7" x14ac:dyDescent="0.35">
      <c r="A446" s="124">
        <v>116</v>
      </c>
      <c r="B446" s="169">
        <f t="shared" si="26"/>
        <v>0</v>
      </c>
      <c r="C446" s="169"/>
      <c r="D446" s="169"/>
      <c r="E446" s="169"/>
      <c r="F446" s="169"/>
      <c r="G446" s="124">
        <f t="shared" si="27"/>
        <v>0</v>
      </c>
    </row>
    <row r="447" spans="1:7" x14ac:dyDescent="0.35">
      <c r="A447" s="124">
        <v>117</v>
      </c>
      <c r="B447" s="169">
        <f t="shared" si="26"/>
        <v>0</v>
      </c>
      <c r="C447" s="169"/>
      <c r="D447" s="169"/>
      <c r="E447" s="169"/>
      <c r="F447" s="169"/>
      <c r="G447" s="124">
        <f t="shared" si="27"/>
        <v>0</v>
      </c>
    </row>
    <row r="448" spans="1:7" x14ac:dyDescent="0.35">
      <c r="A448" s="124">
        <v>118</v>
      </c>
      <c r="B448" s="169">
        <f t="shared" si="26"/>
        <v>0</v>
      </c>
      <c r="C448" s="169"/>
      <c r="D448" s="169"/>
      <c r="E448" s="169"/>
      <c r="F448" s="169"/>
      <c r="G448" s="124">
        <f t="shared" si="27"/>
        <v>0</v>
      </c>
    </row>
    <row r="449" spans="1:7" x14ac:dyDescent="0.35">
      <c r="A449" s="124">
        <v>119</v>
      </c>
      <c r="B449" s="169">
        <f t="shared" si="26"/>
        <v>0</v>
      </c>
      <c r="C449" s="169"/>
      <c r="D449" s="169"/>
      <c r="E449" s="169"/>
      <c r="F449" s="169"/>
      <c r="G449" s="124">
        <f t="shared" si="27"/>
        <v>0</v>
      </c>
    </row>
    <row r="450" spans="1:7" x14ac:dyDescent="0.35">
      <c r="A450" s="124">
        <v>120</v>
      </c>
      <c r="B450" s="169">
        <f t="shared" si="26"/>
        <v>0</v>
      </c>
      <c r="C450" s="169"/>
      <c r="D450" s="169"/>
      <c r="E450" s="169"/>
      <c r="F450" s="169"/>
      <c r="G450" s="124">
        <f t="shared" si="27"/>
        <v>0</v>
      </c>
    </row>
    <row r="451" spans="1:7" x14ac:dyDescent="0.35">
      <c r="A451" s="124">
        <v>121</v>
      </c>
      <c r="B451" s="169">
        <f t="shared" si="26"/>
        <v>0</v>
      </c>
      <c r="C451" s="169"/>
      <c r="D451" s="169"/>
      <c r="E451" s="169"/>
      <c r="F451" s="169"/>
      <c r="G451" s="124">
        <f t="shared" si="27"/>
        <v>0</v>
      </c>
    </row>
    <row r="452" spans="1:7" x14ac:dyDescent="0.35">
      <c r="A452" s="124">
        <v>122</v>
      </c>
      <c r="B452" s="169">
        <f t="shared" si="26"/>
        <v>0</v>
      </c>
      <c r="C452" s="169"/>
      <c r="D452" s="169"/>
      <c r="E452" s="169"/>
      <c r="F452" s="169"/>
      <c r="G452" s="124">
        <f t="shared" si="27"/>
        <v>0</v>
      </c>
    </row>
    <row r="453" spans="1:7" x14ac:dyDescent="0.35">
      <c r="A453" s="124">
        <v>123</v>
      </c>
      <c r="B453" s="169">
        <f t="shared" si="26"/>
        <v>0</v>
      </c>
      <c r="C453" s="169"/>
      <c r="D453" s="169"/>
      <c r="E453" s="169"/>
      <c r="F453" s="169"/>
      <c r="G453" s="124">
        <f t="shared" si="27"/>
        <v>0</v>
      </c>
    </row>
    <row r="454" spans="1:7" x14ac:dyDescent="0.35">
      <c r="A454" s="124">
        <v>124</v>
      </c>
      <c r="B454" s="169">
        <f t="shared" si="26"/>
        <v>0</v>
      </c>
      <c r="C454" s="169"/>
      <c r="D454" s="169"/>
      <c r="E454" s="169"/>
      <c r="F454" s="169"/>
      <c r="G454" s="124">
        <f t="shared" si="27"/>
        <v>0</v>
      </c>
    </row>
    <row r="455" spans="1:7" x14ac:dyDescent="0.35">
      <c r="A455" s="124">
        <v>125</v>
      </c>
      <c r="B455" s="169">
        <f t="shared" si="26"/>
        <v>0</v>
      </c>
      <c r="C455" s="169"/>
      <c r="D455" s="169"/>
      <c r="E455" s="169"/>
      <c r="F455" s="169"/>
      <c r="G455" s="124">
        <f t="shared" si="27"/>
        <v>0</v>
      </c>
    </row>
    <row r="456" spans="1:7" x14ac:dyDescent="0.35">
      <c r="A456" s="124">
        <v>126</v>
      </c>
      <c r="B456" s="169">
        <f t="shared" si="26"/>
        <v>0</v>
      </c>
      <c r="C456" s="169"/>
      <c r="D456" s="169"/>
      <c r="E456" s="169"/>
      <c r="F456" s="169"/>
      <c r="G456" s="124">
        <f t="shared" si="27"/>
        <v>0</v>
      </c>
    </row>
    <row r="457" spans="1:7" x14ac:dyDescent="0.35">
      <c r="A457" s="124">
        <v>127</v>
      </c>
      <c r="B457" s="169">
        <f t="shared" si="26"/>
        <v>0</v>
      </c>
      <c r="C457" s="169"/>
      <c r="D457" s="169"/>
      <c r="E457" s="169"/>
      <c r="F457" s="169"/>
      <c r="G457" s="124">
        <f t="shared" si="27"/>
        <v>0</v>
      </c>
    </row>
    <row r="458" spans="1:7" x14ac:dyDescent="0.35">
      <c r="A458" s="124">
        <v>128</v>
      </c>
      <c r="B458" s="169">
        <f t="shared" si="26"/>
        <v>0</v>
      </c>
      <c r="C458" s="169"/>
      <c r="D458" s="169"/>
      <c r="E458" s="169"/>
      <c r="F458" s="169"/>
      <c r="G458" s="124">
        <f t="shared" si="27"/>
        <v>0</v>
      </c>
    </row>
    <row r="459" spans="1:7" x14ac:dyDescent="0.35">
      <c r="A459" s="124">
        <v>129</v>
      </c>
      <c r="B459" s="169">
        <f t="shared" si="26"/>
        <v>0</v>
      </c>
      <c r="C459" s="169"/>
      <c r="D459" s="169"/>
      <c r="E459" s="169"/>
      <c r="F459" s="169"/>
      <c r="G459" s="124">
        <f t="shared" si="27"/>
        <v>0</v>
      </c>
    </row>
    <row r="460" spans="1:7" x14ac:dyDescent="0.35">
      <c r="A460" s="124">
        <v>130</v>
      </c>
      <c r="B460" s="169">
        <f t="shared" ref="B460:B470" si="28">IF(B288&gt;0,1,0)</f>
        <v>0</v>
      </c>
      <c r="C460" s="169"/>
      <c r="D460" s="169"/>
      <c r="E460" s="169"/>
      <c r="F460" s="169"/>
      <c r="G460" s="124">
        <f t="shared" ref="G460:G470" si="29">IF(G288&gt;0,1,0)</f>
        <v>0</v>
      </c>
    </row>
    <row r="461" spans="1:7" x14ac:dyDescent="0.35">
      <c r="A461" s="124">
        <v>131</v>
      </c>
      <c r="B461" s="169">
        <f t="shared" si="28"/>
        <v>0</v>
      </c>
      <c r="C461" s="169"/>
      <c r="D461" s="169"/>
      <c r="E461" s="169"/>
      <c r="F461" s="169"/>
      <c r="G461" s="124">
        <f t="shared" si="29"/>
        <v>0</v>
      </c>
    </row>
    <row r="462" spans="1:7" x14ac:dyDescent="0.35">
      <c r="A462" s="124">
        <v>132</v>
      </c>
      <c r="B462" s="169">
        <f t="shared" si="28"/>
        <v>0</v>
      </c>
      <c r="C462" s="169"/>
      <c r="D462" s="169"/>
      <c r="E462" s="169"/>
      <c r="F462" s="169"/>
      <c r="G462" s="124">
        <f t="shared" si="29"/>
        <v>0</v>
      </c>
    </row>
    <row r="463" spans="1:7" x14ac:dyDescent="0.35">
      <c r="A463" s="124">
        <v>133</v>
      </c>
      <c r="B463" s="169">
        <f t="shared" si="28"/>
        <v>0</v>
      </c>
      <c r="C463" s="169"/>
      <c r="D463" s="169"/>
      <c r="E463" s="169"/>
      <c r="F463" s="169"/>
      <c r="G463" s="124">
        <f t="shared" si="29"/>
        <v>0</v>
      </c>
    </row>
    <row r="464" spans="1:7" x14ac:dyDescent="0.35">
      <c r="A464" s="124">
        <v>134</v>
      </c>
      <c r="B464" s="169">
        <f t="shared" si="28"/>
        <v>0</v>
      </c>
      <c r="C464" s="169"/>
      <c r="D464" s="169"/>
      <c r="E464" s="169"/>
      <c r="F464" s="169"/>
      <c r="G464" s="124">
        <f t="shared" si="29"/>
        <v>0</v>
      </c>
    </row>
    <row r="465" spans="1:7" x14ac:dyDescent="0.35">
      <c r="A465" s="124">
        <v>135</v>
      </c>
      <c r="B465" s="169">
        <f t="shared" si="28"/>
        <v>0</v>
      </c>
      <c r="C465" s="169"/>
      <c r="D465" s="169"/>
      <c r="E465" s="169"/>
      <c r="F465" s="169"/>
      <c r="G465" s="124">
        <f t="shared" si="29"/>
        <v>0</v>
      </c>
    </row>
    <row r="466" spans="1:7" x14ac:dyDescent="0.35">
      <c r="A466" s="124">
        <v>136</v>
      </c>
      <c r="B466" s="169">
        <f t="shared" si="28"/>
        <v>0</v>
      </c>
      <c r="C466" s="169"/>
      <c r="D466" s="169"/>
      <c r="E466" s="169"/>
      <c r="F466" s="169"/>
      <c r="G466" s="124">
        <f t="shared" si="29"/>
        <v>0</v>
      </c>
    </row>
    <row r="467" spans="1:7" x14ac:dyDescent="0.35">
      <c r="A467" s="124">
        <v>137</v>
      </c>
      <c r="B467" s="169">
        <f t="shared" si="28"/>
        <v>0</v>
      </c>
      <c r="C467" s="169"/>
      <c r="D467" s="169"/>
      <c r="E467" s="169"/>
      <c r="F467" s="169"/>
      <c r="G467" s="124">
        <f t="shared" si="29"/>
        <v>0</v>
      </c>
    </row>
    <row r="468" spans="1:7" x14ac:dyDescent="0.35">
      <c r="A468" s="124">
        <v>138</v>
      </c>
      <c r="B468" s="169">
        <f t="shared" si="28"/>
        <v>0</v>
      </c>
      <c r="C468" s="169"/>
      <c r="D468" s="169"/>
      <c r="E468" s="169"/>
      <c r="F468" s="169"/>
      <c r="G468" s="124">
        <f t="shared" si="29"/>
        <v>0</v>
      </c>
    </row>
    <row r="469" spans="1:7" x14ac:dyDescent="0.35">
      <c r="A469" s="124">
        <v>139</v>
      </c>
      <c r="B469" s="169">
        <f t="shared" si="28"/>
        <v>0</v>
      </c>
      <c r="C469" s="169"/>
      <c r="D469" s="169"/>
      <c r="E469" s="169"/>
      <c r="F469" s="169"/>
      <c r="G469" s="124">
        <f t="shared" si="29"/>
        <v>0</v>
      </c>
    </row>
    <row r="470" spans="1:7" x14ac:dyDescent="0.35">
      <c r="A470" s="124">
        <v>140</v>
      </c>
      <c r="B470" s="169">
        <f t="shared" si="28"/>
        <v>0</v>
      </c>
      <c r="C470" s="169"/>
      <c r="D470" s="169"/>
      <c r="E470" s="169"/>
      <c r="F470" s="169"/>
      <c r="G470" s="124">
        <f t="shared" si="29"/>
        <v>0</v>
      </c>
    </row>
    <row r="471" spans="1:7" ht="15" customHeight="1" x14ac:dyDescent="0.35">
      <c r="A471" s="124"/>
      <c r="B471" s="170">
        <f>SUM(B331:F470)</f>
        <v>22</v>
      </c>
      <c r="C471" s="170"/>
      <c r="D471" s="170"/>
      <c r="E471" s="170"/>
      <c r="F471" s="170"/>
      <c r="G471" s="124">
        <f>SUM(G331:G470)</f>
        <v>22</v>
      </c>
    </row>
  </sheetData>
  <mergeCells count="907">
    <mergeCell ref="I43:R44"/>
    <mergeCell ref="I80:R81"/>
    <mergeCell ref="I82:R83"/>
    <mergeCell ref="I84:R85"/>
    <mergeCell ref="I86:R87"/>
    <mergeCell ref="L51:N51"/>
    <mergeCell ref="I51:K51"/>
    <mergeCell ref="I72:K72"/>
    <mergeCell ref="L63:N63"/>
    <mergeCell ref="L72:N72"/>
    <mergeCell ref="I53:K53"/>
    <mergeCell ref="L53:N53"/>
    <mergeCell ref="S297:W297"/>
    <mergeCell ref="S298:W298"/>
    <mergeCell ref="S166:W166"/>
    <mergeCell ref="S167:W167"/>
    <mergeCell ref="S168:W168"/>
    <mergeCell ref="S169:W169"/>
    <mergeCell ref="S170:W170"/>
    <mergeCell ref="S171:W171"/>
    <mergeCell ref="S172:W172"/>
    <mergeCell ref="S173:W173"/>
    <mergeCell ref="S174:W174"/>
    <mergeCell ref="S175:W175"/>
    <mergeCell ref="S176:W176"/>
    <mergeCell ref="S177:W177"/>
    <mergeCell ref="S178:W178"/>
    <mergeCell ref="S179:W179"/>
    <mergeCell ref="S180:W180"/>
    <mergeCell ref="S181:W181"/>
    <mergeCell ref="S182:W182"/>
    <mergeCell ref="S183:W183"/>
    <mergeCell ref="S184:W184"/>
    <mergeCell ref="S185:W185"/>
    <mergeCell ref="S186:W186"/>
    <mergeCell ref="S187:W187"/>
    <mergeCell ref="S158:W158"/>
    <mergeCell ref="S159:W159"/>
    <mergeCell ref="S160:W160"/>
    <mergeCell ref="S161:W161"/>
    <mergeCell ref="S162:W162"/>
    <mergeCell ref="S163:W163"/>
    <mergeCell ref="S164:W164"/>
    <mergeCell ref="S165:W165"/>
    <mergeCell ref="I158:R158"/>
    <mergeCell ref="B175:F175"/>
    <mergeCell ref="B185:F185"/>
    <mergeCell ref="B186:F186"/>
    <mergeCell ref="B187:F187"/>
    <mergeCell ref="B184:F184"/>
    <mergeCell ref="B181:F181"/>
    <mergeCell ref="B182:F182"/>
    <mergeCell ref="B183:F183"/>
    <mergeCell ref="B180:F180"/>
    <mergeCell ref="B144:F144"/>
    <mergeCell ref="B145:F145"/>
    <mergeCell ref="B146:F146"/>
    <mergeCell ref="B154:F154"/>
    <mergeCell ref="B147:F147"/>
    <mergeCell ref="B148:F148"/>
    <mergeCell ref="B149:F149"/>
    <mergeCell ref="B150:F150"/>
    <mergeCell ref="B151:F151"/>
    <mergeCell ref="B152:F152"/>
    <mergeCell ref="G119:G120"/>
    <mergeCell ref="B117:F117"/>
    <mergeCell ref="G117:G118"/>
    <mergeCell ref="B118:F118"/>
    <mergeCell ref="B107:F107"/>
    <mergeCell ref="B108:F108"/>
    <mergeCell ref="B140:F140"/>
    <mergeCell ref="B141:F141"/>
    <mergeCell ref="B143:F143"/>
    <mergeCell ref="B131:F131"/>
    <mergeCell ref="B132:F132"/>
    <mergeCell ref="B133:F133"/>
    <mergeCell ref="B134:F134"/>
    <mergeCell ref="B135:F135"/>
    <mergeCell ref="B136:F136"/>
    <mergeCell ref="B137:F137"/>
    <mergeCell ref="B138:F138"/>
    <mergeCell ref="B139:F139"/>
    <mergeCell ref="G111:G112"/>
    <mergeCell ref="G115:G116"/>
    <mergeCell ref="B116:F116"/>
    <mergeCell ref="B61:F61"/>
    <mergeCell ref="B96:F96"/>
    <mergeCell ref="B54:F54"/>
    <mergeCell ref="B55:F55"/>
    <mergeCell ref="B129:F129"/>
    <mergeCell ref="G129:G130"/>
    <mergeCell ref="B130:F130"/>
    <mergeCell ref="B112:F112"/>
    <mergeCell ref="B113:F113"/>
    <mergeCell ref="G113:G114"/>
    <mergeCell ref="B114:F114"/>
    <mergeCell ref="B127:F127"/>
    <mergeCell ref="G127:G128"/>
    <mergeCell ref="B128:F128"/>
    <mergeCell ref="B121:F121"/>
    <mergeCell ref="G121:G122"/>
    <mergeCell ref="B122:F122"/>
    <mergeCell ref="B123:F123"/>
    <mergeCell ref="G123:G124"/>
    <mergeCell ref="B124:F124"/>
    <mergeCell ref="B125:F125"/>
    <mergeCell ref="G125:G126"/>
    <mergeCell ref="B120:F120"/>
    <mergeCell ref="B119:F119"/>
    <mergeCell ref="G82:G83"/>
    <mergeCell ref="G84:G85"/>
    <mergeCell ref="B75:F75"/>
    <mergeCell ref="B76:F76"/>
    <mergeCell ref="G86:G87"/>
    <mergeCell ref="G88:G89"/>
    <mergeCell ref="B45:F45"/>
    <mergeCell ref="B47:F47"/>
    <mergeCell ref="B46:F46"/>
    <mergeCell ref="B53:F53"/>
    <mergeCell ref="B48:F48"/>
    <mergeCell ref="B57:F57"/>
    <mergeCell ref="B49:F49"/>
    <mergeCell ref="B50:F50"/>
    <mergeCell ref="B51:F51"/>
    <mergeCell ref="B52:F52"/>
    <mergeCell ref="B80:F80"/>
    <mergeCell ref="B81:F81"/>
    <mergeCell ref="B82:F82"/>
    <mergeCell ref="B83:F83"/>
    <mergeCell ref="B84:F84"/>
    <mergeCell ref="B69:F69"/>
    <mergeCell ref="B70:F70"/>
    <mergeCell ref="B60:F60"/>
    <mergeCell ref="AB78:AD78"/>
    <mergeCell ref="AE78:AG78"/>
    <mergeCell ref="S90:W91"/>
    <mergeCell ref="S92:W93"/>
    <mergeCell ref="I75:K75"/>
    <mergeCell ref="L75:N75"/>
    <mergeCell ref="Y74:AA74"/>
    <mergeCell ref="I74:K74"/>
    <mergeCell ref="L74:N74"/>
    <mergeCell ref="S74:U74"/>
    <mergeCell ref="I76:K76"/>
    <mergeCell ref="Y75:AA75"/>
    <mergeCell ref="AB75:AD75"/>
    <mergeCell ref="AE75:AG75"/>
    <mergeCell ref="V75:X75"/>
    <mergeCell ref="L76:N76"/>
    <mergeCell ref="AB76:AD76"/>
    <mergeCell ref="S82:W83"/>
    <mergeCell ref="S84:W85"/>
    <mergeCell ref="S86:W87"/>
    <mergeCell ref="S88:W89"/>
    <mergeCell ref="I88:R89"/>
    <mergeCell ref="I90:R91"/>
    <mergeCell ref="I92:R93"/>
    <mergeCell ref="Y73:AA73"/>
    <mergeCell ref="S80:W81"/>
    <mergeCell ref="Y78:AA78"/>
    <mergeCell ref="Y76:AA76"/>
    <mergeCell ref="I73:K73"/>
    <mergeCell ref="L73:N73"/>
    <mergeCell ref="S73:U73"/>
    <mergeCell ref="V73:X73"/>
    <mergeCell ref="B73:F73"/>
    <mergeCell ref="V78:X78"/>
    <mergeCell ref="L78:N78"/>
    <mergeCell ref="S78:U78"/>
    <mergeCell ref="B78:F78"/>
    <mergeCell ref="B74:F74"/>
    <mergeCell ref="G80:G81"/>
    <mergeCell ref="I78:K78"/>
    <mergeCell ref="AH74:AJ74"/>
    <mergeCell ref="AK74:AM74"/>
    <mergeCell ref="S75:U75"/>
    <mergeCell ref="V76:X76"/>
    <mergeCell ref="V74:X74"/>
    <mergeCell ref="AK76:AM76"/>
    <mergeCell ref="AK75:AM75"/>
    <mergeCell ref="AB74:AD74"/>
    <mergeCell ref="AE76:AG76"/>
    <mergeCell ref="AE74:AG74"/>
    <mergeCell ref="AH76:AJ76"/>
    <mergeCell ref="AH75:AJ75"/>
    <mergeCell ref="S76:U76"/>
    <mergeCell ref="AE67:AG67"/>
    <mergeCell ref="AH67:AJ67"/>
    <mergeCell ref="AK67:AM67"/>
    <mergeCell ref="AB66:AD66"/>
    <mergeCell ref="AE66:AG66"/>
    <mergeCell ref="AH66:AJ66"/>
    <mergeCell ref="AK66:AM66"/>
    <mergeCell ref="AK65:AM65"/>
    <mergeCell ref="AH78:AJ78"/>
    <mergeCell ref="AK78:AM78"/>
    <mergeCell ref="AE71:AG71"/>
    <mergeCell ref="AH71:AJ71"/>
    <mergeCell ref="AK71:AM71"/>
    <mergeCell ref="AB68:AD68"/>
    <mergeCell ref="AE68:AG68"/>
    <mergeCell ref="AH68:AJ68"/>
    <mergeCell ref="AK68:AM68"/>
    <mergeCell ref="AK72:AM72"/>
    <mergeCell ref="AE72:AG72"/>
    <mergeCell ref="AH72:AJ72"/>
    <mergeCell ref="AB73:AD73"/>
    <mergeCell ref="AE73:AG73"/>
    <mergeCell ref="AH73:AJ73"/>
    <mergeCell ref="AK73:AM73"/>
    <mergeCell ref="AE62:AG62"/>
    <mergeCell ref="AH62:AJ62"/>
    <mergeCell ref="AK62:AM62"/>
    <mergeCell ref="Y65:AA65"/>
    <mergeCell ref="AB65:AD65"/>
    <mergeCell ref="AE65:AG65"/>
    <mergeCell ref="AH63:AJ63"/>
    <mergeCell ref="AH65:AJ65"/>
    <mergeCell ref="Y62:AA62"/>
    <mergeCell ref="AB62:AD62"/>
    <mergeCell ref="Y63:AA63"/>
    <mergeCell ref="AE64:AG64"/>
    <mergeCell ref="AH64:AJ64"/>
    <mergeCell ref="AK64:AM64"/>
    <mergeCell ref="AE59:AG59"/>
    <mergeCell ref="AH59:AJ59"/>
    <mergeCell ref="AK59:AM59"/>
    <mergeCell ref="V64:X64"/>
    <mergeCell ref="I67:K67"/>
    <mergeCell ref="L67:N67"/>
    <mergeCell ref="S67:U67"/>
    <mergeCell ref="I66:K66"/>
    <mergeCell ref="L66:N66"/>
    <mergeCell ref="S66:U66"/>
    <mergeCell ref="V67:X67"/>
    <mergeCell ref="Y67:AA67"/>
    <mergeCell ref="Y66:AA66"/>
    <mergeCell ref="AK63:AM63"/>
    <mergeCell ref="AE63:AG63"/>
    <mergeCell ref="I65:K65"/>
    <mergeCell ref="L65:N65"/>
    <mergeCell ref="S65:U65"/>
    <mergeCell ref="I64:K64"/>
    <mergeCell ref="L64:N64"/>
    <mergeCell ref="S64:U64"/>
    <mergeCell ref="V65:X65"/>
    <mergeCell ref="V59:X59"/>
    <mergeCell ref="Y64:AA64"/>
    <mergeCell ref="AE58:AG58"/>
    <mergeCell ref="AH58:AJ58"/>
    <mergeCell ref="AK58:AM58"/>
    <mergeCell ref="Y57:AA57"/>
    <mergeCell ref="AB57:AD57"/>
    <mergeCell ref="AE57:AG57"/>
    <mergeCell ref="AH57:AJ57"/>
    <mergeCell ref="AK57:AM57"/>
    <mergeCell ref="Y58:AA58"/>
    <mergeCell ref="AB58:AD58"/>
    <mergeCell ref="AE56:AG56"/>
    <mergeCell ref="AH56:AJ56"/>
    <mergeCell ref="AK56:AM56"/>
    <mergeCell ref="Y55:AA55"/>
    <mergeCell ref="AB55:AD55"/>
    <mergeCell ref="AE55:AG55"/>
    <mergeCell ref="AH55:AJ55"/>
    <mergeCell ref="AK55:AM55"/>
    <mergeCell ref="Y56:AA56"/>
    <mergeCell ref="AB56:AD56"/>
    <mergeCell ref="AE54:AG54"/>
    <mergeCell ref="AH54:AJ54"/>
    <mergeCell ref="AK54:AM54"/>
    <mergeCell ref="Y53:AA53"/>
    <mergeCell ref="AB53:AD53"/>
    <mergeCell ref="AE53:AG53"/>
    <mergeCell ref="AH53:AJ53"/>
    <mergeCell ref="AK53:AM53"/>
    <mergeCell ref="AE52:AG52"/>
    <mergeCell ref="AH52:AJ52"/>
    <mergeCell ref="AK52:AM52"/>
    <mergeCell ref="Y54:AA54"/>
    <mergeCell ref="AB54:AD54"/>
    <mergeCell ref="Y52:AA52"/>
    <mergeCell ref="AB52:AD52"/>
    <mergeCell ref="AE51:AG51"/>
    <mergeCell ref="AH51:AJ51"/>
    <mergeCell ref="AK51:AM51"/>
    <mergeCell ref="V51:X51"/>
    <mergeCell ref="AE50:AG50"/>
    <mergeCell ref="Y47:AA47"/>
    <mergeCell ref="AB47:AD47"/>
    <mergeCell ref="AE47:AG47"/>
    <mergeCell ref="AH47:AJ47"/>
    <mergeCell ref="AK47:AM47"/>
    <mergeCell ref="V47:X47"/>
    <mergeCell ref="V48:X48"/>
    <mergeCell ref="Y48:AA48"/>
    <mergeCell ref="AB48:AD48"/>
    <mergeCell ref="AE48:AG48"/>
    <mergeCell ref="AH48:AJ48"/>
    <mergeCell ref="AK48:AM48"/>
    <mergeCell ref="Y49:AA49"/>
    <mergeCell ref="AB49:AD49"/>
    <mergeCell ref="AE49:AG49"/>
    <mergeCell ref="AH49:AJ49"/>
    <mergeCell ref="AK49:AM49"/>
    <mergeCell ref="AH50:AJ50"/>
    <mergeCell ref="AK50:AM50"/>
    <mergeCell ref="A16:A17"/>
    <mergeCell ref="H325:H326"/>
    <mergeCell ref="I48:K48"/>
    <mergeCell ref="L48:N48"/>
    <mergeCell ref="S48:U48"/>
    <mergeCell ref="I47:K47"/>
    <mergeCell ref="L47:N47"/>
    <mergeCell ref="S47:U47"/>
    <mergeCell ref="I50:K50"/>
    <mergeCell ref="L50:N50"/>
    <mergeCell ref="S50:U50"/>
    <mergeCell ref="I49:K49"/>
    <mergeCell ref="L49:N49"/>
    <mergeCell ref="S49:U49"/>
    <mergeCell ref="I52:K52"/>
    <mergeCell ref="L52:N52"/>
    <mergeCell ref="S52:U52"/>
    <mergeCell ref="I54:K54"/>
    <mergeCell ref="A80:A93"/>
    <mergeCell ref="G35:G36"/>
    <mergeCell ref="G41:G42"/>
    <mergeCell ref="G43:G44"/>
    <mergeCell ref="S71:U71"/>
    <mergeCell ref="I68:K68"/>
    <mergeCell ref="Y51:AA51"/>
    <mergeCell ref="Y59:AA59"/>
    <mergeCell ref="AB59:AD59"/>
    <mergeCell ref="Y72:AA72"/>
    <mergeCell ref="S43:W44"/>
    <mergeCell ref="V49:X49"/>
    <mergeCell ref="AB50:AD50"/>
    <mergeCell ref="AB51:AD51"/>
    <mergeCell ref="V53:X53"/>
    <mergeCell ref="V68:X68"/>
    <mergeCell ref="S58:U58"/>
    <mergeCell ref="Y71:AA71"/>
    <mergeCell ref="V63:X63"/>
    <mergeCell ref="V72:X72"/>
    <mergeCell ref="AB64:AD64"/>
    <mergeCell ref="AB72:AD72"/>
    <mergeCell ref="AB71:AD71"/>
    <mergeCell ref="AB67:AD67"/>
    <mergeCell ref="AB63:AD63"/>
    <mergeCell ref="Y68:AA68"/>
    <mergeCell ref="V50:X50"/>
    <mergeCell ref="Y50:AA50"/>
    <mergeCell ref="S51:U51"/>
    <mergeCell ref="V52:X52"/>
    <mergeCell ref="B1:C1"/>
    <mergeCell ref="B2:C2"/>
    <mergeCell ref="G1:H1"/>
    <mergeCell ref="G3:H3"/>
    <mergeCell ref="S16:W17"/>
    <mergeCell ref="S22:W23"/>
    <mergeCell ref="S24:W25"/>
    <mergeCell ref="E1:F1"/>
    <mergeCell ref="E2:F2"/>
    <mergeCell ref="E3:F3"/>
    <mergeCell ref="E4:E5"/>
    <mergeCell ref="G22:G23"/>
    <mergeCell ref="G24:G25"/>
    <mergeCell ref="G2:H2"/>
    <mergeCell ref="B3:C3"/>
    <mergeCell ref="B4:C4"/>
    <mergeCell ref="B5:C5"/>
    <mergeCell ref="G4:H4"/>
    <mergeCell ref="G5:H5"/>
    <mergeCell ref="G16:G17"/>
    <mergeCell ref="H16:H17"/>
    <mergeCell ref="G19:G20"/>
    <mergeCell ref="B19:F19"/>
    <mergeCell ref="B20:F20"/>
    <mergeCell ref="S26:W27"/>
    <mergeCell ref="S29:W30"/>
    <mergeCell ref="S35:W36"/>
    <mergeCell ref="S41:W42"/>
    <mergeCell ref="R1:T1"/>
    <mergeCell ref="J1:L1"/>
    <mergeCell ref="S31:W32"/>
    <mergeCell ref="S33:W34"/>
    <mergeCell ref="S19:W20"/>
    <mergeCell ref="M1:O1"/>
    <mergeCell ref="I16:R17"/>
    <mergeCell ref="I19:R20"/>
    <mergeCell ref="I22:R23"/>
    <mergeCell ref="I24:R25"/>
    <mergeCell ref="I26:R27"/>
    <mergeCell ref="I29:R30"/>
    <mergeCell ref="I31:R32"/>
    <mergeCell ref="I33:R34"/>
    <mergeCell ref="I35:R36"/>
    <mergeCell ref="I41:R42"/>
    <mergeCell ref="I37:R38"/>
    <mergeCell ref="S37:W38"/>
    <mergeCell ref="I39:R40"/>
    <mergeCell ref="S39:W40"/>
    <mergeCell ref="B56:F56"/>
    <mergeCell ref="B63:F63"/>
    <mergeCell ref="B176:F176"/>
    <mergeCell ref="B64:F64"/>
    <mergeCell ref="B65:F65"/>
    <mergeCell ref="B66:F66"/>
    <mergeCell ref="B67:F67"/>
    <mergeCell ref="B68:F68"/>
    <mergeCell ref="B71:F71"/>
    <mergeCell ref="B109:F109"/>
    <mergeCell ref="B111:F111"/>
    <mergeCell ref="B58:F58"/>
    <mergeCell ref="B59:F59"/>
    <mergeCell ref="B62:F62"/>
    <mergeCell ref="B97:F97"/>
    <mergeCell ref="B98:F98"/>
    <mergeCell ref="B99:F99"/>
    <mergeCell ref="B126:F126"/>
    <mergeCell ref="B115:F115"/>
    <mergeCell ref="B72:F72"/>
    <mergeCell ref="B110:D110"/>
    <mergeCell ref="B106:F106"/>
    <mergeCell ref="B85:F85"/>
    <mergeCell ref="B86:F86"/>
    <mergeCell ref="B34:F34"/>
    <mergeCell ref="B35:F35"/>
    <mergeCell ref="B36:F36"/>
    <mergeCell ref="B41:F41"/>
    <mergeCell ref="B42:F42"/>
    <mergeCell ref="B44:F44"/>
    <mergeCell ref="G31:G32"/>
    <mergeCell ref="B32:F32"/>
    <mergeCell ref="B33:F33"/>
    <mergeCell ref="B31:F31"/>
    <mergeCell ref="G33:G34"/>
    <mergeCell ref="B43:F43"/>
    <mergeCell ref="B37:F37"/>
    <mergeCell ref="G37:G38"/>
    <mergeCell ref="B38:F38"/>
    <mergeCell ref="B39:F39"/>
    <mergeCell ref="G39:G40"/>
    <mergeCell ref="B40:F40"/>
    <mergeCell ref="G26:G27"/>
    <mergeCell ref="G29:G30"/>
    <mergeCell ref="B22:F22"/>
    <mergeCell ref="B23:F23"/>
    <mergeCell ref="B24:F24"/>
    <mergeCell ref="B25:F25"/>
    <mergeCell ref="B26:F26"/>
    <mergeCell ref="B27:F27"/>
    <mergeCell ref="B29:F29"/>
    <mergeCell ref="B30:F30"/>
    <mergeCell ref="S111:W112"/>
    <mergeCell ref="G90:G91"/>
    <mergeCell ref="G92:G93"/>
    <mergeCell ref="B89:F89"/>
    <mergeCell ref="B87:F87"/>
    <mergeCell ref="B88:F88"/>
    <mergeCell ref="B105:F105"/>
    <mergeCell ref="B104:F104"/>
    <mergeCell ref="B90:F90"/>
    <mergeCell ref="B91:F91"/>
    <mergeCell ref="B92:F92"/>
    <mergeCell ref="B93:F93"/>
    <mergeCell ref="B94:F94"/>
    <mergeCell ref="B95:F95"/>
    <mergeCell ref="B102:F102"/>
    <mergeCell ref="B103:F103"/>
    <mergeCell ref="B100:F100"/>
    <mergeCell ref="B101:F101"/>
    <mergeCell ref="I111:R112"/>
    <mergeCell ref="I325:I326"/>
    <mergeCell ref="J325:J326"/>
    <mergeCell ref="B324:B326"/>
    <mergeCell ref="I324:J324"/>
    <mergeCell ref="C325:C326"/>
    <mergeCell ref="D325:D326"/>
    <mergeCell ref="E325:E326"/>
    <mergeCell ref="F325:F326"/>
    <mergeCell ref="G325:G326"/>
    <mergeCell ref="C324:H324"/>
    <mergeCell ref="S188:W188"/>
    <mergeCell ref="S189:W189"/>
    <mergeCell ref="S190:W190"/>
    <mergeCell ref="S191:W191"/>
    <mergeCell ref="S192:W192"/>
    <mergeCell ref="S193:W193"/>
    <mergeCell ref="S194:W194"/>
    <mergeCell ref="S195:W195"/>
    <mergeCell ref="B193:F193"/>
    <mergeCell ref="B194:F194"/>
    <mergeCell ref="B195:F195"/>
    <mergeCell ref="B192:F192"/>
    <mergeCell ref="B189:F189"/>
    <mergeCell ref="B190:F190"/>
    <mergeCell ref="B191:F191"/>
    <mergeCell ref="B188:F188"/>
    <mergeCell ref="B198:F198"/>
    <mergeCell ref="B199:F199"/>
    <mergeCell ref="B196:F196"/>
    <mergeCell ref="S196:W196"/>
    <mergeCell ref="S197:W197"/>
    <mergeCell ref="S198:W198"/>
    <mergeCell ref="S199:W199"/>
    <mergeCell ref="S200:W200"/>
    <mergeCell ref="S201:W201"/>
    <mergeCell ref="B201:F201"/>
    <mergeCell ref="B200:F200"/>
    <mergeCell ref="B197:F197"/>
    <mergeCell ref="S202:W202"/>
    <mergeCell ref="S203:W203"/>
    <mergeCell ref="B208:F208"/>
    <mergeCell ref="B209:F209"/>
    <mergeCell ref="B210:F210"/>
    <mergeCell ref="B205:F205"/>
    <mergeCell ref="B206:F206"/>
    <mergeCell ref="B207:F207"/>
    <mergeCell ref="B204:F204"/>
    <mergeCell ref="S204:W204"/>
    <mergeCell ref="S205:W205"/>
    <mergeCell ref="S206:W206"/>
    <mergeCell ref="S207:W207"/>
    <mergeCell ref="S208:W208"/>
    <mergeCell ref="S209:W209"/>
    <mergeCell ref="S210:W210"/>
    <mergeCell ref="B202:F202"/>
    <mergeCell ref="B203:F203"/>
    <mergeCell ref="B214:F214"/>
    <mergeCell ref="B215:F215"/>
    <mergeCell ref="B216:F216"/>
    <mergeCell ref="B211:F211"/>
    <mergeCell ref="B212:F212"/>
    <mergeCell ref="B213:F213"/>
    <mergeCell ref="S211:W211"/>
    <mergeCell ref="S212:W212"/>
    <mergeCell ref="S213:W213"/>
    <mergeCell ref="S214:W214"/>
    <mergeCell ref="S215:W215"/>
    <mergeCell ref="S216:W216"/>
    <mergeCell ref="B222:F222"/>
    <mergeCell ref="B223:F223"/>
    <mergeCell ref="B224:F224"/>
    <mergeCell ref="B221:F221"/>
    <mergeCell ref="B218:F218"/>
    <mergeCell ref="B219:F219"/>
    <mergeCell ref="B220:F220"/>
    <mergeCell ref="B217:F217"/>
    <mergeCell ref="S217:W217"/>
    <mergeCell ref="S218:W218"/>
    <mergeCell ref="S219:W219"/>
    <mergeCell ref="S220:W220"/>
    <mergeCell ref="S221:W221"/>
    <mergeCell ref="S222:W222"/>
    <mergeCell ref="S223:W223"/>
    <mergeCell ref="S224:W224"/>
    <mergeCell ref="B229:F229"/>
    <mergeCell ref="B230:F230"/>
    <mergeCell ref="B231:F231"/>
    <mergeCell ref="B226:F226"/>
    <mergeCell ref="B227:F227"/>
    <mergeCell ref="B228:F228"/>
    <mergeCell ref="B225:F225"/>
    <mergeCell ref="S225:W225"/>
    <mergeCell ref="S226:W226"/>
    <mergeCell ref="S227:W227"/>
    <mergeCell ref="S228:W228"/>
    <mergeCell ref="S229:W229"/>
    <mergeCell ref="S230:W230"/>
    <mergeCell ref="S231:W231"/>
    <mergeCell ref="B235:F235"/>
    <mergeCell ref="B236:F236"/>
    <mergeCell ref="B237:F237"/>
    <mergeCell ref="B232:F232"/>
    <mergeCell ref="B233:F233"/>
    <mergeCell ref="B234:F234"/>
    <mergeCell ref="S232:W232"/>
    <mergeCell ref="S233:W233"/>
    <mergeCell ref="S234:W234"/>
    <mergeCell ref="S235:W235"/>
    <mergeCell ref="S236:W236"/>
    <mergeCell ref="S237:W237"/>
    <mergeCell ref="B241:F241"/>
    <mergeCell ref="B242:F242"/>
    <mergeCell ref="B243:F243"/>
    <mergeCell ref="B238:F238"/>
    <mergeCell ref="B239:F239"/>
    <mergeCell ref="B240:F240"/>
    <mergeCell ref="S238:W238"/>
    <mergeCell ref="S239:W239"/>
    <mergeCell ref="S240:W240"/>
    <mergeCell ref="S241:W241"/>
    <mergeCell ref="S242:W242"/>
    <mergeCell ref="S243:W243"/>
    <mergeCell ref="B247:F247"/>
    <mergeCell ref="B248:F248"/>
    <mergeCell ref="B249:F249"/>
    <mergeCell ref="B244:F244"/>
    <mergeCell ref="B245:F245"/>
    <mergeCell ref="B246:F246"/>
    <mergeCell ref="S244:W244"/>
    <mergeCell ref="S245:W245"/>
    <mergeCell ref="S246:W246"/>
    <mergeCell ref="S247:W247"/>
    <mergeCell ref="S248:W248"/>
    <mergeCell ref="S249:W249"/>
    <mergeCell ref="B254:F254"/>
    <mergeCell ref="B255:F255"/>
    <mergeCell ref="B256:F256"/>
    <mergeCell ref="B253:F253"/>
    <mergeCell ref="B250:F250"/>
    <mergeCell ref="B251:F251"/>
    <mergeCell ref="B252:F252"/>
    <mergeCell ref="S250:W250"/>
    <mergeCell ref="S251:W251"/>
    <mergeCell ref="S252:W252"/>
    <mergeCell ref="S253:W253"/>
    <mergeCell ref="S254:W254"/>
    <mergeCell ref="S255:W255"/>
    <mergeCell ref="S256:W256"/>
    <mergeCell ref="B261:F261"/>
    <mergeCell ref="B262:F262"/>
    <mergeCell ref="B263:F263"/>
    <mergeCell ref="B258:F258"/>
    <mergeCell ref="B259:F259"/>
    <mergeCell ref="B260:F260"/>
    <mergeCell ref="B257:F257"/>
    <mergeCell ref="S257:W257"/>
    <mergeCell ref="S258:W258"/>
    <mergeCell ref="S259:W259"/>
    <mergeCell ref="S260:W260"/>
    <mergeCell ref="S261:W261"/>
    <mergeCell ref="S262:W262"/>
    <mergeCell ref="S263:W263"/>
    <mergeCell ref="B267:F267"/>
    <mergeCell ref="B268:F268"/>
    <mergeCell ref="B269:F269"/>
    <mergeCell ref="B264:F264"/>
    <mergeCell ref="B265:F265"/>
    <mergeCell ref="B266:F266"/>
    <mergeCell ref="S264:W264"/>
    <mergeCell ref="S265:W265"/>
    <mergeCell ref="S266:W266"/>
    <mergeCell ref="S267:W267"/>
    <mergeCell ref="S268:W268"/>
    <mergeCell ref="S269:W269"/>
    <mergeCell ref="B273:F273"/>
    <mergeCell ref="B274:F274"/>
    <mergeCell ref="B275:F275"/>
    <mergeCell ref="B270:F270"/>
    <mergeCell ref="B271:F271"/>
    <mergeCell ref="B272:F272"/>
    <mergeCell ref="S270:W270"/>
    <mergeCell ref="S271:W271"/>
    <mergeCell ref="S272:W272"/>
    <mergeCell ref="S273:W273"/>
    <mergeCell ref="S274:W274"/>
    <mergeCell ref="S275:W275"/>
    <mergeCell ref="B279:F279"/>
    <mergeCell ref="B280:F280"/>
    <mergeCell ref="B281:F281"/>
    <mergeCell ref="B276:F276"/>
    <mergeCell ref="B277:F277"/>
    <mergeCell ref="B278:F278"/>
    <mergeCell ref="S276:W276"/>
    <mergeCell ref="S277:W277"/>
    <mergeCell ref="S278:W278"/>
    <mergeCell ref="S279:W279"/>
    <mergeCell ref="S280:W280"/>
    <mergeCell ref="S281:W281"/>
    <mergeCell ref="B283:F283"/>
    <mergeCell ref="B284:F284"/>
    <mergeCell ref="S282:W282"/>
    <mergeCell ref="S283:W283"/>
    <mergeCell ref="S284:W284"/>
    <mergeCell ref="S285:W285"/>
    <mergeCell ref="S286:W286"/>
    <mergeCell ref="S287:W287"/>
    <mergeCell ref="S288:W288"/>
    <mergeCell ref="S290:W290"/>
    <mergeCell ref="S291:W291"/>
    <mergeCell ref="S292:W292"/>
    <mergeCell ref="S293:W293"/>
    <mergeCell ref="S294:W294"/>
    <mergeCell ref="S295:W295"/>
    <mergeCell ref="S296:W296"/>
    <mergeCell ref="B286:F286"/>
    <mergeCell ref="B287:F287"/>
    <mergeCell ref="B288:F288"/>
    <mergeCell ref="B289:F289"/>
    <mergeCell ref="S289:W289"/>
    <mergeCell ref="B293:F293"/>
    <mergeCell ref="B336:F336"/>
    <mergeCell ref="B337:F337"/>
    <mergeCell ref="B338:F338"/>
    <mergeCell ref="B339:F339"/>
    <mergeCell ref="B340:F340"/>
    <mergeCell ref="B341:F341"/>
    <mergeCell ref="B342:F342"/>
    <mergeCell ref="B343:F343"/>
    <mergeCell ref="B344:F344"/>
    <mergeCell ref="J314:N314"/>
    <mergeCell ref="B314:E314"/>
    <mergeCell ref="F314:I314"/>
    <mergeCell ref="A6:A15"/>
    <mergeCell ref="B331:F331"/>
    <mergeCell ref="B332:F332"/>
    <mergeCell ref="B333:F333"/>
    <mergeCell ref="B334:F334"/>
    <mergeCell ref="B335:F335"/>
    <mergeCell ref="B155:F155"/>
    <mergeCell ref="B156:F156"/>
    <mergeCell ref="B142:F142"/>
    <mergeCell ref="B153:F153"/>
    <mergeCell ref="B297:F297"/>
    <mergeCell ref="B298:F298"/>
    <mergeCell ref="B158:F158"/>
    <mergeCell ref="B294:F294"/>
    <mergeCell ref="B295:F295"/>
    <mergeCell ref="B296:F296"/>
    <mergeCell ref="B290:F290"/>
    <mergeCell ref="B291:F291"/>
    <mergeCell ref="B292:F292"/>
    <mergeCell ref="B285:F285"/>
    <mergeCell ref="B282:F282"/>
    <mergeCell ref="B354:F354"/>
    <mergeCell ref="B355:F355"/>
    <mergeCell ref="B356:F356"/>
    <mergeCell ref="B357:F357"/>
    <mergeCell ref="B358:F358"/>
    <mergeCell ref="B359:F359"/>
    <mergeCell ref="B360:F360"/>
    <mergeCell ref="B361:F361"/>
    <mergeCell ref="B362:F362"/>
    <mergeCell ref="B345:F345"/>
    <mergeCell ref="B346:F346"/>
    <mergeCell ref="B347:F347"/>
    <mergeCell ref="B348:F348"/>
    <mergeCell ref="B349:F349"/>
    <mergeCell ref="B350:F350"/>
    <mergeCell ref="B351:F351"/>
    <mergeCell ref="B352:F352"/>
    <mergeCell ref="B353:F353"/>
    <mergeCell ref="B372:F372"/>
    <mergeCell ref="B373:F373"/>
    <mergeCell ref="B374:F374"/>
    <mergeCell ref="B375:F375"/>
    <mergeCell ref="B376:F376"/>
    <mergeCell ref="B377:F377"/>
    <mergeCell ref="B378:F378"/>
    <mergeCell ref="B379:F379"/>
    <mergeCell ref="B380:F380"/>
    <mergeCell ref="B363:F363"/>
    <mergeCell ref="B364:F364"/>
    <mergeCell ref="B365:F365"/>
    <mergeCell ref="B366:F366"/>
    <mergeCell ref="B367:F367"/>
    <mergeCell ref="B368:F368"/>
    <mergeCell ref="B369:F369"/>
    <mergeCell ref="B370:F370"/>
    <mergeCell ref="B371:F371"/>
    <mergeCell ref="B390:F390"/>
    <mergeCell ref="B391:F391"/>
    <mergeCell ref="B392:F392"/>
    <mergeCell ref="B393:F393"/>
    <mergeCell ref="B394:F394"/>
    <mergeCell ref="B395:F395"/>
    <mergeCell ref="B396:F396"/>
    <mergeCell ref="B397:F397"/>
    <mergeCell ref="B398:F398"/>
    <mergeCell ref="B381:F381"/>
    <mergeCell ref="B382:F382"/>
    <mergeCell ref="B383:F383"/>
    <mergeCell ref="B384:F384"/>
    <mergeCell ref="B385:F385"/>
    <mergeCell ref="B386:F386"/>
    <mergeCell ref="B387:F387"/>
    <mergeCell ref="B388:F388"/>
    <mergeCell ref="B389:F389"/>
    <mergeCell ref="B408:F408"/>
    <mergeCell ref="B409:F409"/>
    <mergeCell ref="B410:F410"/>
    <mergeCell ref="B411:F411"/>
    <mergeCell ref="B412:F412"/>
    <mergeCell ref="B413:F413"/>
    <mergeCell ref="B414:F414"/>
    <mergeCell ref="B415:F415"/>
    <mergeCell ref="B416:F416"/>
    <mergeCell ref="B399:F399"/>
    <mergeCell ref="B400:F400"/>
    <mergeCell ref="B401:F401"/>
    <mergeCell ref="B402:F402"/>
    <mergeCell ref="B403:F403"/>
    <mergeCell ref="B404:F404"/>
    <mergeCell ref="B405:F405"/>
    <mergeCell ref="B406:F406"/>
    <mergeCell ref="B407:F407"/>
    <mergeCell ref="B426:F426"/>
    <mergeCell ref="B427:F427"/>
    <mergeCell ref="B428:F428"/>
    <mergeCell ref="B429:F429"/>
    <mergeCell ref="B430:F430"/>
    <mergeCell ref="B431:F431"/>
    <mergeCell ref="B432:F432"/>
    <mergeCell ref="B433:F433"/>
    <mergeCell ref="B434:F434"/>
    <mergeCell ref="B417:F417"/>
    <mergeCell ref="B418:F418"/>
    <mergeCell ref="B419:F419"/>
    <mergeCell ref="B420:F420"/>
    <mergeCell ref="B421:F421"/>
    <mergeCell ref="B422:F422"/>
    <mergeCell ref="B423:F423"/>
    <mergeCell ref="B424:F424"/>
    <mergeCell ref="B425:F425"/>
    <mergeCell ref="B444:F444"/>
    <mergeCell ref="B445:F445"/>
    <mergeCell ref="B446:F446"/>
    <mergeCell ref="B447:F447"/>
    <mergeCell ref="B448:F448"/>
    <mergeCell ref="B449:F449"/>
    <mergeCell ref="B450:F450"/>
    <mergeCell ref="B451:F451"/>
    <mergeCell ref="B452:F452"/>
    <mergeCell ref="B435:F435"/>
    <mergeCell ref="B436:F436"/>
    <mergeCell ref="B437:F437"/>
    <mergeCell ref="B438:F438"/>
    <mergeCell ref="B439:F439"/>
    <mergeCell ref="B440:F440"/>
    <mergeCell ref="B441:F441"/>
    <mergeCell ref="B442:F442"/>
    <mergeCell ref="B443:F443"/>
    <mergeCell ref="B471:F471"/>
    <mergeCell ref="B462:F462"/>
    <mergeCell ref="B463:F463"/>
    <mergeCell ref="B464:F464"/>
    <mergeCell ref="B465:F465"/>
    <mergeCell ref="B466:F466"/>
    <mergeCell ref="B467:F467"/>
    <mergeCell ref="B468:F468"/>
    <mergeCell ref="B469:F469"/>
    <mergeCell ref="B470:F470"/>
    <mergeCell ref="B453:F453"/>
    <mergeCell ref="B454:F454"/>
    <mergeCell ref="B455:F455"/>
    <mergeCell ref="B456:F456"/>
    <mergeCell ref="B457:F457"/>
    <mergeCell ref="B458:F458"/>
    <mergeCell ref="B459:F459"/>
    <mergeCell ref="B460:F460"/>
    <mergeCell ref="B461:F461"/>
    <mergeCell ref="S72:U72"/>
    <mergeCell ref="I71:K71"/>
    <mergeCell ref="L71:N71"/>
    <mergeCell ref="L54:N54"/>
    <mergeCell ref="S54:U54"/>
    <mergeCell ref="I57:K57"/>
    <mergeCell ref="L57:N57"/>
    <mergeCell ref="S57:U57"/>
    <mergeCell ref="I56:K56"/>
    <mergeCell ref="L56:N56"/>
    <mergeCell ref="S56:U56"/>
    <mergeCell ref="I55:K55"/>
    <mergeCell ref="I58:K58"/>
    <mergeCell ref="I62:K62"/>
    <mergeCell ref="I59:K59"/>
    <mergeCell ref="I63:K63"/>
    <mergeCell ref="S53:U53"/>
    <mergeCell ref="L68:N68"/>
    <mergeCell ref="S68:U68"/>
    <mergeCell ref="V71:X71"/>
    <mergeCell ref="V54:X54"/>
    <mergeCell ref="V55:X55"/>
    <mergeCell ref="V56:X56"/>
    <mergeCell ref="V57:X57"/>
    <mergeCell ref="V58:X58"/>
    <mergeCell ref="L58:N58"/>
    <mergeCell ref="L55:N55"/>
    <mergeCell ref="S55:U55"/>
    <mergeCell ref="V66:X66"/>
    <mergeCell ref="L62:N62"/>
    <mergeCell ref="S62:U62"/>
    <mergeCell ref="L59:N59"/>
    <mergeCell ref="S59:U59"/>
    <mergeCell ref="V62:X62"/>
    <mergeCell ref="S63:U63"/>
    <mergeCell ref="I129:R130"/>
    <mergeCell ref="S123:W124"/>
    <mergeCell ref="S125:W126"/>
    <mergeCell ref="S127:W128"/>
    <mergeCell ref="S129:W130"/>
    <mergeCell ref="S113:W114"/>
    <mergeCell ref="S115:W116"/>
    <mergeCell ref="S117:W118"/>
    <mergeCell ref="S119:W120"/>
    <mergeCell ref="S121:W122"/>
    <mergeCell ref="I117:R118"/>
    <mergeCell ref="I119:R120"/>
    <mergeCell ref="I121:R122"/>
    <mergeCell ref="I123:R124"/>
    <mergeCell ref="I125:R126"/>
    <mergeCell ref="I127:R128"/>
    <mergeCell ref="I113:R114"/>
    <mergeCell ref="I115:R116"/>
  </mergeCells>
  <conditionalFormatting sqref="O3:O6 L3:L6 T3:T5 AA5">
    <cfRule type="cellIs" dxfId="96" priority="7142" stopIfTrue="1" operator="greaterThan">
      <formula>0</formula>
    </cfRule>
  </conditionalFormatting>
  <conditionalFormatting sqref="K6">
    <cfRule type="cellIs" dxfId="95" priority="7141" stopIfTrue="1" operator="lessThan">
      <formula>1</formula>
    </cfRule>
  </conditionalFormatting>
  <conditionalFormatting sqref="AA144 Z282:Z283 X301:Y302 J315:R315 B315:E315">
    <cfRule type="cellIs" dxfId="94" priority="7137" stopIfTrue="1" operator="equal">
      <formula>0</formula>
    </cfRule>
  </conditionalFormatting>
  <conditionalFormatting sqref="J315">
    <cfRule type="cellIs" dxfId="93" priority="7134" stopIfTrue="1" operator="equal">
      <formula>0</formula>
    </cfRule>
  </conditionalFormatting>
  <conditionalFormatting sqref="AA144">
    <cfRule type="cellIs" dxfId="92" priority="7129" stopIfTrue="1" operator="equal">
      <formula>0</formula>
    </cfRule>
  </conditionalFormatting>
  <conditionalFormatting sqref="O3:O6 L3:L6 T3:T5 AA5">
    <cfRule type="cellIs" dxfId="91" priority="7128" stopIfTrue="1" operator="equal">
      <formula>0</formula>
    </cfRule>
  </conditionalFormatting>
  <conditionalFormatting sqref="L3:L6 O3:O6 T3:T5 AA5">
    <cfRule type="cellIs" dxfId="90" priority="7127" stopIfTrue="1" operator="lessThan">
      <formula>0</formula>
    </cfRule>
  </conditionalFormatting>
  <conditionalFormatting sqref="B94">
    <cfRule type="cellIs" dxfId="89" priority="7066" stopIfTrue="1" operator="notEqual">
      <formula>"OK"</formula>
    </cfRule>
    <cfRule type="cellIs" dxfId="88" priority="7067" stopIfTrue="1" operator="equal">
      <formula>"OK"</formula>
    </cfRule>
  </conditionalFormatting>
  <conditionalFormatting sqref="I19">
    <cfRule type="cellIs" dxfId="87" priority="443" stopIfTrue="1" operator="equal">
      <formula>"ВАКАНСИЯ"</formula>
    </cfRule>
  </conditionalFormatting>
  <conditionalFormatting sqref="B43">
    <cfRule type="cellIs" dxfId="86" priority="379" stopIfTrue="1" operator="equal">
      <formula>"ВАКАНСИЯ"</formula>
    </cfRule>
  </conditionalFormatting>
  <conditionalFormatting sqref="B45:B46">
    <cfRule type="cellIs" dxfId="85" priority="380" stopIfTrue="1" operator="notEqual">
      <formula>"OK"</formula>
    </cfRule>
    <cfRule type="cellIs" dxfId="84" priority="381" stopIfTrue="1" operator="equal">
      <formula>"OK"</formula>
    </cfRule>
  </conditionalFormatting>
  <conditionalFormatting sqref="B29">
    <cfRule type="cellIs" dxfId="83" priority="339" stopIfTrue="1" operator="equal">
      <formula>"ВАКАНСИЯ"</formula>
    </cfRule>
  </conditionalFormatting>
  <conditionalFormatting sqref="B35">
    <cfRule type="cellIs" dxfId="82" priority="374" stopIfTrue="1" operator="equal">
      <formula>"ВАКАНСИЯ"</formula>
    </cfRule>
  </conditionalFormatting>
  <conditionalFormatting sqref="B31">
    <cfRule type="cellIs" dxfId="81" priority="352" stopIfTrue="1" operator="equal">
      <formula>"ВАКАНСИЯ"</formula>
    </cfRule>
  </conditionalFormatting>
  <conditionalFormatting sqref="B33">
    <cfRule type="cellIs" dxfId="80" priority="364" stopIfTrue="1" operator="equal">
      <formula>"ВАКАНСИЯ"</formula>
    </cfRule>
  </conditionalFormatting>
  <conditionalFormatting sqref="B20">
    <cfRule type="cellIs" dxfId="79" priority="356" stopIfTrue="1" operator="equal">
      <formula>"RGM"</formula>
    </cfRule>
    <cfRule type="cellIs" dxfId="78" priority="358" stopIfTrue="1" operator="equal">
      <formula>"RGM DR"</formula>
    </cfRule>
    <cfRule type="cellIs" dxfId="77" priority="359" stopIfTrue="1" operator="equal">
      <formula>"RGM IT"</formula>
    </cfRule>
    <cfRule type="cellIs" dxfId="76" priority="360" stopIfTrue="1" operator="equal">
      <formula>"ARGM"</formula>
    </cfRule>
  </conditionalFormatting>
  <conditionalFormatting sqref="B19">
    <cfRule type="cellIs" dxfId="75" priority="357" stopIfTrue="1" operator="equal">
      <formula>"ВАКАНСИЯ"</formula>
    </cfRule>
  </conditionalFormatting>
  <conditionalFormatting sqref="B27">
    <cfRule type="cellIs" dxfId="74" priority="349" stopIfTrue="1" operator="equal">
      <formula>"ARGM"</formula>
    </cfRule>
    <cfRule type="cellIs" dxfId="73" priority="350" stopIfTrue="1" operator="equal">
      <formula>"ARGM IT"</formula>
    </cfRule>
    <cfRule type="cellIs" dxfId="72" priority="351" stopIfTrue="1" operator="equal">
      <formula>"SM"</formula>
    </cfRule>
  </conditionalFormatting>
  <conditionalFormatting sqref="B24">
    <cfRule type="cellIs" dxfId="71" priority="348" stopIfTrue="1" operator="equal">
      <formula>"ВАКАНСИЯ"</formula>
    </cfRule>
  </conditionalFormatting>
  <conditionalFormatting sqref="B22">
    <cfRule type="cellIs" dxfId="70" priority="347" stopIfTrue="1" operator="equal">
      <formula>"ВАКАНСИЯ"</formula>
    </cfRule>
  </conditionalFormatting>
  <conditionalFormatting sqref="B23">
    <cfRule type="cellIs" dxfId="69" priority="344" stopIfTrue="1" operator="equal">
      <formula>"ARGM"</formula>
    </cfRule>
    <cfRule type="cellIs" dxfId="68" priority="345" stopIfTrue="1" operator="equal">
      <formula>"ARGM IT"</formula>
    </cfRule>
    <cfRule type="cellIs" dxfId="67" priority="346" stopIfTrue="1" operator="equal">
      <formula>"SM"</formula>
    </cfRule>
  </conditionalFormatting>
  <conditionalFormatting sqref="B26">
    <cfRule type="cellIs" dxfId="66" priority="343" stopIfTrue="1" operator="equal">
      <formula>"ВАКАНСИЯ"</formula>
    </cfRule>
  </conditionalFormatting>
  <conditionalFormatting sqref="B25">
    <cfRule type="cellIs" dxfId="65" priority="340" stopIfTrue="1" operator="equal">
      <formula>"ARGM"</formula>
    </cfRule>
    <cfRule type="cellIs" dxfId="64" priority="341" stopIfTrue="1" operator="equal">
      <formula>"ARGM IT"</formula>
    </cfRule>
    <cfRule type="cellIs" dxfId="63" priority="342" stopIfTrue="1" operator="equal">
      <formula>"SM"</formula>
    </cfRule>
  </conditionalFormatting>
  <conditionalFormatting sqref="B41">
    <cfRule type="cellIs" dxfId="62" priority="378" operator="equal">
      <formula>"ВАКАНСИЯ"</formula>
    </cfRule>
  </conditionalFormatting>
  <conditionalFormatting sqref="B30">
    <cfRule type="cellIs" dxfId="61" priority="353" stopIfTrue="1" operator="equal">
      <formula>"SM IT"</formula>
    </cfRule>
    <cfRule type="cellIs" dxfId="60" priority="354" stopIfTrue="1" operator="equal">
      <formula>"ARGM IT"</formula>
    </cfRule>
    <cfRule type="cellIs" dxfId="59" priority="355" stopIfTrue="1" operator="equal">
      <formula>"ARGM"</formula>
    </cfRule>
  </conditionalFormatting>
  <conditionalFormatting sqref="N6">
    <cfRule type="cellIs" dxfId="58" priority="128" operator="lessThan">
      <formula>1</formula>
    </cfRule>
  </conditionalFormatting>
  <conditionalFormatting sqref="B81">
    <cfRule type="cellIs" dxfId="57" priority="113" stopIfTrue="1" operator="equal">
      <formula>"SM IT"</formula>
    </cfRule>
    <cfRule type="cellIs" dxfId="56" priority="114" stopIfTrue="1" operator="equal">
      <formula>"ARGM IT"</formula>
    </cfRule>
    <cfRule type="cellIs" dxfId="55" priority="115" stopIfTrue="1" operator="equal">
      <formula>"ARGM"</formula>
    </cfRule>
  </conditionalFormatting>
  <conditionalFormatting sqref="B80">
    <cfRule type="cellIs" dxfId="54" priority="112" stopIfTrue="1" operator="equal">
      <formula>"ВАКАНСИЯ"</formula>
    </cfRule>
  </conditionalFormatting>
  <conditionalFormatting sqref="B81">
    <cfRule type="cellIs" dxfId="53" priority="109" stopIfTrue="1" operator="equal">
      <formula>"SM IT"</formula>
    </cfRule>
    <cfRule type="cellIs" dxfId="52" priority="110" stopIfTrue="1" operator="equal">
      <formula>"ARGM IT"</formula>
    </cfRule>
    <cfRule type="cellIs" dxfId="51" priority="111" stopIfTrue="1" operator="equal">
      <formula>"ARGM"</formula>
    </cfRule>
  </conditionalFormatting>
  <conditionalFormatting sqref="B80">
    <cfRule type="cellIs" dxfId="50" priority="108" stopIfTrue="1" operator="equal">
      <formula>"ВАКАНСИЯ"</formula>
    </cfRule>
  </conditionalFormatting>
  <conditionalFormatting sqref="B81">
    <cfRule type="cellIs" dxfId="49" priority="105" stopIfTrue="1" operator="equal">
      <formula>"SM IT"</formula>
    </cfRule>
    <cfRule type="cellIs" dxfId="48" priority="106" stopIfTrue="1" operator="equal">
      <formula>"ARGM IT"</formula>
    </cfRule>
    <cfRule type="cellIs" dxfId="47" priority="107" stopIfTrue="1" operator="equal">
      <formula>"ARGM"</formula>
    </cfRule>
  </conditionalFormatting>
  <conditionalFormatting sqref="H327:H329">
    <cfRule type="cellIs" dxfId="46" priority="95" operator="greaterThan">
      <formula>0</formula>
    </cfRule>
  </conditionalFormatting>
  <conditionalFormatting sqref="B44 B42 B36 B34 B32">
    <cfRule type="cellIs" dxfId="45" priority="92" stopIfTrue="1" operator="equal">
      <formula>"SM IT"</formula>
    </cfRule>
    <cfRule type="cellIs" dxfId="44" priority="93" stopIfTrue="1" operator="equal">
      <formula>"ARGM IT"</formula>
    </cfRule>
    <cfRule type="cellIs" dxfId="43" priority="94" stopIfTrue="1" operator="equal">
      <formula>"ARGM"</formula>
    </cfRule>
  </conditionalFormatting>
  <conditionalFormatting sqref="B122 B124 B126 B128 B130">
    <cfRule type="cellIs" dxfId="42" priority="66" stopIfTrue="1" operator="equal">
      <formula>"Trainer IT"</formula>
    </cfRule>
  </conditionalFormatting>
  <conditionalFormatting sqref="B131">
    <cfRule type="cellIs" dxfId="41" priority="63" stopIfTrue="1" operator="notEqual">
      <formula>"OK"</formula>
    </cfRule>
    <cfRule type="cellIs" dxfId="40" priority="64" stopIfTrue="1" operator="equal">
      <formula>"OK"</formula>
    </cfRule>
  </conditionalFormatting>
  <conditionalFormatting sqref="S5">
    <cfRule type="cellIs" dxfId="39" priority="61" stopIfTrue="1" operator="lessThan">
      <formula>1</formula>
    </cfRule>
  </conditionalFormatting>
  <conditionalFormatting sqref="I315">
    <cfRule type="cellIs" dxfId="38" priority="58" stopIfTrue="1" operator="equal">
      <formula>0</formula>
    </cfRule>
  </conditionalFormatting>
  <conditionalFormatting sqref="B83">
    <cfRule type="cellIs" dxfId="37" priority="55" stopIfTrue="1" operator="equal">
      <formula>"SM IT"</formula>
    </cfRule>
    <cfRule type="cellIs" dxfId="36" priority="56" stopIfTrue="1" operator="equal">
      <formula>"ARGM IT"</formula>
    </cfRule>
    <cfRule type="cellIs" dxfId="35" priority="57" stopIfTrue="1" operator="equal">
      <formula>"ARGM"</formula>
    </cfRule>
  </conditionalFormatting>
  <conditionalFormatting sqref="B83">
    <cfRule type="cellIs" dxfId="34" priority="52" stopIfTrue="1" operator="equal">
      <formula>"SM IT"</formula>
    </cfRule>
    <cfRule type="cellIs" dxfId="33" priority="53" stopIfTrue="1" operator="equal">
      <formula>"ARGM IT"</formula>
    </cfRule>
    <cfRule type="cellIs" dxfId="32" priority="54" stopIfTrue="1" operator="equal">
      <formula>"ARGM"</formula>
    </cfRule>
  </conditionalFormatting>
  <conditionalFormatting sqref="B83">
    <cfRule type="cellIs" dxfId="31" priority="49" stopIfTrue="1" operator="equal">
      <formula>"SM IT"</formula>
    </cfRule>
    <cfRule type="cellIs" dxfId="30" priority="50" stopIfTrue="1" operator="equal">
      <formula>"ARGM IT"</formula>
    </cfRule>
    <cfRule type="cellIs" dxfId="29" priority="51" stopIfTrue="1" operator="equal">
      <formula>"ARGM"</formula>
    </cfRule>
  </conditionalFormatting>
  <conditionalFormatting sqref="B85 B87 B89 B91 B93">
    <cfRule type="cellIs" dxfId="28" priority="46" stopIfTrue="1" operator="equal">
      <formula>"SM IT"</formula>
    </cfRule>
    <cfRule type="cellIs" dxfId="27" priority="47" stopIfTrue="1" operator="equal">
      <formula>"ARGM IT"</formula>
    </cfRule>
    <cfRule type="cellIs" dxfId="26" priority="48" stopIfTrue="1" operator="equal">
      <formula>"ARGM"</formula>
    </cfRule>
  </conditionalFormatting>
  <conditionalFormatting sqref="B85 B87 B89 B91 B93">
    <cfRule type="cellIs" dxfId="25" priority="43" stopIfTrue="1" operator="equal">
      <formula>"SM IT"</formula>
    </cfRule>
    <cfRule type="cellIs" dxfId="24" priority="44" stopIfTrue="1" operator="equal">
      <formula>"ARGM IT"</formula>
    </cfRule>
    <cfRule type="cellIs" dxfId="23" priority="45" stopIfTrue="1" operator="equal">
      <formula>"ARGM"</formula>
    </cfRule>
  </conditionalFormatting>
  <conditionalFormatting sqref="B85 B87 B89 B91 B93">
    <cfRule type="cellIs" dxfId="22" priority="40" stopIfTrue="1" operator="equal">
      <formula>"SM IT"</formula>
    </cfRule>
    <cfRule type="cellIs" dxfId="21" priority="41" stopIfTrue="1" operator="equal">
      <formula>"ARGM IT"</formula>
    </cfRule>
    <cfRule type="cellIs" dxfId="20" priority="42" stopIfTrue="1" operator="equal">
      <formula>"ARGM"</formula>
    </cfRule>
  </conditionalFormatting>
  <conditionalFormatting sqref="I22 I24 I26">
    <cfRule type="cellIs" dxfId="19" priority="32" stopIfTrue="1" operator="equal">
      <formula>"ВАКАНСИЯ"</formula>
    </cfRule>
  </conditionalFormatting>
  <conditionalFormatting sqref="Y159:Y298">
    <cfRule type="dataBar" priority="33">
      <dataBar showValue="0">
        <cfvo type="min"/>
        <cfvo type="max"/>
        <color theme="0" tint="-0.249977111117893"/>
      </dataBar>
      <extLst>
        <ext xmlns:x14="http://schemas.microsoft.com/office/spreadsheetml/2009/9/main" uri="{B025F937-C7B1-47D3-B67F-A62EFF666E3E}">
          <x14:id>{273CDBD4-509C-4EEB-8A98-1495C049295E}</x14:id>
        </ext>
      </extLst>
    </cfRule>
  </conditionalFormatting>
  <conditionalFormatting sqref="B112">
    <cfRule type="cellIs" dxfId="18" priority="20" stopIfTrue="1" operator="equal">
      <formula>"Trainer IT"</formula>
    </cfRule>
  </conditionalFormatting>
  <conditionalFormatting sqref="B114 B116 B118 B120">
    <cfRule type="cellIs" dxfId="17" priority="19" stopIfTrue="1" operator="equal">
      <formula>"Trainer IT"</formula>
    </cfRule>
  </conditionalFormatting>
  <conditionalFormatting sqref="H19">
    <cfRule type="cellIs" dxfId="16" priority="18" operator="equal">
      <formula>"RISK"</formula>
    </cfRule>
  </conditionalFormatting>
  <conditionalFormatting sqref="H26 H24 H22">
    <cfRule type="cellIs" dxfId="15" priority="17" operator="equal">
      <formula>"RISK"</formula>
    </cfRule>
  </conditionalFormatting>
  <conditionalFormatting sqref="H43 H41 H35 H33 H31 H29">
    <cfRule type="cellIs" dxfId="14" priority="16" operator="equal">
      <formula>"RISK"</formula>
    </cfRule>
  </conditionalFormatting>
  <conditionalFormatting sqref="H92 H90 H88 H86 H84 H82 H80">
    <cfRule type="cellIs" dxfId="13" priority="15" operator="equal">
      <formula>"RISK"</formula>
    </cfRule>
  </conditionalFormatting>
  <conditionalFormatting sqref="H111">
    <cfRule type="cellIs" dxfId="12" priority="14" operator="equal">
      <formula>"RISK"</formula>
    </cfRule>
  </conditionalFormatting>
  <conditionalFormatting sqref="H129 H127 H125 H123 H121 H119 H117 H115 H113">
    <cfRule type="cellIs" dxfId="11" priority="13" operator="equal">
      <formula>"RISK"</formula>
    </cfRule>
  </conditionalFormatting>
  <conditionalFormatting sqref="I29">
    <cfRule type="cellIs" dxfId="10" priority="12" stopIfTrue="1" operator="equal">
      <formula>"ВАКАНСИЯ"</formula>
    </cfRule>
  </conditionalFormatting>
  <conditionalFormatting sqref="I31 I33 I35 I41 I43">
    <cfRule type="cellIs" dxfId="9" priority="11" stopIfTrue="1" operator="equal">
      <formula>"ВАКАНСИЯ"</formula>
    </cfRule>
  </conditionalFormatting>
  <conditionalFormatting sqref="I80 I82 I84 I86 I88 I90 I92">
    <cfRule type="cellIs" dxfId="8" priority="10" stopIfTrue="1" operator="equal">
      <formula>"ВАКАНСИЯ"</formula>
    </cfRule>
  </conditionalFormatting>
  <conditionalFormatting sqref="I111 I113 I115 I117 I119 I121 I123 I125 I129 I127">
    <cfRule type="cellIs" dxfId="7" priority="9" stopIfTrue="1" operator="equal">
      <formula>"ВАКАНСИЯ"</formula>
    </cfRule>
  </conditionalFormatting>
  <conditionalFormatting sqref="B39">
    <cfRule type="cellIs" dxfId="6" priority="7" stopIfTrue="1" operator="equal">
      <formula>"ВАКАНСИЯ"</formula>
    </cfRule>
  </conditionalFormatting>
  <conditionalFormatting sqref="B37">
    <cfRule type="cellIs" dxfId="5" priority="6" operator="equal">
      <formula>"ВАКАНСИЯ"</formula>
    </cfRule>
  </conditionalFormatting>
  <conditionalFormatting sqref="B40 B38">
    <cfRule type="cellIs" dxfId="4" priority="3" stopIfTrue="1" operator="equal">
      <formula>"SM IT"</formula>
    </cfRule>
    <cfRule type="cellIs" dxfId="3" priority="4" stopIfTrue="1" operator="equal">
      <formula>"ARGM IT"</formula>
    </cfRule>
    <cfRule type="cellIs" dxfId="2" priority="5" stopIfTrue="1" operator="equal">
      <formula>"ARGM"</formula>
    </cfRule>
  </conditionalFormatting>
  <conditionalFormatting sqref="H39 H37">
    <cfRule type="cellIs" dxfId="1" priority="2" operator="equal">
      <formula>"RISK"</formula>
    </cfRule>
  </conditionalFormatting>
  <conditionalFormatting sqref="I37 I39">
    <cfRule type="cellIs" dxfId="0" priority="1" stopIfTrue="1" operator="equal">
      <formula>"ВАКАНСИЯ"</formula>
    </cfRule>
  </conditionalFormatting>
  <dataValidations count="15">
    <dataValidation type="list" allowBlank="1" showInputMessage="1" showErrorMessage="1" sqref="WVP983084:WWV983084 JD17:KJ17 WLT983084:WMZ983084 WBX983084:WDD983084 VSB983084:VTH983084 VIF983084:VJL983084 UYJ983084:UZP983084 UON983084:UPT983084 UER983084:UFX983084 TUV983084:TWB983084 TKZ983084:TMF983084 TBD983084:TCJ983084 SRH983084:SSN983084 SHL983084:SIR983084 RXP983084:RYV983084 RNT983084:ROZ983084 RDX983084:RFD983084 QUB983084:QVH983084 QKF983084:QLL983084 QAJ983084:QBP983084 PQN983084:PRT983084 PGR983084:PHX983084 OWV983084:OYB983084 OMZ983084:OOF983084 ODD983084:OEJ983084 NTH983084:NUN983084 NJL983084:NKR983084 MZP983084:NAV983084 MPT983084:MQZ983084 MFX983084:MHD983084 LWB983084:LXH983084 LMF983084:LNL983084 LCJ983084:LDP983084 KSN983084:KTT983084 KIR983084:KJX983084 JYV983084:KAB983084 JOZ983084:JQF983084 JFD983084:JGJ983084 IVH983084:IWN983084 ILL983084:IMR983084 IBP983084:ICV983084 HRT983084:HSZ983084 HHX983084:HJD983084 GYB983084:GZH983084 GOF983084:GPL983084 GEJ983084:GFP983084 FUN983084:FVT983084 FKR983084:FLX983084 FAV983084:FCB983084 EQZ983084:ESF983084 EHD983084:EIJ983084 DXH983084:DYN983084 DNL983084:DOR983084 DDP983084:DEV983084 CTT983084:CUZ983084 CJX983084:CLD983084 CAB983084:CBH983084 BQF983084:BRL983084 BGJ983084:BHP983084 AWN983084:AXT983084 AMR983084:ANX983084 ACV983084:AEB983084 SZ983084:UF983084 JD983084:KJ983084 B983084:AM983084 WVP917548:WWV917548 WLT917548:WMZ917548 WBX917548:WDD917548 VSB917548:VTH917548 VIF917548:VJL917548 UYJ917548:UZP917548 UON917548:UPT917548 UER917548:UFX917548 TUV917548:TWB917548 TKZ917548:TMF917548 TBD917548:TCJ917548 SRH917548:SSN917548 SHL917548:SIR917548 RXP917548:RYV917548 RNT917548:ROZ917548 RDX917548:RFD917548 QUB917548:QVH917548 QKF917548:QLL917548 QAJ917548:QBP917548 PQN917548:PRT917548 PGR917548:PHX917548 OWV917548:OYB917548 OMZ917548:OOF917548 ODD917548:OEJ917548 NTH917548:NUN917548 NJL917548:NKR917548 MZP917548:NAV917548 MPT917548:MQZ917548 MFX917548:MHD917548 LWB917548:LXH917548 LMF917548:LNL917548 LCJ917548:LDP917548 KSN917548:KTT917548 KIR917548:KJX917548 JYV917548:KAB917548 JOZ917548:JQF917548 JFD917548:JGJ917548 IVH917548:IWN917548 ILL917548:IMR917548 IBP917548:ICV917548 HRT917548:HSZ917548 HHX917548:HJD917548 GYB917548:GZH917548 GOF917548:GPL917548 GEJ917548:GFP917548 FUN917548:FVT917548 FKR917548:FLX917548 FAV917548:FCB917548 EQZ917548:ESF917548 EHD917548:EIJ917548 DXH917548:DYN917548 DNL917548:DOR917548 DDP917548:DEV917548 CTT917548:CUZ917548 CJX917548:CLD917548 CAB917548:CBH917548 BQF917548:BRL917548 BGJ917548:BHP917548 AWN917548:AXT917548 AMR917548:ANX917548 ACV917548:AEB917548 SZ917548:UF917548 JD917548:KJ917548 B917548:AM917548 WVP852012:WWV852012 WLT852012:WMZ852012 WBX852012:WDD852012 VSB852012:VTH852012 VIF852012:VJL852012 UYJ852012:UZP852012 UON852012:UPT852012 UER852012:UFX852012 TUV852012:TWB852012 TKZ852012:TMF852012 TBD852012:TCJ852012 SRH852012:SSN852012 SHL852012:SIR852012 RXP852012:RYV852012 RNT852012:ROZ852012 RDX852012:RFD852012 QUB852012:QVH852012 QKF852012:QLL852012 QAJ852012:QBP852012 PQN852012:PRT852012 PGR852012:PHX852012 OWV852012:OYB852012 OMZ852012:OOF852012 ODD852012:OEJ852012 NTH852012:NUN852012 NJL852012:NKR852012 MZP852012:NAV852012 MPT852012:MQZ852012 MFX852012:MHD852012 LWB852012:LXH852012 LMF852012:LNL852012 LCJ852012:LDP852012 KSN852012:KTT852012 KIR852012:KJX852012 JYV852012:KAB852012 JOZ852012:JQF852012 JFD852012:JGJ852012 IVH852012:IWN852012 ILL852012:IMR852012 IBP852012:ICV852012 HRT852012:HSZ852012 HHX852012:HJD852012 GYB852012:GZH852012 GOF852012:GPL852012 GEJ852012:GFP852012 FUN852012:FVT852012 FKR852012:FLX852012 FAV852012:FCB852012 EQZ852012:ESF852012 EHD852012:EIJ852012 DXH852012:DYN852012 DNL852012:DOR852012 DDP852012:DEV852012 CTT852012:CUZ852012 CJX852012:CLD852012 CAB852012:CBH852012 BQF852012:BRL852012 BGJ852012:BHP852012 AWN852012:AXT852012 AMR852012:ANX852012 ACV852012:AEB852012 SZ852012:UF852012 JD852012:KJ852012 B852012:AM852012 WVP786476:WWV786476 WLT786476:WMZ786476 WBX786476:WDD786476 VSB786476:VTH786476 VIF786476:VJL786476 UYJ786476:UZP786476 UON786476:UPT786476 UER786476:UFX786476 TUV786476:TWB786476 TKZ786476:TMF786476 TBD786476:TCJ786476 SRH786476:SSN786476 SHL786476:SIR786476 RXP786476:RYV786476 RNT786476:ROZ786476 RDX786476:RFD786476 QUB786476:QVH786476 QKF786476:QLL786476 QAJ786476:QBP786476 PQN786476:PRT786476 PGR786476:PHX786476 OWV786476:OYB786476 OMZ786476:OOF786476 ODD786476:OEJ786476 NTH786476:NUN786476 NJL786476:NKR786476 MZP786476:NAV786476 MPT786476:MQZ786476 MFX786476:MHD786476 LWB786476:LXH786476 LMF786476:LNL786476 LCJ786476:LDP786476 KSN786476:KTT786476 KIR786476:KJX786476 JYV786476:KAB786476 JOZ786476:JQF786476 JFD786476:JGJ786476 IVH786476:IWN786476 ILL786476:IMR786476 IBP786476:ICV786476 HRT786476:HSZ786476 HHX786476:HJD786476 GYB786476:GZH786476 GOF786476:GPL786476 GEJ786476:GFP786476 FUN786476:FVT786476 FKR786476:FLX786476 FAV786476:FCB786476 EQZ786476:ESF786476 EHD786476:EIJ786476 DXH786476:DYN786476 DNL786476:DOR786476 DDP786476:DEV786476 CTT786476:CUZ786476 CJX786476:CLD786476 CAB786476:CBH786476 BQF786476:BRL786476 BGJ786476:BHP786476 AWN786476:AXT786476 AMR786476:ANX786476 ACV786476:AEB786476 SZ786476:UF786476 JD786476:KJ786476 B786476:AM786476 WVP720940:WWV720940 WLT720940:WMZ720940 WBX720940:WDD720940 VSB720940:VTH720940 VIF720940:VJL720940 UYJ720940:UZP720940 UON720940:UPT720940 UER720940:UFX720940 TUV720940:TWB720940 TKZ720940:TMF720940 TBD720940:TCJ720940 SRH720940:SSN720940 SHL720940:SIR720940 RXP720940:RYV720940 RNT720940:ROZ720940 RDX720940:RFD720940 QUB720940:QVH720940 QKF720940:QLL720940 QAJ720940:QBP720940 PQN720940:PRT720940 PGR720940:PHX720940 OWV720940:OYB720940 OMZ720940:OOF720940 ODD720940:OEJ720940 NTH720940:NUN720940 NJL720940:NKR720940 MZP720940:NAV720940 MPT720940:MQZ720940 MFX720940:MHD720940 LWB720940:LXH720940 LMF720940:LNL720940 LCJ720940:LDP720940 KSN720940:KTT720940 KIR720940:KJX720940 JYV720940:KAB720940 JOZ720940:JQF720940 JFD720940:JGJ720940 IVH720940:IWN720940 ILL720940:IMR720940 IBP720940:ICV720940 HRT720940:HSZ720940 HHX720940:HJD720940 GYB720940:GZH720940 GOF720940:GPL720940 GEJ720940:GFP720940 FUN720940:FVT720940 FKR720940:FLX720940 FAV720940:FCB720940 EQZ720940:ESF720940 EHD720940:EIJ720940 DXH720940:DYN720940 DNL720940:DOR720940 DDP720940:DEV720940 CTT720940:CUZ720940 CJX720940:CLD720940 CAB720940:CBH720940 BQF720940:BRL720940 BGJ720940:BHP720940 AWN720940:AXT720940 AMR720940:ANX720940 ACV720940:AEB720940 SZ720940:UF720940 JD720940:KJ720940 B720940:AM720940 WVP655404:WWV655404 WLT655404:WMZ655404 WBX655404:WDD655404 VSB655404:VTH655404 VIF655404:VJL655404 UYJ655404:UZP655404 UON655404:UPT655404 UER655404:UFX655404 TUV655404:TWB655404 TKZ655404:TMF655404 TBD655404:TCJ655404 SRH655404:SSN655404 SHL655404:SIR655404 RXP655404:RYV655404 RNT655404:ROZ655404 RDX655404:RFD655404 QUB655404:QVH655404 QKF655404:QLL655404 QAJ655404:QBP655404 PQN655404:PRT655404 PGR655404:PHX655404 OWV655404:OYB655404 OMZ655404:OOF655404 ODD655404:OEJ655404 NTH655404:NUN655404 NJL655404:NKR655404 MZP655404:NAV655404 MPT655404:MQZ655404 MFX655404:MHD655404 LWB655404:LXH655404 LMF655404:LNL655404 LCJ655404:LDP655404 KSN655404:KTT655404 KIR655404:KJX655404 JYV655404:KAB655404 JOZ655404:JQF655404 JFD655404:JGJ655404 IVH655404:IWN655404 ILL655404:IMR655404 IBP655404:ICV655404 HRT655404:HSZ655404 HHX655404:HJD655404 GYB655404:GZH655404 GOF655404:GPL655404 GEJ655404:GFP655404 FUN655404:FVT655404 FKR655404:FLX655404 FAV655404:FCB655404 EQZ655404:ESF655404 EHD655404:EIJ655404 DXH655404:DYN655404 DNL655404:DOR655404 DDP655404:DEV655404 CTT655404:CUZ655404 CJX655404:CLD655404 CAB655404:CBH655404 BQF655404:BRL655404 BGJ655404:BHP655404 AWN655404:AXT655404 AMR655404:ANX655404 ACV655404:AEB655404 SZ655404:UF655404 JD655404:KJ655404 B655404:AM655404 WVP589868:WWV589868 WLT589868:WMZ589868 WBX589868:WDD589868 VSB589868:VTH589868 VIF589868:VJL589868 UYJ589868:UZP589868 UON589868:UPT589868 UER589868:UFX589868 TUV589868:TWB589868 TKZ589868:TMF589868 TBD589868:TCJ589868 SRH589868:SSN589868 SHL589868:SIR589868 RXP589868:RYV589868 RNT589868:ROZ589868 RDX589868:RFD589868 QUB589868:QVH589868 QKF589868:QLL589868 QAJ589868:QBP589868 PQN589868:PRT589868 PGR589868:PHX589868 OWV589868:OYB589868 OMZ589868:OOF589868 ODD589868:OEJ589868 NTH589868:NUN589868 NJL589868:NKR589868 MZP589868:NAV589868 MPT589868:MQZ589868 MFX589868:MHD589868 LWB589868:LXH589868 LMF589868:LNL589868 LCJ589868:LDP589868 KSN589868:KTT589868 KIR589868:KJX589868 JYV589868:KAB589868 JOZ589868:JQF589868 JFD589868:JGJ589868 IVH589868:IWN589868 ILL589868:IMR589868 IBP589868:ICV589868 HRT589868:HSZ589868 HHX589868:HJD589868 GYB589868:GZH589868 GOF589868:GPL589868 GEJ589868:GFP589868 FUN589868:FVT589868 FKR589868:FLX589868 FAV589868:FCB589868 EQZ589868:ESF589868 EHD589868:EIJ589868 DXH589868:DYN589868 DNL589868:DOR589868 DDP589868:DEV589868 CTT589868:CUZ589868 CJX589868:CLD589868 CAB589868:CBH589868 BQF589868:BRL589868 BGJ589868:BHP589868 AWN589868:AXT589868 AMR589868:ANX589868 ACV589868:AEB589868 SZ589868:UF589868 JD589868:KJ589868 B589868:AM589868 WVP524332:WWV524332 WLT524332:WMZ524332 WBX524332:WDD524332 VSB524332:VTH524332 VIF524332:VJL524332 UYJ524332:UZP524332 UON524332:UPT524332 UER524332:UFX524332 TUV524332:TWB524332 TKZ524332:TMF524332 TBD524332:TCJ524332 SRH524332:SSN524332 SHL524332:SIR524332 RXP524332:RYV524332 RNT524332:ROZ524332 RDX524332:RFD524332 QUB524332:QVH524332 QKF524332:QLL524332 QAJ524332:QBP524332 PQN524332:PRT524332 PGR524332:PHX524332 OWV524332:OYB524332 OMZ524332:OOF524332 ODD524332:OEJ524332 NTH524332:NUN524332 NJL524332:NKR524332 MZP524332:NAV524332 MPT524332:MQZ524332 MFX524332:MHD524332 LWB524332:LXH524332 LMF524332:LNL524332 LCJ524332:LDP524332 KSN524332:KTT524332 KIR524332:KJX524332 JYV524332:KAB524332 JOZ524332:JQF524332 JFD524332:JGJ524332 IVH524332:IWN524332 ILL524332:IMR524332 IBP524332:ICV524332 HRT524332:HSZ524332 HHX524332:HJD524332 GYB524332:GZH524332 GOF524332:GPL524332 GEJ524332:GFP524332 FUN524332:FVT524332 FKR524332:FLX524332 FAV524332:FCB524332 EQZ524332:ESF524332 EHD524332:EIJ524332 DXH524332:DYN524332 DNL524332:DOR524332 DDP524332:DEV524332 CTT524332:CUZ524332 CJX524332:CLD524332 CAB524332:CBH524332 BQF524332:BRL524332 BGJ524332:BHP524332 AWN524332:AXT524332 AMR524332:ANX524332 ACV524332:AEB524332 SZ524332:UF524332 JD524332:KJ524332 B524332:AM524332 WVP458796:WWV458796 WLT458796:WMZ458796 WBX458796:WDD458796 VSB458796:VTH458796 VIF458796:VJL458796 UYJ458796:UZP458796 UON458796:UPT458796 UER458796:UFX458796 TUV458796:TWB458796 TKZ458796:TMF458796 TBD458796:TCJ458796 SRH458796:SSN458796 SHL458796:SIR458796 RXP458796:RYV458796 RNT458796:ROZ458796 RDX458796:RFD458796 QUB458796:QVH458796 QKF458796:QLL458796 QAJ458796:QBP458796 PQN458796:PRT458796 PGR458796:PHX458796 OWV458796:OYB458796 OMZ458796:OOF458796 ODD458796:OEJ458796 NTH458796:NUN458796 NJL458796:NKR458796 MZP458796:NAV458796 MPT458796:MQZ458796 MFX458796:MHD458796 LWB458796:LXH458796 LMF458796:LNL458796 LCJ458796:LDP458796 KSN458796:KTT458796 KIR458796:KJX458796 JYV458796:KAB458796 JOZ458796:JQF458796 JFD458796:JGJ458796 IVH458796:IWN458796 ILL458796:IMR458796 IBP458796:ICV458796 HRT458796:HSZ458796 HHX458796:HJD458796 GYB458796:GZH458796 GOF458796:GPL458796 GEJ458796:GFP458796 FUN458796:FVT458796 FKR458796:FLX458796 FAV458796:FCB458796 EQZ458796:ESF458796 EHD458796:EIJ458796 DXH458796:DYN458796 DNL458796:DOR458796 DDP458796:DEV458796 CTT458796:CUZ458796 CJX458796:CLD458796 CAB458796:CBH458796 BQF458796:BRL458796 BGJ458796:BHP458796 AWN458796:AXT458796 AMR458796:ANX458796 ACV458796:AEB458796 SZ458796:UF458796 JD458796:KJ458796 B458796:AM458796 WVP393260:WWV393260 WLT393260:WMZ393260 WBX393260:WDD393260 VSB393260:VTH393260 VIF393260:VJL393260 UYJ393260:UZP393260 UON393260:UPT393260 UER393260:UFX393260 TUV393260:TWB393260 TKZ393260:TMF393260 TBD393260:TCJ393260 SRH393260:SSN393260 SHL393260:SIR393260 RXP393260:RYV393260 RNT393260:ROZ393260 RDX393260:RFD393260 QUB393260:QVH393260 QKF393260:QLL393260 QAJ393260:QBP393260 PQN393260:PRT393260 PGR393260:PHX393260 OWV393260:OYB393260 OMZ393260:OOF393260 ODD393260:OEJ393260 NTH393260:NUN393260 NJL393260:NKR393260 MZP393260:NAV393260 MPT393260:MQZ393260 MFX393260:MHD393260 LWB393260:LXH393260 LMF393260:LNL393260 LCJ393260:LDP393260 KSN393260:KTT393260 KIR393260:KJX393260 JYV393260:KAB393260 JOZ393260:JQF393260 JFD393260:JGJ393260 IVH393260:IWN393260 ILL393260:IMR393260 IBP393260:ICV393260 HRT393260:HSZ393260 HHX393260:HJD393260 GYB393260:GZH393260 GOF393260:GPL393260 GEJ393260:GFP393260 FUN393260:FVT393260 FKR393260:FLX393260 FAV393260:FCB393260 EQZ393260:ESF393260 EHD393260:EIJ393260 DXH393260:DYN393260 DNL393260:DOR393260 DDP393260:DEV393260 CTT393260:CUZ393260 CJX393260:CLD393260 CAB393260:CBH393260 BQF393260:BRL393260 BGJ393260:BHP393260 AWN393260:AXT393260 AMR393260:ANX393260 ACV393260:AEB393260 SZ393260:UF393260 JD393260:KJ393260 B393260:AM393260 WVP327724:WWV327724 WLT327724:WMZ327724 WBX327724:WDD327724 VSB327724:VTH327724 VIF327724:VJL327724 UYJ327724:UZP327724 UON327724:UPT327724 UER327724:UFX327724 TUV327724:TWB327724 TKZ327724:TMF327724 TBD327724:TCJ327724 SRH327724:SSN327724 SHL327724:SIR327724 RXP327724:RYV327724 RNT327724:ROZ327724 RDX327724:RFD327724 QUB327724:QVH327724 QKF327724:QLL327724 QAJ327724:QBP327724 PQN327724:PRT327724 PGR327724:PHX327724 OWV327724:OYB327724 OMZ327724:OOF327724 ODD327724:OEJ327724 NTH327724:NUN327724 NJL327724:NKR327724 MZP327724:NAV327724 MPT327724:MQZ327724 MFX327724:MHD327724 LWB327724:LXH327724 LMF327724:LNL327724 LCJ327724:LDP327724 KSN327724:KTT327724 KIR327724:KJX327724 JYV327724:KAB327724 JOZ327724:JQF327724 JFD327724:JGJ327724 IVH327724:IWN327724 ILL327724:IMR327724 IBP327724:ICV327724 HRT327724:HSZ327724 HHX327724:HJD327724 GYB327724:GZH327724 GOF327724:GPL327724 GEJ327724:GFP327724 FUN327724:FVT327724 FKR327724:FLX327724 FAV327724:FCB327724 EQZ327724:ESF327724 EHD327724:EIJ327724 DXH327724:DYN327724 DNL327724:DOR327724 DDP327724:DEV327724 CTT327724:CUZ327724 CJX327724:CLD327724 CAB327724:CBH327724 BQF327724:BRL327724 BGJ327724:BHP327724 AWN327724:AXT327724 AMR327724:ANX327724 ACV327724:AEB327724 SZ327724:UF327724 JD327724:KJ327724 B327724:AM327724 WVP262188:WWV262188 WLT262188:WMZ262188 WBX262188:WDD262188 VSB262188:VTH262188 VIF262188:VJL262188 UYJ262188:UZP262188 UON262188:UPT262188 UER262188:UFX262188 TUV262188:TWB262188 TKZ262188:TMF262188 TBD262188:TCJ262188 SRH262188:SSN262188 SHL262188:SIR262188 RXP262188:RYV262188 RNT262188:ROZ262188 RDX262188:RFD262188 QUB262188:QVH262188 QKF262188:QLL262188 QAJ262188:QBP262188 PQN262188:PRT262188 PGR262188:PHX262188 OWV262188:OYB262188 OMZ262188:OOF262188 ODD262188:OEJ262188 NTH262188:NUN262188 NJL262188:NKR262188 MZP262188:NAV262188 MPT262188:MQZ262188 MFX262188:MHD262188 LWB262188:LXH262188 LMF262188:LNL262188 LCJ262188:LDP262188 KSN262188:KTT262188 KIR262188:KJX262188 JYV262188:KAB262188 JOZ262188:JQF262188 JFD262188:JGJ262188 IVH262188:IWN262188 ILL262188:IMR262188 IBP262188:ICV262188 HRT262188:HSZ262188 HHX262188:HJD262188 GYB262188:GZH262188 GOF262188:GPL262188 GEJ262188:GFP262188 FUN262188:FVT262188 FKR262188:FLX262188 FAV262188:FCB262188 EQZ262188:ESF262188 EHD262188:EIJ262188 DXH262188:DYN262188 DNL262188:DOR262188 DDP262188:DEV262188 CTT262188:CUZ262188 CJX262188:CLD262188 CAB262188:CBH262188 BQF262188:BRL262188 BGJ262188:BHP262188 AWN262188:AXT262188 AMR262188:ANX262188 ACV262188:AEB262188 SZ262188:UF262188 JD262188:KJ262188 B262188:AM262188 WVP196652:WWV196652 WLT196652:WMZ196652 WBX196652:WDD196652 VSB196652:VTH196652 VIF196652:VJL196652 UYJ196652:UZP196652 UON196652:UPT196652 UER196652:UFX196652 TUV196652:TWB196652 TKZ196652:TMF196652 TBD196652:TCJ196652 SRH196652:SSN196652 SHL196652:SIR196652 RXP196652:RYV196652 RNT196652:ROZ196652 RDX196652:RFD196652 QUB196652:QVH196652 QKF196652:QLL196652 QAJ196652:QBP196652 PQN196652:PRT196652 PGR196652:PHX196652 OWV196652:OYB196652 OMZ196652:OOF196652 ODD196652:OEJ196652 NTH196652:NUN196652 NJL196652:NKR196652 MZP196652:NAV196652 MPT196652:MQZ196652 MFX196652:MHD196652 LWB196652:LXH196652 LMF196652:LNL196652 LCJ196652:LDP196652 KSN196652:KTT196652 KIR196652:KJX196652 JYV196652:KAB196652 JOZ196652:JQF196652 JFD196652:JGJ196652 IVH196652:IWN196652 ILL196652:IMR196652 IBP196652:ICV196652 HRT196652:HSZ196652 HHX196652:HJD196652 GYB196652:GZH196652 GOF196652:GPL196652 GEJ196652:GFP196652 FUN196652:FVT196652 FKR196652:FLX196652 FAV196652:FCB196652 EQZ196652:ESF196652 EHD196652:EIJ196652 DXH196652:DYN196652 DNL196652:DOR196652 DDP196652:DEV196652 CTT196652:CUZ196652 CJX196652:CLD196652 CAB196652:CBH196652 BQF196652:BRL196652 BGJ196652:BHP196652 AWN196652:AXT196652 AMR196652:ANX196652 ACV196652:AEB196652 SZ196652:UF196652 JD196652:KJ196652 B196652:AM196652 WVP131116:WWV131116 WLT131116:WMZ131116 WBX131116:WDD131116 VSB131116:VTH131116 VIF131116:VJL131116 UYJ131116:UZP131116 UON131116:UPT131116 UER131116:UFX131116 TUV131116:TWB131116 TKZ131116:TMF131116 TBD131116:TCJ131116 SRH131116:SSN131116 SHL131116:SIR131116 RXP131116:RYV131116 RNT131116:ROZ131116 RDX131116:RFD131116 QUB131116:QVH131116 QKF131116:QLL131116 QAJ131116:QBP131116 PQN131116:PRT131116 PGR131116:PHX131116 OWV131116:OYB131116 OMZ131116:OOF131116 ODD131116:OEJ131116 NTH131116:NUN131116 NJL131116:NKR131116 MZP131116:NAV131116 MPT131116:MQZ131116 MFX131116:MHD131116 LWB131116:LXH131116 LMF131116:LNL131116 LCJ131116:LDP131116 KSN131116:KTT131116 KIR131116:KJX131116 JYV131116:KAB131116 JOZ131116:JQF131116 JFD131116:JGJ131116 IVH131116:IWN131116 ILL131116:IMR131116 IBP131116:ICV131116 HRT131116:HSZ131116 HHX131116:HJD131116 GYB131116:GZH131116 GOF131116:GPL131116 GEJ131116:GFP131116 FUN131116:FVT131116 FKR131116:FLX131116 FAV131116:FCB131116 EQZ131116:ESF131116 EHD131116:EIJ131116 DXH131116:DYN131116 DNL131116:DOR131116 DDP131116:DEV131116 CTT131116:CUZ131116 CJX131116:CLD131116 CAB131116:CBH131116 BQF131116:BRL131116 BGJ131116:BHP131116 AWN131116:AXT131116 AMR131116:ANX131116 ACV131116:AEB131116 SZ131116:UF131116 JD131116:KJ131116 B131116:AM131116 WVP65580:WWV65580 WLT65580:WMZ65580 WBX65580:WDD65580 VSB65580:VTH65580 VIF65580:VJL65580 UYJ65580:UZP65580 UON65580:UPT65580 UER65580:UFX65580 TUV65580:TWB65580 TKZ65580:TMF65580 TBD65580:TCJ65580 SRH65580:SSN65580 SHL65580:SIR65580 RXP65580:RYV65580 RNT65580:ROZ65580 RDX65580:RFD65580 QUB65580:QVH65580 QKF65580:QLL65580 QAJ65580:QBP65580 PQN65580:PRT65580 PGR65580:PHX65580 OWV65580:OYB65580 OMZ65580:OOF65580 ODD65580:OEJ65580 NTH65580:NUN65580 NJL65580:NKR65580 MZP65580:NAV65580 MPT65580:MQZ65580 MFX65580:MHD65580 LWB65580:LXH65580 LMF65580:LNL65580 LCJ65580:LDP65580 KSN65580:KTT65580 KIR65580:KJX65580 JYV65580:KAB65580 JOZ65580:JQF65580 JFD65580:JGJ65580 IVH65580:IWN65580 ILL65580:IMR65580 IBP65580:ICV65580 HRT65580:HSZ65580 HHX65580:HJD65580 GYB65580:GZH65580 GOF65580:GPL65580 GEJ65580:GFP65580 FUN65580:FVT65580 FKR65580:FLX65580 FAV65580:FCB65580 EQZ65580:ESF65580 EHD65580:EIJ65580 DXH65580:DYN65580 DNL65580:DOR65580 DDP65580:DEV65580 CTT65580:CUZ65580 CJX65580:CLD65580 CAB65580:CBH65580 BQF65580:BRL65580 BGJ65580:BHP65580 AWN65580:AXT65580 AMR65580:ANX65580 ACV65580:AEB65580 SZ65580:UF65580 JD65580:KJ65580 B65580:AM65580 WVP17:WWV17 WLT17:WMZ17 WBX17:WDD17 VSB17:VTH17 VIF17:VJL17 UYJ17:UZP17 UON17:UPT17 UER17:UFX17 TUV17:TWB17 TKZ17:TMF17 TBD17:TCJ17 SRH17:SSN17 SHL17:SIR17 RXP17:RYV17 RNT17:ROZ17 RDX17:RFD17 QUB17:QVH17 QKF17:QLL17 QAJ17:QBP17 PQN17:PRT17 PGR17:PHX17 OWV17:OYB17 OMZ17:OOF17 ODD17:OEJ17 NTH17:NUN17 NJL17:NKR17 MZP17:NAV17 MPT17:MQZ17 MFX17:MHD17 LWB17:LXH17 LMF17:LNL17 LCJ17:LDP17 KSN17:KTT17 KIR17:KJX17 JYV17:KAB17 JOZ17:JQF17 JFD17:JGJ17 IVH17:IWN17 ILL17:IMR17 IBP17:ICV17 HRT17:HSZ17 HHX17:HJD17 GYB17:GZH17 GOF17:GPL17 GEJ17:GFP17 FUN17:FVT17 FKR17:FLX17 FAV17:FCB17 EQZ17:ESF17 EHD17:EIJ17 DXH17:DYN17 DNL17:DOR17 DDP17:DEV17 CTT17:CUZ17 CJX17:CLD17 CAB17:CBH17 BQF17:BRL17 BGJ17:BHP17 AWN17:AXT17 AMR17:ANX17 ACV17:AEB17 SZ17:UF17 B17:C17" xr:uid="{00000000-0002-0000-0100-000000000000}">
      <formula1>$BB$23:$BB$29</formula1>
    </dataValidation>
    <dataValidation type="list" allowBlank="1" showInputMessage="1" showErrorMessage="1" sqref="B1 ADB4 AMX4 AWT4 BGP4 BQL4 CAH4 CKD4 CTZ4 DDV4 DNR4 DXN4 EHJ4 ERF4 FBB4 FKX4 FUT4 GEP4 GOL4 GYH4 HID4 HRZ4 IBV4 ILR4 IVN4 JFJ4 JPF4 JZB4 KIX4 KST4 LCP4 LML4 LWH4 MGD4 MPZ4 MZV4 NJR4 NTN4 ODJ4 ONF4 OXB4 PGX4 PQT4 QAP4 QKL4 QUH4 RED4 RNZ4 RXV4 SHR4 SRN4 TBJ4 TLF4 TVB4 UEX4 UOT4 UYP4 VIL4 VSH4 WCD4 WLZ4 WVV4 I65574 JJ65574 TF65574 ADB65574 AMX65574 AWT65574 BGP65574 BQL65574 CAH65574 CKD65574 CTZ65574 DDV65574 DNR65574 DXN65574 EHJ65574 ERF65574 FBB65574 FKX65574 FUT65574 GEP65574 GOL65574 GYH65574 HID65574 HRZ65574 IBV65574 ILR65574 IVN65574 JFJ65574 JPF65574 JZB65574 KIX65574 KST65574 LCP65574 LML65574 LWH65574 MGD65574 MPZ65574 MZV65574 NJR65574 NTN65574 ODJ65574 ONF65574 OXB65574 PGX65574 PQT65574 QAP65574 QKL65574 QUH65574 RED65574 RNZ65574 RXV65574 SHR65574 SRN65574 TBJ65574 TLF65574 TVB65574 UEX65574 UOT65574 UYP65574 VIL65574 VSH65574 WCD65574 WLZ65574 WVV65574 I131110 JJ131110 TF131110 ADB131110 AMX131110 AWT131110 BGP131110 BQL131110 CAH131110 CKD131110 CTZ131110 DDV131110 DNR131110 DXN131110 EHJ131110 ERF131110 FBB131110 FKX131110 FUT131110 GEP131110 GOL131110 GYH131110 HID131110 HRZ131110 IBV131110 ILR131110 IVN131110 JFJ131110 JPF131110 JZB131110 KIX131110 KST131110 LCP131110 LML131110 LWH131110 MGD131110 MPZ131110 MZV131110 NJR131110 NTN131110 ODJ131110 ONF131110 OXB131110 PGX131110 PQT131110 QAP131110 QKL131110 QUH131110 RED131110 RNZ131110 RXV131110 SHR131110 SRN131110 TBJ131110 TLF131110 TVB131110 UEX131110 UOT131110 UYP131110 VIL131110 VSH131110 WCD131110 WLZ131110 WVV131110 I196646 JJ196646 TF196646 ADB196646 AMX196646 AWT196646 BGP196646 BQL196646 CAH196646 CKD196646 CTZ196646 DDV196646 DNR196646 DXN196646 EHJ196646 ERF196646 FBB196646 FKX196646 FUT196646 GEP196646 GOL196646 GYH196646 HID196646 HRZ196646 IBV196646 ILR196646 IVN196646 JFJ196646 JPF196646 JZB196646 KIX196646 KST196646 LCP196646 LML196646 LWH196646 MGD196646 MPZ196646 MZV196646 NJR196646 NTN196646 ODJ196646 ONF196646 OXB196646 PGX196646 PQT196646 QAP196646 QKL196646 QUH196646 RED196646 RNZ196646 RXV196646 SHR196646 SRN196646 TBJ196646 TLF196646 TVB196646 UEX196646 UOT196646 UYP196646 VIL196646 VSH196646 WCD196646 WLZ196646 WVV196646 I262182 JJ262182 TF262182 ADB262182 AMX262182 AWT262182 BGP262182 BQL262182 CAH262182 CKD262182 CTZ262182 DDV262182 DNR262182 DXN262182 EHJ262182 ERF262182 FBB262182 FKX262182 FUT262182 GEP262182 GOL262182 GYH262182 HID262182 HRZ262182 IBV262182 ILR262182 IVN262182 JFJ262182 JPF262182 JZB262182 KIX262182 KST262182 LCP262182 LML262182 LWH262182 MGD262182 MPZ262182 MZV262182 NJR262182 NTN262182 ODJ262182 ONF262182 OXB262182 PGX262182 PQT262182 QAP262182 QKL262182 QUH262182 RED262182 RNZ262182 RXV262182 SHR262182 SRN262182 TBJ262182 TLF262182 TVB262182 UEX262182 UOT262182 UYP262182 VIL262182 VSH262182 WCD262182 WLZ262182 WVV262182 I327718 JJ327718 TF327718 ADB327718 AMX327718 AWT327718 BGP327718 BQL327718 CAH327718 CKD327718 CTZ327718 DDV327718 DNR327718 DXN327718 EHJ327718 ERF327718 FBB327718 FKX327718 FUT327718 GEP327718 GOL327718 GYH327718 HID327718 HRZ327718 IBV327718 ILR327718 IVN327718 JFJ327718 JPF327718 JZB327718 KIX327718 KST327718 LCP327718 LML327718 LWH327718 MGD327718 MPZ327718 MZV327718 NJR327718 NTN327718 ODJ327718 ONF327718 OXB327718 PGX327718 PQT327718 QAP327718 QKL327718 QUH327718 RED327718 RNZ327718 RXV327718 SHR327718 SRN327718 TBJ327718 TLF327718 TVB327718 UEX327718 UOT327718 UYP327718 VIL327718 VSH327718 WCD327718 WLZ327718 WVV327718 I393254 JJ393254 TF393254 ADB393254 AMX393254 AWT393254 BGP393254 BQL393254 CAH393254 CKD393254 CTZ393254 DDV393254 DNR393254 DXN393254 EHJ393254 ERF393254 FBB393254 FKX393254 FUT393254 GEP393254 GOL393254 GYH393254 HID393254 HRZ393254 IBV393254 ILR393254 IVN393254 JFJ393254 JPF393254 JZB393254 KIX393254 KST393254 LCP393254 LML393254 LWH393254 MGD393254 MPZ393254 MZV393254 NJR393254 NTN393254 ODJ393254 ONF393254 OXB393254 PGX393254 PQT393254 QAP393254 QKL393254 QUH393254 RED393254 RNZ393254 RXV393254 SHR393254 SRN393254 TBJ393254 TLF393254 TVB393254 UEX393254 UOT393254 UYP393254 VIL393254 VSH393254 WCD393254 WLZ393254 WVV393254 I458790 JJ458790 TF458790 ADB458790 AMX458790 AWT458790 BGP458790 BQL458790 CAH458790 CKD458790 CTZ458790 DDV458790 DNR458790 DXN458790 EHJ458790 ERF458790 FBB458790 FKX458790 FUT458790 GEP458790 GOL458790 GYH458790 HID458790 HRZ458790 IBV458790 ILR458790 IVN458790 JFJ458790 JPF458790 JZB458790 KIX458790 KST458790 LCP458790 LML458790 LWH458790 MGD458790 MPZ458790 MZV458790 NJR458790 NTN458790 ODJ458790 ONF458790 OXB458790 PGX458790 PQT458790 QAP458790 QKL458790 QUH458790 RED458790 RNZ458790 RXV458790 SHR458790 SRN458790 TBJ458790 TLF458790 TVB458790 UEX458790 UOT458790 UYP458790 VIL458790 VSH458790 WCD458790 WLZ458790 WVV458790 I524326 JJ524326 TF524326 ADB524326 AMX524326 AWT524326 BGP524326 BQL524326 CAH524326 CKD524326 CTZ524326 DDV524326 DNR524326 DXN524326 EHJ524326 ERF524326 FBB524326 FKX524326 FUT524326 GEP524326 GOL524326 GYH524326 HID524326 HRZ524326 IBV524326 ILR524326 IVN524326 JFJ524326 JPF524326 JZB524326 KIX524326 KST524326 LCP524326 LML524326 LWH524326 MGD524326 MPZ524326 MZV524326 NJR524326 NTN524326 ODJ524326 ONF524326 OXB524326 PGX524326 PQT524326 QAP524326 QKL524326 QUH524326 RED524326 RNZ524326 RXV524326 SHR524326 SRN524326 TBJ524326 TLF524326 TVB524326 UEX524326 UOT524326 UYP524326 VIL524326 VSH524326 WCD524326 WLZ524326 WVV524326 I589862 JJ589862 TF589862 ADB589862 AMX589862 AWT589862 BGP589862 BQL589862 CAH589862 CKD589862 CTZ589862 DDV589862 DNR589862 DXN589862 EHJ589862 ERF589862 FBB589862 FKX589862 FUT589862 GEP589862 GOL589862 GYH589862 HID589862 HRZ589862 IBV589862 ILR589862 IVN589862 JFJ589862 JPF589862 JZB589862 KIX589862 KST589862 LCP589862 LML589862 LWH589862 MGD589862 MPZ589862 MZV589862 NJR589862 NTN589862 ODJ589862 ONF589862 OXB589862 PGX589862 PQT589862 QAP589862 QKL589862 QUH589862 RED589862 RNZ589862 RXV589862 SHR589862 SRN589862 TBJ589862 TLF589862 TVB589862 UEX589862 UOT589862 UYP589862 VIL589862 VSH589862 WCD589862 WLZ589862 WVV589862 I655398 JJ655398 TF655398 ADB655398 AMX655398 AWT655398 BGP655398 BQL655398 CAH655398 CKD655398 CTZ655398 DDV655398 DNR655398 DXN655398 EHJ655398 ERF655398 FBB655398 FKX655398 FUT655398 GEP655398 GOL655398 GYH655398 HID655398 HRZ655398 IBV655398 ILR655398 IVN655398 JFJ655398 JPF655398 JZB655398 KIX655398 KST655398 LCP655398 LML655398 LWH655398 MGD655398 MPZ655398 MZV655398 NJR655398 NTN655398 ODJ655398 ONF655398 OXB655398 PGX655398 PQT655398 QAP655398 QKL655398 QUH655398 RED655398 RNZ655398 RXV655398 SHR655398 SRN655398 TBJ655398 TLF655398 TVB655398 UEX655398 UOT655398 UYP655398 VIL655398 VSH655398 WCD655398 WLZ655398 WVV655398 I720934 JJ720934 TF720934 ADB720934 AMX720934 AWT720934 BGP720934 BQL720934 CAH720934 CKD720934 CTZ720934 DDV720934 DNR720934 DXN720934 EHJ720934 ERF720934 FBB720934 FKX720934 FUT720934 GEP720934 GOL720934 GYH720934 HID720934 HRZ720934 IBV720934 ILR720934 IVN720934 JFJ720934 JPF720934 JZB720934 KIX720934 KST720934 LCP720934 LML720934 LWH720934 MGD720934 MPZ720934 MZV720934 NJR720934 NTN720934 ODJ720934 ONF720934 OXB720934 PGX720934 PQT720934 QAP720934 QKL720934 QUH720934 RED720934 RNZ720934 RXV720934 SHR720934 SRN720934 TBJ720934 TLF720934 TVB720934 UEX720934 UOT720934 UYP720934 VIL720934 VSH720934 WCD720934 WLZ720934 WVV720934 I786470 JJ786470 TF786470 ADB786470 AMX786470 AWT786470 BGP786470 BQL786470 CAH786470 CKD786470 CTZ786470 DDV786470 DNR786470 DXN786470 EHJ786470 ERF786470 FBB786470 FKX786470 FUT786470 GEP786470 GOL786470 GYH786470 HID786470 HRZ786470 IBV786470 ILR786470 IVN786470 JFJ786470 JPF786470 JZB786470 KIX786470 KST786470 LCP786470 LML786470 LWH786470 MGD786470 MPZ786470 MZV786470 NJR786470 NTN786470 ODJ786470 ONF786470 OXB786470 PGX786470 PQT786470 QAP786470 QKL786470 QUH786470 RED786470 RNZ786470 RXV786470 SHR786470 SRN786470 TBJ786470 TLF786470 TVB786470 UEX786470 UOT786470 UYP786470 VIL786470 VSH786470 WCD786470 WLZ786470 WVV786470 I852006 JJ852006 TF852006 ADB852006 AMX852006 AWT852006 BGP852006 BQL852006 CAH852006 CKD852006 CTZ852006 DDV852006 DNR852006 DXN852006 EHJ852006 ERF852006 FBB852006 FKX852006 FUT852006 GEP852006 GOL852006 GYH852006 HID852006 HRZ852006 IBV852006 ILR852006 IVN852006 JFJ852006 JPF852006 JZB852006 KIX852006 KST852006 LCP852006 LML852006 LWH852006 MGD852006 MPZ852006 MZV852006 NJR852006 NTN852006 ODJ852006 ONF852006 OXB852006 PGX852006 PQT852006 QAP852006 QKL852006 QUH852006 RED852006 RNZ852006 RXV852006 SHR852006 SRN852006 TBJ852006 TLF852006 TVB852006 UEX852006 UOT852006 UYP852006 VIL852006 VSH852006 WCD852006 WLZ852006 WVV852006 I917542 JJ917542 TF917542 ADB917542 AMX917542 AWT917542 BGP917542 BQL917542 CAH917542 CKD917542 CTZ917542 DDV917542 DNR917542 DXN917542 EHJ917542 ERF917542 FBB917542 FKX917542 FUT917542 GEP917542 GOL917542 GYH917542 HID917542 HRZ917542 IBV917542 ILR917542 IVN917542 JFJ917542 JPF917542 JZB917542 KIX917542 KST917542 LCP917542 LML917542 LWH917542 MGD917542 MPZ917542 MZV917542 NJR917542 NTN917542 ODJ917542 ONF917542 OXB917542 PGX917542 PQT917542 QAP917542 QKL917542 QUH917542 RED917542 RNZ917542 RXV917542 SHR917542 SRN917542 TBJ917542 TLF917542 TVB917542 UEX917542 UOT917542 UYP917542 VIL917542 VSH917542 WCD917542 WLZ917542 WVV917542 I983078 JJ983078 TF983078 ADB983078 AMX983078 AWT983078 BGP983078 BQL983078 CAH983078 CKD983078 CTZ983078 DDV983078 DNR983078 DXN983078 EHJ983078 ERF983078 FBB983078 FKX983078 FUT983078 GEP983078 GOL983078 GYH983078 HID983078 HRZ983078 IBV983078 ILR983078 IVN983078 JFJ983078 JPF983078 JZB983078 KIX983078 KST983078 LCP983078 LML983078 LWH983078 MGD983078 MPZ983078 MZV983078 NJR983078 NTN983078 ODJ983078 ONF983078 OXB983078 PGX983078 PQT983078 QAP983078 QKL983078 QUH983078 RED983078 RNZ983078 RXV983078 SHR983078 SRN983078 TBJ983078 TLF983078 TVB983078 UEX983078 UOT983078 UYP983078 VIL983078 VSH983078 WCD983078 WLZ983078 WVV983078 JJ4 JK5 TG5 ADC5 AMY5 AWU5 BGQ5 BQM5 CAI5 CKE5 CUA5 DDW5 DNS5 DXO5 EHK5 ERG5 FBC5 FKY5 FUU5 GEQ5 GOM5 GYI5 HIE5 HSA5 IBW5 ILS5 IVO5 JFK5 JPG5 JZC5 KIY5 KSU5 LCQ5 LMM5 LWI5 MGE5 MQA5 MZW5 NJS5 NTO5 ODK5 ONG5 OXC5 PGY5 PQU5 QAQ5 QKM5 QUI5 REE5 ROA5 RXW5 SHS5 SRO5 TBK5 TLG5 TVC5 UEY5 UOU5 UYQ5 VIM5 VSI5 WCE5 WMA5 WVW5 J65575 JK65575 TG65575 ADC65575 AMY65575 AWU65575 BGQ65575 BQM65575 CAI65575 CKE65575 CUA65575 DDW65575 DNS65575 DXO65575 EHK65575 ERG65575 FBC65575 FKY65575 FUU65575 GEQ65575 GOM65575 GYI65575 HIE65575 HSA65575 IBW65575 ILS65575 IVO65575 JFK65575 JPG65575 JZC65575 KIY65575 KSU65575 LCQ65575 LMM65575 LWI65575 MGE65575 MQA65575 MZW65575 NJS65575 NTO65575 ODK65575 ONG65575 OXC65575 PGY65575 PQU65575 QAQ65575 QKM65575 QUI65575 REE65575 ROA65575 RXW65575 SHS65575 SRO65575 TBK65575 TLG65575 TVC65575 UEY65575 UOU65575 UYQ65575 VIM65575 VSI65575 WCE65575 WMA65575 WVW65575 J131111 JK131111 TG131111 ADC131111 AMY131111 AWU131111 BGQ131111 BQM131111 CAI131111 CKE131111 CUA131111 DDW131111 DNS131111 DXO131111 EHK131111 ERG131111 FBC131111 FKY131111 FUU131111 GEQ131111 GOM131111 GYI131111 HIE131111 HSA131111 IBW131111 ILS131111 IVO131111 JFK131111 JPG131111 JZC131111 KIY131111 KSU131111 LCQ131111 LMM131111 LWI131111 MGE131111 MQA131111 MZW131111 NJS131111 NTO131111 ODK131111 ONG131111 OXC131111 PGY131111 PQU131111 QAQ131111 QKM131111 QUI131111 REE131111 ROA131111 RXW131111 SHS131111 SRO131111 TBK131111 TLG131111 TVC131111 UEY131111 UOU131111 UYQ131111 VIM131111 VSI131111 WCE131111 WMA131111 WVW131111 J196647 JK196647 TG196647 ADC196647 AMY196647 AWU196647 BGQ196647 BQM196647 CAI196647 CKE196647 CUA196647 DDW196647 DNS196647 DXO196647 EHK196647 ERG196647 FBC196647 FKY196647 FUU196647 GEQ196647 GOM196647 GYI196647 HIE196647 HSA196647 IBW196647 ILS196647 IVO196647 JFK196647 JPG196647 JZC196647 KIY196647 KSU196647 LCQ196647 LMM196647 LWI196647 MGE196647 MQA196647 MZW196647 NJS196647 NTO196647 ODK196647 ONG196647 OXC196647 PGY196647 PQU196647 QAQ196647 QKM196647 QUI196647 REE196647 ROA196647 RXW196647 SHS196647 SRO196647 TBK196647 TLG196647 TVC196647 UEY196647 UOU196647 UYQ196647 VIM196647 VSI196647 WCE196647 WMA196647 WVW196647 J262183 JK262183 TG262183 ADC262183 AMY262183 AWU262183 BGQ262183 BQM262183 CAI262183 CKE262183 CUA262183 DDW262183 DNS262183 DXO262183 EHK262183 ERG262183 FBC262183 FKY262183 FUU262183 GEQ262183 GOM262183 GYI262183 HIE262183 HSA262183 IBW262183 ILS262183 IVO262183 JFK262183 JPG262183 JZC262183 KIY262183 KSU262183 LCQ262183 LMM262183 LWI262183 MGE262183 MQA262183 MZW262183 NJS262183 NTO262183 ODK262183 ONG262183 OXC262183 PGY262183 PQU262183 QAQ262183 QKM262183 QUI262183 REE262183 ROA262183 RXW262183 SHS262183 SRO262183 TBK262183 TLG262183 TVC262183 UEY262183 UOU262183 UYQ262183 VIM262183 VSI262183 WCE262183 WMA262183 WVW262183 J327719 JK327719 TG327719 ADC327719 AMY327719 AWU327719 BGQ327719 BQM327719 CAI327719 CKE327719 CUA327719 DDW327719 DNS327719 DXO327719 EHK327719 ERG327719 FBC327719 FKY327719 FUU327719 GEQ327719 GOM327719 GYI327719 HIE327719 HSA327719 IBW327719 ILS327719 IVO327719 JFK327719 JPG327719 JZC327719 KIY327719 KSU327719 LCQ327719 LMM327719 LWI327719 MGE327719 MQA327719 MZW327719 NJS327719 NTO327719 ODK327719 ONG327719 OXC327719 PGY327719 PQU327719 QAQ327719 QKM327719 QUI327719 REE327719 ROA327719 RXW327719 SHS327719 SRO327719 TBK327719 TLG327719 TVC327719 UEY327719 UOU327719 UYQ327719 VIM327719 VSI327719 WCE327719 WMA327719 WVW327719 J393255 JK393255 TG393255 ADC393255 AMY393255 AWU393255 BGQ393255 BQM393255 CAI393255 CKE393255 CUA393255 DDW393255 DNS393255 DXO393255 EHK393255 ERG393255 FBC393255 FKY393255 FUU393255 GEQ393255 GOM393255 GYI393255 HIE393255 HSA393255 IBW393255 ILS393255 IVO393255 JFK393255 JPG393255 JZC393255 KIY393255 KSU393255 LCQ393255 LMM393255 LWI393255 MGE393255 MQA393255 MZW393255 NJS393255 NTO393255 ODK393255 ONG393255 OXC393255 PGY393255 PQU393255 QAQ393255 QKM393255 QUI393255 REE393255 ROA393255 RXW393255 SHS393255 SRO393255 TBK393255 TLG393255 TVC393255 UEY393255 UOU393255 UYQ393255 VIM393255 VSI393255 WCE393255 WMA393255 WVW393255 J458791 JK458791 TG458791 ADC458791 AMY458791 AWU458791 BGQ458791 BQM458791 CAI458791 CKE458791 CUA458791 DDW458791 DNS458791 DXO458791 EHK458791 ERG458791 FBC458791 FKY458791 FUU458791 GEQ458791 GOM458791 GYI458791 HIE458791 HSA458791 IBW458791 ILS458791 IVO458791 JFK458791 JPG458791 JZC458791 KIY458791 KSU458791 LCQ458791 LMM458791 LWI458791 MGE458791 MQA458791 MZW458791 NJS458791 NTO458791 ODK458791 ONG458791 OXC458791 PGY458791 PQU458791 QAQ458791 QKM458791 QUI458791 REE458791 ROA458791 RXW458791 SHS458791 SRO458791 TBK458791 TLG458791 TVC458791 UEY458791 UOU458791 UYQ458791 VIM458791 VSI458791 WCE458791 WMA458791 WVW458791 J524327 JK524327 TG524327 ADC524327 AMY524327 AWU524327 BGQ524327 BQM524327 CAI524327 CKE524327 CUA524327 DDW524327 DNS524327 DXO524327 EHK524327 ERG524327 FBC524327 FKY524327 FUU524327 GEQ524327 GOM524327 GYI524327 HIE524327 HSA524327 IBW524327 ILS524327 IVO524327 JFK524327 JPG524327 JZC524327 KIY524327 KSU524327 LCQ524327 LMM524327 LWI524327 MGE524327 MQA524327 MZW524327 NJS524327 NTO524327 ODK524327 ONG524327 OXC524327 PGY524327 PQU524327 QAQ524327 QKM524327 QUI524327 REE524327 ROA524327 RXW524327 SHS524327 SRO524327 TBK524327 TLG524327 TVC524327 UEY524327 UOU524327 UYQ524327 VIM524327 VSI524327 WCE524327 WMA524327 WVW524327 J589863 JK589863 TG589863 ADC589863 AMY589863 AWU589863 BGQ589863 BQM589863 CAI589863 CKE589863 CUA589863 DDW589863 DNS589863 DXO589863 EHK589863 ERG589863 FBC589863 FKY589863 FUU589863 GEQ589863 GOM589863 GYI589863 HIE589863 HSA589863 IBW589863 ILS589863 IVO589863 JFK589863 JPG589863 JZC589863 KIY589863 KSU589863 LCQ589863 LMM589863 LWI589863 MGE589863 MQA589863 MZW589863 NJS589863 NTO589863 ODK589863 ONG589863 OXC589863 PGY589863 PQU589863 QAQ589863 QKM589863 QUI589863 REE589863 ROA589863 RXW589863 SHS589863 SRO589863 TBK589863 TLG589863 TVC589863 UEY589863 UOU589863 UYQ589863 VIM589863 VSI589863 WCE589863 WMA589863 WVW589863 J655399 JK655399 TG655399 ADC655399 AMY655399 AWU655399 BGQ655399 BQM655399 CAI655399 CKE655399 CUA655399 DDW655399 DNS655399 DXO655399 EHK655399 ERG655399 FBC655399 FKY655399 FUU655399 GEQ655399 GOM655399 GYI655399 HIE655399 HSA655399 IBW655399 ILS655399 IVO655399 JFK655399 JPG655399 JZC655399 KIY655399 KSU655399 LCQ655399 LMM655399 LWI655399 MGE655399 MQA655399 MZW655399 NJS655399 NTO655399 ODK655399 ONG655399 OXC655399 PGY655399 PQU655399 QAQ655399 QKM655399 QUI655399 REE655399 ROA655399 RXW655399 SHS655399 SRO655399 TBK655399 TLG655399 TVC655399 UEY655399 UOU655399 UYQ655399 VIM655399 VSI655399 WCE655399 WMA655399 WVW655399 J720935 JK720935 TG720935 ADC720935 AMY720935 AWU720935 BGQ720935 BQM720935 CAI720935 CKE720935 CUA720935 DDW720935 DNS720935 DXO720935 EHK720935 ERG720935 FBC720935 FKY720935 FUU720935 GEQ720935 GOM720935 GYI720935 HIE720935 HSA720935 IBW720935 ILS720935 IVO720935 JFK720935 JPG720935 JZC720935 KIY720935 KSU720935 LCQ720935 LMM720935 LWI720935 MGE720935 MQA720935 MZW720935 NJS720935 NTO720935 ODK720935 ONG720935 OXC720935 PGY720935 PQU720935 QAQ720935 QKM720935 QUI720935 REE720935 ROA720935 RXW720935 SHS720935 SRO720935 TBK720935 TLG720935 TVC720935 UEY720935 UOU720935 UYQ720935 VIM720935 VSI720935 WCE720935 WMA720935 WVW720935 J786471 JK786471 TG786471 ADC786471 AMY786471 AWU786471 BGQ786471 BQM786471 CAI786471 CKE786471 CUA786471 DDW786471 DNS786471 DXO786471 EHK786471 ERG786471 FBC786471 FKY786471 FUU786471 GEQ786471 GOM786471 GYI786471 HIE786471 HSA786471 IBW786471 ILS786471 IVO786471 JFK786471 JPG786471 JZC786471 KIY786471 KSU786471 LCQ786471 LMM786471 LWI786471 MGE786471 MQA786471 MZW786471 NJS786471 NTO786471 ODK786471 ONG786471 OXC786471 PGY786471 PQU786471 QAQ786471 QKM786471 QUI786471 REE786471 ROA786471 RXW786471 SHS786471 SRO786471 TBK786471 TLG786471 TVC786471 UEY786471 UOU786471 UYQ786471 VIM786471 VSI786471 WCE786471 WMA786471 WVW786471 J852007 JK852007 TG852007 ADC852007 AMY852007 AWU852007 BGQ852007 BQM852007 CAI852007 CKE852007 CUA852007 DDW852007 DNS852007 DXO852007 EHK852007 ERG852007 FBC852007 FKY852007 FUU852007 GEQ852007 GOM852007 GYI852007 HIE852007 HSA852007 IBW852007 ILS852007 IVO852007 JFK852007 JPG852007 JZC852007 KIY852007 KSU852007 LCQ852007 LMM852007 LWI852007 MGE852007 MQA852007 MZW852007 NJS852007 NTO852007 ODK852007 ONG852007 OXC852007 PGY852007 PQU852007 QAQ852007 QKM852007 QUI852007 REE852007 ROA852007 RXW852007 SHS852007 SRO852007 TBK852007 TLG852007 TVC852007 UEY852007 UOU852007 UYQ852007 VIM852007 VSI852007 WCE852007 WMA852007 WVW852007 J917543 JK917543 TG917543 ADC917543 AMY917543 AWU917543 BGQ917543 BQM917543 CAI917543 CKE917543 CUA917543 DDW917543 DNS917543 DXO917543 EHK917543 ERG917543 FBC917543 FKY917543 FUU917543 GEQ917543 GOM917543 GYI917543 HIE917543 HSA917543 IBW917543 ILS917543 IVO917543 JFK917543 JPG917543 JZC917543 KIY917543 KSU917543 LCQ917543 LMM917543 LWI917543 MGE917543 MQA917543 MZW917543 NJS917543 NTO917543 ODK917543 ONG917543 OXC917543 PGY917543 PQU917543 QAQ917543 QKM917543 QUI917543 REE917543 ROA917543 RXW917543 SHS917543 SRO917543 TBK917543 TLG917543 TVC917543 UEY917543 UOU917543 UYQ917543 VIM917543 VSI917543 WCE917543 WMA917543 WVW917543 J983079 JK983079 TG983079 ADC983079 AMY983079 AWU983079 BGQ983079 BQM983079 CAI983079 CKE983079 CUA983079 DDW983079 DNS983079 DXO983079 EHK983079 ERG983079 FBC983079 FKY983079 FUU983079 GEQ983079 GOM983079 GYI983079 HIE983079 HSA983079 IBW983079 ILS983079 IVO983079 JFK983079 JPG983079 JZC983079 KIY983079 KSU983079 LCQ983079 LMM983079 LWI983079 MGE983079 MQA983079 MZW983079 NJS983079 NTO983079 ODK983079 ONG983079 OXC983079 PGY983079 PQU983079 QAQ983079 QKM983079 QUI983079 REE983079 ROA983079 RXW983079 SHS983079 SRO983079 TBK983079 TLG983079 TVC983079 UEY983079 UOU983079 UYQ983079 VIM983079 VSI983079 WCE983079 WMA983079 WVW983079 TF4 JP5 TL5 ADH5 AND5 AWZ5 BGV5 BQR5 CAN5 CKJ5 CUF5 DEB5 DNX5 DXT5 EHP5 ERL5 FBH5 FLD5 FUZ5 GEV5 GOR5 GYN5 HIJ5 HSF5 ICB5 ILX5 IVT5 JFP5 JPL5 JZH5 KJD5 KSZ5 LCV5 LMR5 LWN5 MGJ5 MQF5 NAB5 NJX5 NTT5 ODP5 ONL5 OXH5 PHD5 PQZ5 QAV5 QKR5 QUN5 REJ5 ROF5 RYB5 SHX5 SRT5 TBP5 TLL5 TVH5 UFD5 UOZ5 UYV5 VIR5 VSN5 WCJ5 WMF5 WWB5 S65575 JP65575 TL65575 ADH65575 AND65575 AWZ65575 BGV65575 BQR65575 CAN65575 CKJ65575 CUF65575 DEB65575 DNX65575 DXT65575 EHP65575 ERL65575 FBH65575 FLD65575 FUZ65575 GEV65575 GOR65575 GYN65575 HIJ65575 HSF65575 ICB65575 ILX65575 IVT65575 JFP65575 JPL65575 JZH65575 KJD65575 KSZ65575 LCV65575 LMR65575 LWN65575 MGJ65575 MQF65575 NAB65575 NJX65575 NTT65575 ODP65575 ONL65575 OXH65575 PHD65575 PQZ65575 QAV65575 QKR65575 QUN65575 REJ65575 ROF65575 RYB65575 SHX65575 SRT65575 TBP65575 TLL65575 TVH65575 UFD65575 UOZ65575 UYV65575 VIR65575 VSN65575 WCJ65575 WMF65575 WWB65575 S131111 JP131111 TL131111 ADH131111 AND131111 AWZ131111 BGV131111 BQR131111 CAN131111 CKJ131111 CUF131111 DEB131111 DNX131111 DXT131111 EHP131111 ERL131111 FBH131111 FLD131111 FUZ131111 GEV131111 GOR131111 GYN131111 HIJ131111 HSF131111 ICB131111 ILX131111 IVT131111 JFP131111 JPL131111 JZH131111 KJD131111 KSZ131111 LCV131111 LMR131111 LWN131111 MGJ131111 MQF131111 NAB131111 NJX131111 NTT131111 ODP131111 ONL131111 OXH131111 PHD131111 PQZ131111 QAV131111 QKR131111 QUN131111 REJ131111 ROF131111 RYB131111 SHX131111 SRT131111 TBP131111 TLL131111 TVH131111 UFD131111 UOZ131111 UYV131111 VIR131111 VSN131111 WCJ131111 WMF131111 WWB131111 S196647 JP196647 TL196647 ADH196647 AND196647 AWZ196647 BGV196647 BQR196647 CAN196647 CKJ196647 CUF196647 DEB196647 DNX196647 DXT196647 EHP196647 ERL196647 FBH196647 FLD196647 FUZ196647 GEV196647 GOR196647 GYN196647 HIJ196647 HSF196647 ICB196647 ILX196647 IVT196647 JFP196647 JPL196647 JZH196647 KJD196647 KSZ196647 LCV196647 LMR196647 LWN196647 MGJ196647 MQF196647 NAB196647 NJX196647 NTT196647 ODP196647 ONL196647 OXH196647 PHD196647 PQZ196647 QAV196647 QKR196647 QUN196647 REJ196647 ROF196647 RYB196647 SHX196647 SRT196647 TBP196647 TLL196647 TVH196647 UFD196647 UOZ196647 UYV196647 VIR196647 VSN196647 WCJ196647 WMF196647 WWB196647 S262183 JP262183 TL262183 ADH262183 AND262183 AWZ262183 BGV262183 BQR262183 CAN262183 CKJ262183 CUF262183 DEB262183 DNX262183 DXT262183 EHP262183 ERL262183 FBH262183 FLD262183 FUZ262183 GEV262183 GOR262183 GYN262183 HIJ262183 HSF262183 ICB262183 ILX262183 IVT262183 JFP262183 JPL262183 JZH262183 KJD262183 KSZ262183 LCV262183 LMR262183 LWN262183 MGJ262183 MQF262183 NAB262183 NJX262183 NTT262183 ODP262183 ONL262183 OXH262183 PHD262183 PQZ262183 QAV262183 QKR262183 QUN262183 REJ262183 ROF262183 RYB262183 SHX262183 SRT262183 TBP262183 TLL262183 TVH262183 UFD262183 UOZ262183 UYV262183 VIR262183 VSN262183 WCJ262183 WMF262183 WWB262183 S327719 JP327719 TL327719 ADH327719 AND327719 AWZ327719 BGV327719 BQR327719 CAN327719 CKJ327719 CUF327719 DEB327719 DNX327719 DXT327719 EHP327719 ERL327719 FBH327719 FLD327719 FUZ327719 GEV327719 GOR327719 GYN327719 HIJ327719 HSF327719 ICB327719 ILX327719 IVT327719 JFP327719 JPL327719 JZH327719 KJD327719 KSZ327719 LCV327719 LMR327719 LWN327719 MGJ327719 MQF327719 NAB327719 NJX327719 NTT327719 ODP327719 ONL327719 OXH327719 PHD327719 PQZ327719 QAV327719 QKR327719 QUN327719 REJ327719 ROF327719 RYB327719 SHX327719 SRT327719 TBP327719 TLL327719 TVH327719 UFD327719 UOZ327719 UYV327719 VIR327719 VSN327719 WCJ327719 WMF327719 WWB327719 S393255 JP393255 TL393255 ADH393255 AND393255 AWZ393255 BGV393255 BQR393255 CAN393255 CKJ393255 CUF393255 DEB393255 DNX393255 DXT393255 EHP393255 ERL393255 FBH393255 FLD393255 FUZ393255 GEV393255 GOR393255 GYN393255 HIJ393255 HSF393255 ICB393255 ILX393255 IVT393255 JFP393255 JPL393255 JZH393255 KJD393255 KSZ393255 LCV393255 LMR393255 LWN393255 MGJ393255 MQF393255 NAB393255 NJX393255 NTT393255 ODP393255 ONL393255 OXH393255 PHD393255 PQZ393255 QAV393255 QKR393255 QUN393255 REJ393255 ROF393255 RYB393255 SHX393255 SRT393255 TBP393255 TLL393255 TVH393255 UFD393255 UOZ393255 UYV393255 VIR393255 VSN393255 WCJ393255 WMF393255 WWB393255 S458791 JP458791 TL458791 ADH458791 AND458791 AWZ458791 BGV458791 BQR458791 CAN458791 CKJ458791 CUF458791 DEB458791 DNX458791 DXT458791 EHP458791 ERL458791 FBH458791 FLD458791 FUZ458791 GEV458791 GOR458791 GYN458791 HIJ458791 HSF458791 ICB458791 ILX458791 IVT458791 JFP458791 JPL458791 JZH458791 KJD458791 KSZ458791 LCV458791 LMR458791 LWN458791 MGJ458791 MQF458791 NAB458791 NJX458791 NTT458791 ODP458791 ONL458791 OXH458791 PHD458791 PQZ458791 QAV458791 QKR458791 QUN458791 REJ458791 ROF458791 RYB458791 SHX458791 SRT458791 TBP458791 TLL458791 TVH458791 UFD458791 UOZ458791 UYV458791 VIR458791 VSN458791 WCJ458791 WMF458791 WWB458791 S524327 JP524327 TL524327 ADH524327 AND524327 AWZ524327 BGV524327 BQR524327 CAN524327 CKJ524327 CUF524327 DEB524327 DNX524327 DXT524327 EHP524327 ERL524327 FBH524327 FLD524327 FUZ524327 GEV524327 GOR524327 GYN524327 HIJ524327 HSF524327 ICB524327 ILX524327 IVT524327 JFP524327 JPL524327 JZH524327 KJD524327 KSZ524327 LCV524327 LMR524327 LWN524327 MGJ524327 MQF524327 NAB524327 NJX524327 NTT524327 ODP524327 ONL524327 OXH524327 PHD524327 PQZ524327 QAV524327 QKR524327 QUN524327 REJ524327 ROF524327 RYB524327 SHX524327 SRT524327 TBP524327 TLL524327 TVH524327 UFD524327 UOZ524327 UYV524327 VIR524327 VSN524327 WCJ524327 WMF524327 WWB524327 S589863 JP589863 TL589863 ADH589863 AND589863 AWZ589863 BGV589863 BQR589863 CAN589863 CKJ589863 CUF589863 DEB589863 DNX589863 DXT589863 EHP589863 ERL589863 FBH589863 FLD589863 FUZ589863 GEV589863 GOR589863 GYN589863 HIJ589863 HSF589863 ICB589863 ILX589863 IVT589863 JFP589863 JPL589863 JZH589863 KJD589863 KSZ589863 LCV589863 LMR589863 LWN589863 MGJ589863 MQF589863 NAB589863 NJX589863 NTT589863 ODP589863 ONL589863 OXH589863 PHD589863 PQZ589863 QAV589863 QKR589863 QUN589863 REJ589863 ROF589863 RYB589863 SHX589863 SRT589863 TBP589863 TLL589863 TVH589863 UFD589863 UOZ589863 UYV589863 VIR589863 VSN589863 WCJ589863 WMF589863 WWB589863 S655399 JP655399 TL655399 ADH655399 AND655399 AWZ655399 BGV655399 BQR655399 CAN655399 CKJ655399 CUF655399 DEB655399 DNX655399 DXT655399 EHP655399 ERL655399 FBH655399 FLD655399 FUZ655399 GEV655399 GOR655399 GYN655399 HIJ655399 HSF655399 ICB655399 ILX655399 IVT655399 JFP655399 JPL655399 JZH655399 KJD655399 KSZ655399 LCV655399 LMR655399 LWN655399 MGJ655399 MQF655399 NAB655399 NJX655399 NTT655399 ODP655399 ONL655399 OXH655399 PHD655399 PQZ655399 QAV655399 QKR655399 QUN655399 REJ655399 ROF655399 RYB655399 SHX655399 SRT655399 TBP655399 TLL655399 TVH655399 UFD655399 UOZ655399 UYV655399 VIR655399 VSN655399 WCJ655399 WMF655399 WWB655399 S720935 JP720935 TL720935 ADH720935 AND720935 AWZ720935 BGV720935 BQR720935 CAN720935 CKJ720935 CUF720935 DEB720935 DNX720935 DXT720935 EHP720935 ERL720935 FBH720935 FLD720935 FUZ720935 GEV720935 GOR720935 GYN720935 HIJ720935 HSF720935 ICB720935 ILX720935 IVT720935 JFP720935 JPL720935 JZH720935 KJD720935 KSZ720935 LCV720935 LMR720935 LWN720935 MGJ720935 MQF720935 NAB720935 NJX720935 NTT720935 ODP720935 ONL720935 OXH720935 PHD720935 PQZ720935 QAV720935 QKR720935 QUN720935 REJ720935 ROF720935 RYB720935 SHX720935 SRT720935 TBP720935 TLL720935 TVH720935 UFD720935 UOZ720935 UYV720935 VIR720935 VSN720935 WCJ720935 WMF720935 WWB720935 S786471 JP786471 TL786471 ADH786471 AND786471 AWZ786471 BGV786471 BQR786471 CAN786471 CKJ786471 CUF786471 DEB786471 DNX786471 DXT786471 EHP786471 ERL786471 FBH786471 FLD786471 FUZ786471 GEV786471 GOR786471 GYN786471 HIJ786471 HSF786471 ICB786471 ILX786471 IVT786471 JFP786471 JPL786471 JZH786471 KJD786471 KSZ786471 LCV786471 LMR786471 LWN786471 MGJ786471 MQF786471 NAB786471 NJX786471 NTT786471 ODP786471 ONL786471 OXH786471 PHD786471 PQZ786471 QAV786471 QKR786471 QUN786471 REJ786471 ROF786471 RYB786471 SHX786471 SRT786471 TBP786471 TLL786471 TVH786471 UFD786471 UOZ786471 UYV786471 VIR786471 VSN786471 WCJ786471 WMF786471 WWB786471 S852007 JP852007 TL852007 ADH852007 AND852007 AWZ852007 BGV852007 BQR852007 CAN852007 CKJ852007 CUF852007 DEB852007 DNX852007 DXT852007 EHP852007 ERL852007 FBH852007 FLD852007 FUZ852007 GEV852007 GOR852007 GYN852007 HIJ852007 HSF852007 ICB852007 ILX852007 IVT852007 JFP852007 JPL852007 JZH852007 KJD852007 KSZ852007 LCV852007 LMR852007 LWN852007 MGJ852007 MQF852007 NAB852007 NJX852007 NTT852007 ODP852007 ONL852007 OXH852007 PHD852007 PQZ852007 QAV852007 QKR852007 QUN852007 REJ852007 ROF852007 RYB852007 SHX852007 SRT852007 TBP852007 TLL852007 TVH852007 UFD852007 UOZ852007 UYV852007 VIR852007 VSN852007 WCJ852007 WMF852007 WWB852007 S917543 JP917543 TL917543 ADH917543 AND917543 AWZ917543 BGV917543 BQR917543 CAN917543 CKJ917543 CUF917543 DEB917543 DNX917543 DXT917543 EHP917543 ERL917543 FBH917543 FLD917543 FUZ917543 GEV917543 GOR917543 GYN917543 HIJ917543 HSF917543 ICB917543 ILX917543 IVT917543 JFP917543 JPL917543 JZH917543 KJD917543 KSZ917543 LCV917543 LMR917543 LWN917543 MGJ917543 MQF917543 NAB917543 NJX917543 NTT917543 ODP917543 ONL917543 OXH917543 PHD917543 PQZ917543 QAV917543 QKR917543 QUN917543 REJ917543 ROF917543 RYB917543 SHX917543 SRT917543 TBP917543 TLL917543 TVH917543 UFD917543 UOZ917543 UYV917543 VIR917543 VSN917543 WCJ917543 WMF917543 WWB917543 S983079 JP983079 TL983079 ADH983079 AND983079 AWZ983079 BGV983079 BQR983079 CAN983079 CKJ983079 CUF983079 DEB983079 DNX983079 DXT983079 EHP983079 ERL983079 FBH983079 FLD983079 FUZ983079 GEV983079 GOR983079 GYN983079 HIJ983079 HSF983079 ICB983079 ILX983079 IVT983079 JFP983079 JPL983079 JZH983079 KJD983079 KSZ983079 LCV983079 LMR983079 LWN983079 MGJ983079 MQF983079 NAB983079 NJX983079 NTT983079 ODP983079 ONL983079 OXH983079 PHD983079 PQZ983079 QAV983079 QKR983079 QUN983079 REJ983079 ROF983079 RYB983079 SHX983079 SRT983079 TBP983079 TLL983079 TVH983079 UFD983079 UOZ983079 UYV983079 VIR983079 VSN983079 WCJ983079 WMF983079 WWB983079" xr:uid="{00000000-0002-0000-0100-000001000000}">
      <formula1>$AY$24:$AY$35</formula1>
    </dataValidation>
    <dataValidation type="list" allowBlank="1" showInputMessage="1" showErrorMessage="1" sqref="H19 H22 H24 H26 H29 H31 H33 H35 H41 H43 H80 H82 H84 H86 H88 H90 H92 H37 H39" xr:uid="{00000000-0002-0000-0100-000002000000}">
      <formula1>$BA$24:$BA$35</formula1>
    </dataValidation>
    <dataValidation type="list" allowBlank="1" showInputMessage="1" showErrorMessage="1" sqref="WVV983080 WLZ983080 WCD983080 VSH983080 VIL983080 UYP983080 UOT983080 UEX983080 TVB983080 TLF983080 TBJ983080 SRN983080 SHR983080 RXV983080 RNZ983080 RED983080 QUH983080 QKL983080 QAP983080 PQT983080 PGX983080 OXB983080 ONF983080 ODJ983080 NTN983080 NJR983080 MZV983080 MPZ983080 MGD983080 LWH983080 LML983080 LCP983080 KST983080 KIX983080 JZB983080 JPF983080 JFJ983080 IVN983080 ILR983080 IBV983080 HRZ983080 HID983080 GYH983080 GOL983080 GEP983080 FUT983080 FKX983080 FBB983080 ERF983080 EHJ983080 DXN983080 DNR983080 DDV983080 CTZ983080 CKD983080 CAH983080 BQL983080 BGP983080 AWT983080 AMX983080 ADB983080 TF983080 JJ983080 I983080 WVV917544 WLZ917544 WCD917544 VSH917544 VIL917544 UYP917544 UOT917544 UEX917544 TVB917544 TLF917544 TBJ917544 SRN917544 SHR917544 RXV917544 RNZ917544 RED917544 QUH917544 QKL917544 QAP917544 PQT917544 PGX917544 OXB917544 ONF917544 ODJ917544 NTN917544 NJR917544 MZV917544 MPZ917544 MGD917544 LWH917544 LML917544 LCP917544 KST917544 KIX917544 JZB917544 JPF917544 JFJ917544 IVN917544 ILR917544 IBV917544 HRZ917544 HID917544 GYH917544 GOL917544 GEP917544 FUT917544 FKX917544 FBB917544 ERF917544 EHJ917544 DXN917544 DNR917544 DDV917544 CTZ917544 CKD917544 CAH917544 BQL917544 BGP917544 AWT917544 AMX917544 ADB917544 TF917544 JJ917544 I917544 WVV852008 WLZ852008 WCD852008 VSH852008 VIL852008 UYP852008 UOT852008 UEX852008 TVB852008 TLF852008 TBJ852008 SRN852008 SHR852008 RXV852008 RNZ852008 RED852008 QUH852008 QKL852008 QAP852008 PQT852008 PGX852008 OXB852008 ONF852008 ODJ852008 NTN852008 NJR852008 MZV852008 MPZ852008 MGD852008 LWH852008 LML852008 LCP852008 KST852008 KIX852008 JZB852008 JPF852008 JFJ852008 IVN852008 ILR852008 IBV852008 HRZ852008 HID852008 GYH852008 GOL852008 GEP852008 FUT852008 FKX852008 FBB852008 ERF852008 EHJ852008 DXN852008 DNR852008 DDV852008 CTZ852008 CKD852008 CAH852008 BQL852008 BGP852008 AWT852008 AMX852008 ADB852008 TF852008 JJ852008 I852008 WVV786472 WLZ786472 WCD786472 VSH786472 VIL786472 UYP786472 UOT786472 UEX786472 TVB786472 TLF786472 TBJ786472 SRN786472 SHR786472 RXV786472 RNZ786472 RED786472 QUH786472 QKL786472 QAP786472 PQT786472 PGX786472 OXB786472 ONF786472 ODJ786472 NTN786472 NJR786472 MZV786472 MPZ786472 MGD786472 LWH786472 LML786472 LCP786472 KST786472 KIX786472 JZB786472 JPF786472 JFJ786472 IVN786472 ILR786472 IBV786472 HRZ786472 HID786472 GYH786472 GOL786472 GEP786472 FUT786472 FKX786472 FBB786472 ERF786472 EHJ786472 DXN786472 DNR786472 DDV786472 CTZ786472 CKD786472 CAH786472 BQL786472 BGP786472 AWT786472 AMX786472 ADB786472 TF786472 JJ786472 I786472 WVV720936 WLZ720936 WCD720936 VSH720936 VIL720936 UYP720936 UOT720936 UEX720936 TVB720936 TLF720936 TBJ720936 SRN720936 SHR720936 RXV720936 RNZ720936 RED720936 QUH720936 QKL720936 QAP720936 PQT720936 PGX720936 OXB720936 ONF720936 ODJ720936 NTN720936 NJR720936 MZV720936 MPZ720936 MGD720936 LWH720936 LML720936 LCP720936 KST720936 KIX720936 JZB720936 JPF720936 JFJ720936 IVN720936 ILR720936 IBV720936 HRZ720936 HID720936 GYH720936 GOL720936 GEP720936 FUT720936 FKX720936 FBB720936 ERF720936 EHJ720936 DXN720936 DNR720936 DDV720936 CTZ720936 CKD720936 CAH720936 BQL720936 BGP720936 AWT720936 AMX720936 ADB720936 TF720936 JJ720936 I720936 WVV655400 WLZ655400 WCD655400 VSH655400 VIL655400 UYP655400 UOT655400 UEX655400 TVB655400 TLF655400 TBJ655400 SRN655400 SHR655400 RXV655400 RNZ655400 RED655400 QUH655400 QKL655400 QAP655400 PQT655400 PGX655400 OXB655400 ONF655400 ODJ655400 NTN655400 NJR655400 MZV655400 MPZ655400 MGD655400 LWH655400 LML655400 LCP655400 KST655400 KIX655400 JZB655400 JPF655400 JFJ655400 IVN655400 ILR655400 IBV655400 HRZ655400 HID655400 GYH655400 GOL655400 GEP655400 FUT655400 FKX655400 FBB655400 ERF655400 EHJ655400 DXN655400 DNR655400 DDV655400 CTZ655400 CKD655400 CAH655400 BQL655400 BGP655400 AWT655400 AMX655400 ADB655400 TF655400 JJ655400 I655400 WVV589864 WLZ589864 WCD589864 VSH589864 VIL589864 UYP589864 UOT589864 UEX589864 TVB589864 TLF589864 TBJ589864 SRN589864 SHR589864 RXV589864 RNZ589864 RED589864 QUH589864 QKL589864 QAP589864 PQT589864 PGX589864 OXB589864 ONF589864 ODJ589864 NTN589864 NJR589864 MZV589864 MPZ589864 MGD589864 LWH589864 LML589864 LCP589864 KST589864 KIX589864 JZB589864 JPF589864 JFJ589864 IVN589864 ILR589864 IBV589864 HRZ589864 HID589864 GYH589864 GOL589864 GEP589864 FUT589864 FKX589864 FBB589864 ERF589864 EHJ589864 DXN589864 DNR589864 DDV589864 CTZ589864 CKD589864 CAH589864 BQL589864 BGP589864 AWT589864 AMX589864 ADB589864 TF589864 JJ589864 I589864 WVV524328 WLZ524328 WCD524328 VSH524328 VIL524328 UYP524328 UOT524328 UEX524328 TVB524328 TLF524328 TBJ524328 SRN524328 SHR524328 RXV524328 RNZ524328 RED524328 QUH524328 QKL524328 QAP524328 PQT524328 PGX524328 OXB524328 ONF524328 ODJ524328 NTN524328 NJR524328 MZV524328 MPZ524328 MGD524328 LWH524328 LML524328 LCP524328 KST524328 KIX524328 JZB524328 JPF524328 JFJ524328 IVN524328 ILR524328 IBV524328 HRZ524328 HID524328 GYH524328 GOL524328 GEP524328 FUT524328 FKX524328 FBB524328 ERF524328 EHJ524328 DXN524328 DNR524328 DDV524328 CTZ524328 CKD524328 CAH524328 BQL524328 BGP524328 AWT524328 AMX524328 ADB524328 TF524328 JJ524328 I524328 WVV458792 WLZ458792 WCD458792 VSH458792 VIL458792 UYP458792 UOT458792 UEX458792 TVB458792 TLF458792 TBJ458792 SRN458792 SHR458792 RXV458792 RNZ458792 RED458792 QUH458792 QKL458792 QAP458792 PQT458792 PGX458792 OXB458792 ONF458792 ODJ458792 NTN458792 NJR458792 MZV458792 MPZ458792 MGD458792 LWH458792 LML458792 LCP458792 KST458792 KIX458792 JZB458792 JPF458792 JFJ458792 IVN458792 ILR458792 IBV458792 HRZ458792 HID458792 GYH458792 GOL458792 GEP458792 FUT458792 FKX458792 FBB458792 ERF458792 EHJ458792 DXN458792 DNR458792 DDV458792 CTZ458792 CKD458792 CAH458792 BQL458792 BGP458792 AWT458792 AMX458792 ADB458792 TF458792 JJ458792 I458792 WVV393256 WLZ393256 WCD393256 VSH393256 VIL393256 UYP393256 UOT393256 UEX393256 TVB393256 TLF393256 TBJ393256 SRN393256 SHR393256 RXV393256 RNZ393256 RED393256 QUH393256 QKL393256 QAP393256 PQT393256 PGX393256 OXB393256 ONF393256 ODJ393256 NTN393256 NJR393256 MZV393256 MPZ393256 MGD393256 LWH393256 LML393256 LCP393256 KST393256 KIX393256 JZB393256 JPF393256 JFJ393256 IVN393256 ILR393256 IBV393256 HRZ393256 HID393256 GYH393256 GOL393256 GEP393256 FUT393256 FKX393256 FBB393256 ERF393256 EHJ393256 DXN393256 DNR393256 DDV393256 CTZ393256 CKD393256 CAH393256 BQL393256 BGP393256 AWT393256 AMX393256 ADB393256 TF393256 JJ393256 I393256 WVV327720 WLZ327720 WCD327720 VSH327720 VIL327720 UYP327720 UOT327720 UEX327720 TVB327720 TLF327720 TBJ327720 SRN327720 SHR327720 RXV327720 RNZ327720 RED327720 QUH327720 QKL327720 QAP327720 PQT327720 PGX327720 OXB327720 ONF327720 ODJ327720 NTN327720 NJR327720 MZV327720 MPZ327720 MGD327720 LWH327720 LML327720 LCP327720 KST327720 KIX327720 JZB327720 JPF327720 JFJ327720 IVN327720 ILR327720 IBV327720 HRZ327720 HID327720 GYH327720 GOL327720 GEP327720 FUT327720 FKX327720 FBB327720 ERF327720 EHJ327720 DXN327720 DNR327720 DDV327720 CTZ327720 CKD327720 CAH327720 BQL327720 BGP327720 AWT327720 AMX327720 ADB327720 TF327720 JJ327720 I327720 WVV262184 WLZ262184 WCD262184 VSH262184 VIL262184 UYP262184 UOT262184 UEX262184 TVB262184 TLF262184 TBJ262184 SRN262184 SHR262184 RXV262184 RNZ262184 RED262184 QUH262184 QKL262184 QAP262184 PQT262184 PGX262184 OXB262184 ONF262184 ODJ262184 NTN262184 NJR262184 MZV262184 MPZ262184 MGD262184 LWH262184 LML262184 LCP262184 KST262184 KIX262184 JZB262184 JPF262184 JFJ262184 IVN262184 ILR262184 IBV262184 HRZ262184 HID262184 GYH262184 GOL262184 GEP262184 FUT262184 FKX262184 FBB262184 ERF262184 EHJ262184 DXN262184 DNR262184 DDV262184 CTZ262184 CKD262184 CAH262184 BQL262184 BGP262184 AWT262184 AMX262184 ADB262184 TF262184 JJ262184 I262184 WVV196648 WLZ196648 WCD196648 VSH196648 VIL196648 UYP196648 UOT196648 UEX196648 TVB196648 TLF196648 TBJ196648 SRN196648 SHR196648 RXV196648 RNZ196648 RED196648 QUH196648 QKL196648 QAP196648 PQT196648 PGX196648 OXB196648 ONF196648 ODJ196648 NTN196648 NJR196648 MZV196648 MPZ196648 MGD196648 LWH196648 LML196648 LCP196648 KST196648 KIX196648 JZB196648 JPF196648 JFJ196648 IVN196648 ILR196648 IBV196648 HRZ196648 HID196648 GYH196648 GOL196648 GEP196648 FUT196648 FKX196648 FBB196648 ERF196648 EHJ196648 DXN196648 DNR196648 DDV196648 CTZ196648 CKD196648 CAH196648 BQL196648 BGP196648 AWT196648 AMX196648 ADB196648 TF196648 JJ196648 I196648 WVV131112 WLZ131112 WCD131112 VSH131112 VIL131112 UYP131112 UOT131112 UEX131112 TVB131112 TLF131112 TBJ131112 SRN131112 SHR131112 RXV131112 RNZ131112 RED131112 QUH131112 QKL131112 QAP131112 PQT131112 PGX131112 OXB131112 ONF131112 ODJ131112 NTN131112 NJR131112 MZV131112 MPZ131112 MGD131112 LWH131112 LML131112 LCP131112 KST131112 KIX131112 JZB131112 JPF131112 JFJ131112 IVN131112 ILR131112 IBV131112 HRZ131112 HID131112 GYH131112 GOL131112 GEP131112 FUT131112 FKX131112 FBB131112 ERF131112 EHJ131112 DXN131112 DNR131112 DDV131112 CTZ131112 CKD131112 CAH131112 BQL131112 BGP131112 AWT131112 AMX131112 ADB131112 TF131112 JJ131112 I131112 WVV65576 WLZ65576 WCD65576 VSH65576 VIL65576 UYP65576 UOT65576 UEX65576 TVB65576 TLF65576 TBJ65576 SRN65576 SHR65576 RXV65576 RNZ65576 RED65576 QUH65576 QKL65576 QAP65576 PQT65576 PGX65576 OXB65576 ONF65576 ODJ65576 NTN65576 NJR65576 MZV65576 MPZ65576 MGD65576 LWH65576 LML65576 LCP65576 KST65576 KIX65576 JZB65576 JPF65576 JFJ65576 IVN65576 ILR65576 IBV65576 HRZ65576 HID65576 GYH65576 GOL65576 GEP65576 FUT65576 FKX65576 FBB65576 ERF65576 EHJ65576 DXN65576 DNR65576 DDV65576 CTZ65576 CKD65576 CAH65576 BQL65576 BGP65576 AWT65576 AMX65576 ADB65576 TF65576 JJ65576 I65576 WVV6:WVV14 WLZ6:WLZ14 WCD6:WCD14 VSH6:VSH14 VIL6:VIL14 UYP6:UYP14 UOT6:UOT14 UEX6:UEX14 TVB6:TVB14 TLF6:TLF14 TBJ6:TBJ14 SRN6:SRN14 SHR6:SHR14 RXV6:RXV14 RNZ6:RNZ14 RED6:RED14 QUH6:QUH14 QKL6:QKL14 QAP6:QAP14 PQT6:PQT14 PGX6:PGX14 OXB6:OXB14 ONF6:ONF14 ODJ6:ODJ14 NTN6:NTN14 NJR6:NJR14 MZV6:MZV14 MPZ6:MPZ14 MGD6:MGD14 LWH6:LWH14 LML6:LML14 LCP6:LCP14 KST6:KST14 KIX6:KIX14 JZB6:JZB14 JPF6:JPF14 JFJ6:JFJ14 IVN6:IVN14 ILR6:ILR14 IBV6:IBV14 HRZ6:HRZ14 HID6:HID14 GYH6:GYH14 GOL6:GOL14 GEP6:GEP14 FUT6:FUT14 FKX6:FKX14 FBB6:FBB14 ERF6:ERF14 EHJ6:EHJ14 DXN6:DXN14 DNR6:DNR14 DDV6:DDV14 CTZ6:CTZ14 CKD6:CKD14 CAH6:CAH14 BQL6:BQL14 BGP6:BGP14 AWT6:AWT14 AMX6:AMX14 ADB6:ADB14 TF6:TF14 JJ6:JJ14" xr:uid="{00000000-0002-0000-0100-000003000000}">
      <formula1>$AZ$25:$AZ$27</formula1>
    </dataValidation>
    <dataValidation type="list" allowBlank="1" showInputMessage="1" showErrorMessage="1" sqref="WVP983087:WWV983087 JD20:KJ20 SZ20:UF20 ACV20:AEB20 AMR20:ANX20 AWN20:AXT20 BGJ20:BHP20 BQF20:BRL20 CAB20:CBH20 CJX20:CLD20 CTT20:CUZ20 DDP20:DEV20 DNL20:DOR20 DXH20:DYN20 EHD20:EIJ20 EQZ20:ESF20 FAV20:FCB20 FKR20:FLX20 FUN20:FVT20 GEJ20:GFP20 GOF20:GPL20 GYB20:GZH20 HHX20:HJD20 HRT20:HSZ20 IBP20:ICV20 ILL20:IMR20 IVH20:IWN20 JFD20:JGJ20 JOZ20:JQF20 JYV20:KAB20 KIR20:KJX20 KSN20:KTT20 LCJ20:LDP20 LMF20:LNL20 LWB20:LXH20 MFX20:MHD20 MPT20:MQZ20 MZP20:NAV20 NJL20:NKR20 NTH20:NUN20 ODD20:OEJ20 OMZ20:OOF20 OWV20:OYB20 PGR20:PHX20 PQN20:PRT20 QAJ20:QBP20 QKF20:QLL20 QUB20:QVH20 RDX20:RFD20 RNT20:ROZ20 RXP20:RYV20 SHL20:SIR20 SRH20:SSN20 TBD20:TCJ20 TKZ20:TMF20 TUV20:TWB20 UER20:UFX20 UON20:UPT20 UYJ20:UZP20 VIF20:VJL20 VSB20:VTH20 WBX20:WDD20 WLT20:WMZ20 WVP20:WWV20 B65583:AM65583 JD65583:KJ65583 SZ65583:UF65583 ACV65583:AEB65583 AMR65583:ANX65583 AWN65583:AXT65583 BGJ65583:BHP65583 BQF65583:BRL65583 CAB65583:CBH65583 CJX65583:CLD65583 CTT65583:CUZ65583 DDP65583:DEV65583 DNL65583:DOR65583 DXH65583:DYN65583 EHD65583:EIJ65583 EQZ65583:ESF65583 FAV65583:FCB65583 FKR65583:FLX65583 FUN65583:FVT65583 GEJ65583:GFP65583 GOF65583:GPL65583 GYB65583:GZH65583 HHX65583:HJD65583 HRT65583:HSZ65583 IBP65583:ICV65583 ILL65583:IMR65583 IVH65583:IWN65583 JFD65583:JGJ65583 JOZ65583:JQF65583 JYV65583:KAB65583 KIR65583:KJX65583 KSN65583:KTT65583 LCJ65583:LDP65583 LMF65583:LNL65583 LWB65583:LXH65583 MFX65583:MHD65583 MPT65583:MQZ65583 MZP65583:NAV65583 NJL65583:NKR65583 NTH65583:NUN65583 ODD65583:OEJ65583 OMZ65583:OOF65583 OWV65583:OYB65583 PGR65583:PHX65583 PQN65583:PRT65583 QAJ65583:QBP65583 QKF65583:QLL65583 QUB65583:QVH65583 RDX65583:RFD65583 RNT65583:ROZ65583 RXP65583:RYV65583 SHL65583:SIR65583 SRH65583:SSN65583 TBD65583:TCJ65583 TKZ65583:TMF65583 TUV65583:TWB65583 UER65583:UFX65583 UON65583:UPT65583 UYJ65583:UZP65583 VIF65583:VJL65583 VSB65583:VTH65583 WBX65583:WDD65583 WLT65583:WMZ65583 WVP65583:WWV65583 B131119:AM131119 JD131119:KJ131119 SZ131119:UF131119 ACV131119:AEB131119 AMR131119:ANX131119 AWN131119:AXT131119 BGJ131119:BHP131119 BQF131119:BRL131119 CAB131119:CBH131119 CJX131119:CLD131119 CTT131119:CUZ131119 DDP131119:DEV131119 DNL131119:DOR131119 DXH131119:DYN131119 EHD131119:EIJ131119 EQZ131119:ESF131119 FAV131119:FCB131119 FKR131119:FLX131119 FUN131119:FVT131119 GEJ131119:GFP131119 GOF131119:GPL131119 GYB131119:GZH131119 HHX131119:HJD131119 HRT131119:HSZ131119 IBP131119:ICV131119 ILL131119:IMR131119 IVH131119:IWN131119 JFD131119:JGJ131119 JOZ131119:JQF131119 JYV131119:KAB131119 KIR131119:KJX131119 KSN131119:KTT131119 LCJ131119:LDP131119 LMF131119:LNL131119 LWB131119:LXH131119 MFX131119:MHD131119 MPT131119:MQZ131119 MZP131119:NAV131119 NJL131119:NKR131119 NTH131119:NUN131119 ODD131119:OEJ131119 OMZ131119:OOF131119 OWV131119:OYB131119 PGR131119:PHX131119 PQN131119:PRT131119 QAJ131119:QBP131119 QKF131119:QLL131119 QUB131119:QVH131119 RDX131119:RFD131119 RNT131119:ROZ131119 RXP131119:RYV131119 SHL131119:SIR131119 SRH131119:SSN131119 TBD131119:TCJ131119 TKZ131119:TMF131119 TUV131119:TWB131119 UER131119:UFX131119 UON131119:UPT131119 UYJ131119:UZP131119 VIF131119:VJL131119 VSB131119:VTH131119 WBX131119:WDD131119 WLT131119:WMZ131119 WVP131119:WWV131119 B196655:AM196655 JD196655:KJ196655 SZ196655:UF196655 ACV196655:AEB196655 AMR196655:ANX196655 AWN196655:AXT196655 BGJ196655:BHP196655 BQF196655:BRL196655 CAB196655:CBH196655 CJX196655:CLD196655 CTT196655:CUZ196655 DDP196655:DEV196655 DNL196655:DOR196655 DXH196655:DYN196655 EHD196655:EIJ196655 EQZ196655:ESF196655 FAV196655:FCB196655 FKR196655:FLX196655 FUN196655:FVT196655 GEJ196655:GFP196655 GOF196655:GPL196655 GYB196655:GZH196655 HHX196655:HJD196655 HRT196655:HSZ196655 IBP196655:ICV196655 ILL196655:IMR196655 IVH196655:IWN196655 JFD196655:JGJ196655 JOZ196655:JQF196655 JYV196655:KAB196655 KIR196655:KJX196655 KSN196655:KTT196655 LCJ196655:LDP196655 LMF196655:LNL196655 LWB196655:LXH196655 MFX196655:MHD196655 MPT196655:MQZ196655 MZP196655:NAV196655 NJL196655:NKR196655 NTH196655:NUN196655 ODD196655:OEJ196655 OMZ196655:OOF196655 OWV196655:OYB196655 PGR196655:PHX196655 PQN196655:PRT196655 QAJ196655:QBP196655 QKF196655:QLL196655 QUB196655:QVH196655 RDX196655:RFD196655 RNT196655:ROZ196655 RXP196655:RYV196655 SHL196655:SIR196655 SRH196655:SSN196655 TBD196655:TCJ196655 TKZ196655:TMF196655 TUV196655:TWB196655 UER196655:UFX196655 UON196655:UPT196655 UYJ196655:UZP196655 VIF196655:VJL196655 VSB196655:VTH196655 WBX196655:WDD196655 WLT196655:WMZ196655 WVP196655:WWV196655 B262191:AM262191 JD262191:KJ262191 SZ262191:UF262191 ACV262191:AEB262191 AMR262191:ANX262191 AWN262191:AXT262191 BGJ262191:BHP262191 BQF262191:BRL262191 CAB262191:CBH262191 CJX262191:CLD262191 CTT262191:CUZ262191 DDP262191:DEV262191 DNL262191:DOR262191 DXH262191:DYN262191 EHD262191:EIJ262191 EQZ262191:ESF262191 FAV262191:FCB262191 FKR262191:FLX262191 FUN262191:FVT262191 GEJ262191:GFP262191 GOF262191:GPL262191 GYB262191:GZH262191 HHX262191:HJD262191 HRT262191:HSZ262191 IBP262191:ICV262191 ILL262191:IMR262191 IVH262191:IWN262191 JFD262191:JGJ262191 JOZ262191:JQF262191 JYV262191:KAB262191 KIR262191:KJX262191 KSN262191:KTT262191 LCJ262191:LDP262191 LMF262191:LNL262191 LWB262191:LXH262191 MFX262191:MHD262191 MPT262191:MQZ262191 MZP262191:NAV262191 NJL262191:NKR262191 NTH262191:NUN262191 ODD262191:OEJ262191 OMZ262191:OOF262191 OWV262191:OYB262191 PGR262191:PHX262191 PQN262191:PRT262191 QAJ262191:QBP262191 QKF262191:QLL262191 QUB262191:QVH262191 RDX262191:RFD262191 RNT262191:ROZ262191 RXP262191:RYV262191 SHL262191:SIR262191 SRH262191:SSN262191 TBD262191:TCJ262191 TKZ262191:TMF262191 TUV262191:TWB262191 UER262191:UFX262191 UON262191:UPT262191 UYJ262191:UZP262191 VIF262191:VJL262191 VSB262191:VTH262191 WBX262191:WDD262191 WLT262191:WMZ262191 WVP262191:WWV262191 B327727:AM327727 JD327727:KJ327727 SZ327727:UF327727 ACV327727:AEB327727 AMR327727:ANX327727 AWN327727:AXT327727 BGJ327727:BHP327727 BQF327727:BRL327727 CAB327727:CBH327727 CJX327727:CLD327727 CTT327727:CUZ327727 DDP327727:DEV327727 DNL327727:DOR327727 DXH327727:DYN327727 EHD327727:EIJ327727 EQZ327727:ESF327727 FAV327727:FCB327727 FKR327727:FLX327727 FUN327727:FVT327727 GEJ327727:GFP327727 GOF327727:GPL327727 GYB327727:GZH327727 HHX327727:HJD327727 HRT327727:HSZ327727 IBP327727:ICV327727 ILL327727:IMR327727 IVH327727:IWN327727 JFD327727:JGJ327727 JOZ327727:JQF327727 JYV327727:KAB327727 KIR327727:KJX327727 KSN327727:KTT327727 LCJ327727:LDP327727 LMF327727:LNL327727 LWB327727:LXH327727 MFX327727:MHD327727 MPT327727:MQZ327727 MZP327727:NAV327727 NJL327727:NKR327727 NTH327727:NUN327727 ODD327727:OEJ327727 OMZ327727:OOF327727 OWV327727:OYB327727 PGR327727:PHX327727 PQN327727:PRT327727 QAJ327727:QBP327727 QKF327727:QLL327727 QUB327727:QVH327727 RDX327727:RFD327727 RNT327727:ROZ327727 RXP327727:RYV327727 SHL327727:SIR327727 SRH327727:SSN327727 TBD327727:TCJ327727 TKZ327727:TMF327727 TUV327727:TWB327727 UER327727:UFX327727 UON327727:UPT327727 UYJ327727:UZP327727 VIF327727:VJL327727 VSB327727:VTH327727 WBX327727:WDD327727 WLT327727:WMZ327727 WVP327727:WWV327727 B393263:AM393263 JD393263:KJ393263 SZ393263:UF393263 ACV393263:AEB393263 AMR393263:ANX393263 AWN393263:AXT393263 BGJ393263:BHP393263 BQF393263:BRL393263 CAB393263:CBH393263 CJX393263:CLD393263 CTT393263:CUZ393263 DDP393263:DEV393263 DNL393263:DOR393263 DXH393263:DYN393263 EHD393263:EIJ393263 EQZ393263:ESF393263 FAV393263:FCB393263 FKR393263:FLX393263 FUN393263:FVT393263 GEJ393263:GFP393263 GOF393263:GPL393263 GYB393263:GZH393263 HHX393263:HJD393263 HRT393263:HSZ393263 IBP393263:ICV393263 ILL393263:IMR393263 IVH393263:IWN393263 JFD393263:JGJ393263 JOZ393263:JQF393263 JYV393263:KAB393263 KIR393263:KJX393263 KSN393263:KTT393263 LCJ393263:LDP393263 LMF393263:LNL393263 LWB393263:LXH393263 MFX393263:MHD393263 MPT393263:MQZ393263 MZP393263:NAV393263 NJL393263:NKR393263 NTH393263:NUN393263 ODD393263:OEJ393263 OMZ393263:OOF393263 OWV393263:OYB393263 PGR393263:PHX393263 PQN393263:PRT393263 QAJ393263:QBP393263 QKF393263:QLL393263 QUB393263:QVH393263 RDX393263:RFD393263 RNT393263:ROZ393263 RXP393263:RYV393263 SHL393263:SIR393263 SRH393263:SSN393263 TBD393263:TCJ393263 TKZ393263:TMF393263 TUV393263:TWB393263 UER393263:UFX393263 UON393263:UPT393263 UYJ393263:UZP393263 VIF393263:VJL393263 VSB393263:VTH393263 WBX393263:WDD393263 WLT393263:WMZ393263 WVP393263:WWV393263 B458799:AM458799 JD458799:KJ458799 SZ458799:UF458799 ACV458799:AEB458799 AMR458799:ANX458799 AWN458799:AXT458799 BGJ458799:BHP458799 BQF458799:BRL458799 CAB458799:CBH458799 CJX458799:CLD458799 CTT458799:CUZ458799 DDP458799:DEV458799 DNL458799:DOR458799 DXH458799:DYN458799 EHD458799:EIJ458799 EQZ458799:ESF458799 FAV458799:FCB458799 FKR458799:FLX458799 FUN458799:FVT458799 GEJ458799:GFP458799 GOF458799:GPL458799 GYB458799:GZH458799 HHX458799:HJD458799 HRT458799:HSZ458799 IBP458799:ICV458799 ILL458799:IMR458799 IVH458799:IWN458799 JFD458799:JGJ458799 JOZ458799:JQF458799 JYV458799:KAB458799 KIR458799:KJX458799 KSN458799:KTT458799 LCJ458799:LDP458799 LMF458799:LNL458799 LWB458799:LXH458799 MFX458799:MHD458799 MPT458799:MQZ458799 MZP458799:NAV458799 NJL458799:NKR458799 NTH458799:NUN458799 ODD458799:OEJ458799 OMZ458799:OOF458799 OWV458799:OYB458799 PGR458799:PHX458799 PQN458799:PRT458799 QAJ458799:QBP458799 QKF458799:QLL458799 QUB458799:QVH458799 RDX458799:RFD458799 RNT458799:ROZ458799 RXP458799:RYV458799 SHL458799:SIR458799 SRH458799:SSN458799 TBD458799:TCJ458799 TKZ458799:TMF458799 TUV458799:TWB458799 UER458799:UFX458799 UON458799:UPT458799 UYJ458799:UZP458799 VIF458799:VJL458799 VSB458799:VTH458799 WBX458799:WDD458799 WLT458799:WMZ458799 WVP458799:WWV458799 B524335:AM524335 JD524335:KJ524335 SZ524335:UF524335 ACV524335:AEB524335 AMR524335:ANX524335 AWN524335:AXT524335 BGJ524335:BHP524335 BQF524335:BRL524335 CAB524335:CBH524335 CJX524335:CLD524335 CTT524335:CUZ524335 DDP524335:DEV524335 DNL524335:DOR524335 DXH524335:DYN524335 EHD524335:EIJ524335 EQZ524335:ESF524335 FAV524335:FCB524335 FKR524335:FLX524335 FUN524335:FVT524335 GEJ524335:GFP524335 GOF524335:GPL524335 GYB524335:GZH524335 HHX524335:HJD524335 HRT524335:HSZ524335 IBP524335:ICV524335 ILL524335:IMR524335 IVH524335:IWN524335 JFD524335:JGJ524335 JOZ524335:JQF524335 JYV524335:KAB524335 KIR524335:KJX524335 KSN524335:KTT524335 LCJ524335:LDP524335 LMF524335:LNL524335 LWB524335:LXH524335 MFX524335:MHD524335 MPT524335:MQZ524335 MZP524335:NAV524335 NJL524335:NKR524335 NTH524335:NUN524335 ODD524335:OEJ524335 OMZ524335:OOF524335 OWV524335:OYB524335 PGR524335:PHX524335 PQN524335:PRT524335 QAJ524335:QBP524335 QKF524335:QLL524335 QUB524335:QVH524335 RDX524335:RFD524335 RNT524335:ROZ524335 RXP524335:RYV524335 SHL524335:SIR524335 SRH524335:SSN524335 TBD524335:TCJ524335 TKZ524335:TMF524335 TUV524335:TWB524335 UER524335:UFX524335 UON524335:UPT524335 UYJ524335:UZP524335 VIF524335:VJL524335 VSB524335:VTH524335 WBX524335:WDD524335 WLT524335:WMZ524335 WVP524335:WWV524335 B589871:AM589871 JD589871:KJ589871 SZ589871:UF589871 ACV589871:AEB589871 AMR589871:ANX589871 AWN589871:AXT589871 BGJ589871:BHP589871 BQF589871:BRL589871 CAB589871:CBH589871 CJX589871:CLD589871 CTT589871:CUZ589871 DDP589871:DEV589871 DNL589871:DOR589871 DXH589871:DYN589871 EHD589871:EIJ589871 EQZ589871:ESF589871 FAV589871:FCB589871 FKR589871:FLX589871 FUN589871:FVT589871 GEJ589871:GFP589871 GOF589871:GPL589871 GYB589871:GZH589871 HHX589871:HJD589871 HRT589871:HSZ589871 IBP589871:ICV589871 ILL589871:IMR589871 IVH589871:IWN589871 JFD589871:JGJ589871 JOZ589871:JQF589871 JYV589871:KAB589871 KIR589871:KJX589871 KSN589871:KTT589871 LCJ589871:LDP589871 LMF589871:LNL589871 LWB589871:LXH589871 MFX589871:MHD589871 MPT589871:MQZ589871 MZP589871:NAV589871 NJL589871:NKR589871 NTH589871:NUN589871 ODD589871:OEJ589871 OMZ589871:OOF589871 OWV589871:OYB589871 PGR589871:PHX589871 PQN589871:PRT589871 QAJ589871:QBP589871 QKF589871:QLL589871 QUB589871:QVH589871 RDX589871:RFD589871 RNT589871:ROZ589871 RXP589871:RYV589871 SHL589871:SIR589871 SRH589871:SSN589871 TBD589871:TCJ589871 TKZ589871:TMF589871 TUV589871:TWB589871 UER589871:UFX589871 UON589871:UPT589871 UYJ589871:UZP589871 VIF589871:VJL589871 VSB589871:VTH589871 WBX589871:WDD589871 WLT589871:WMZ589871 WVP589871:WWV589871 B655407:AM655407 JD655407:KJ655407 SZ655407:UF655407 ACV655407:AEB655407 AMR655407:ANX655407 AWN655407:AXT655407 BGJ655407:BHP655407 BQF655407:BRL655407 CAB655407:CBH655407 CJX655407:CLD655407 CTT655407:CUZ655407 DDP655407:DEV655407 DNL655407:DOR655407 DXH655407:DYN655407 EHD655407:EIJ655407 EQZ655407:ESF655407 FAV655407:FCB655407 FKR655407:FLX655407 FUN655407:FVT655407 GEJ655407:GFP655407 GOF655407:GPL655407 GYB655407:GZH655407 HHX655407:HJD655407 HRT655407:HSZ655407 IBP655407:ICV655407 ILL655407:IMR655407 IVH655407:IWN655407 JFD655407:JGJ655407 JOZ655407:JQF655407 JYV655407:KAB655407 KIR655407:KJX655407 KSN655407:KTT655407 LCJ655407:LDP655407 LMF655407:LNL655407 LWB655407:LXH655407 MFX655407:MHD655407 MPT655407:MQZ655407 MZP655407:NAV655407 NJL655407:NKR655407 NTH655407:NUN655407 ODD655407:OEJ655407 OMZ655407:OOF655407 OWV655407:OYB655407 PGR655407:PHX655407 PQN655407:PRT655407 QAJ655407:QBP655407 QKF655407:QLL655407 QUB655407:QVH655407 RDX655407:RFD655407 RNT655407:ROZ655407 RXP655407:RYV655407 SHL655407:SIR655407 SRH655407:SSN655407 TBD655407:TCJ655407 TKZ655407:TMF655407 TUV655407:TWB655407 UER655407:UFX655407 UON655407:UPT655407 UYJ655407:UZP655407 VIF655407:VJL655407 VSB655407:VTH655407 WBX655407:WDD655407 WLT655407:WMZ655407 WVP655407:WWV655407 B720943:AM720943 JD720943:KJ720943 SZ720943:UF720943 ACV720943:AEB720943 AMR720943:ANX720943 AWN720943:AXT720943 BGJ720943:BHP720943 BQF720943:BRL720943 CAB720943:CBH720943 CJX720943:CLD720943 CTT720943:CUZ720943 DDP720943:DEV720943 DNL720943:DOR720943 DXH720943:DYN720943 EHD720943:EIJ720943 EQZ720943:ESF720943 FAV720943:FCB720943 FKR720943:FLX720943 FUN720943:FVT720943 GEJ720943:GFP720943 GOF720943:GPL720943 GYB720943:GZH720943 HHX720943:HJD720943 HRT720943:HSZ720943 IBP720943:ICV720943 ILL720943:IMR720943 IVH720943:IWN720943 JFD720943:JGJ720943 JOZ720943:JQF720943 JYV720943:KAB720943 KIR720943:KJX720943 KSN720943:KTT720943 LCJ720943:LDP720943 LMF720943:LNL720943 LWB720943:LXH720943 MFX720943:MHD720943 MPT720943:MQZ720943 MZP720943:NAV720943 NJL720943:NKR720943 NTH720943:NUN720943 ODD720943:OEJ720943 OMZ720943:OOF720943 OWV720943:OYB720943 PGR720943:PHX720943 PQN720943:PRT720943 QAJ720943:QBP720943 QKF720943:QLL720943 QUB720943:QVH720943 RDX720943:RFD720943 RNT720943:ROZ720943 RXP720943:RYV720943 SHL720943:SIR720943 SRH720943:SSN720943 TBD720943:TCJ720943 TKZ720943:TMF720943 TUV720943:TWB720943 UER720943:UFX720943 UON720943:UPT720943 UYJ720943:UZP720943 VIF720943:VJL720943 VSB720943:VTH720943 WBX720943:WDD720943 WLT720943:WMZ720943 WVP720943:WWV720943 B786479:AM786479 JD786479:KJ786479 SZ786479:UF786479 ACV786479:AEB786479 AMR786479:ANX786479 AWN786479:AXT786479 BGJ786479:BHP786479 BQF786479:BRL786479 CAB786479:CBH786479 CJX786479:CLD786479 CTT786479:CUZ786479 DDP786479:DEV786479 DNL786479:DOR786479 DXH786479:DYN786479 EHD786479:EIJ786479 EQZ786479:ESF786479 FAV786479:FCB786479 FKR786479:FLX786479 FUN786479:FVT786479 GEJ786479:GFP786479 GOF786479:GPL786479 GYB786479:GZH786479 HHX786479:HJD786479 HRT786479:HSZ786479 IBP786479:ICV786479 ILL786479:IMR786479 IVH786479:IWN786479 JFD786479:JGJ786479 JOZ786479:JQF786479 JYV786479:KAB786479 KIR786479:KJX786479 KSN786479:KTT786479 LCJ786479:LDP786479 LMF786479:LNL786479 LWB786479:LXH786479 MFX786479:MHD786479 MPT786479:MQZ786479 MZP786479:NAV786479 NJL786479:NKR786479 NTH786479:NUN786479 ODD786479:OEJ786479 OMZ786479:OOF786479 OWV786479:OYB786479 PGR786479:PHX786479 PQN786479:PRT786479 QAJ786479:QBP786479 QKF786479:QLL786479 QUB786479:QVH786479 RDX786479:RFD786479 RNT786479:ROZ786479 RXP786479:RYV786479 SHL786479:SIR786479 SRH786479:SSN786479 TBD786479:TCJ786479 TKZ786479:TMF786479 TUV786479:TWB786479 UER786479:UFX786479 UON786479:UPT786479 UYJ786479:UZP786479 VIF786479:VJL786479 VSB786479:VTH786479 WBX786479:WDD786479 WLT786479:WMZ786479 WVP786479:WWV786479 B852015:AM852015 JD852015:KJ852015 SZ852015:UF852015 ACV852015:AEB852015 AMR852015:ANX852015 AWN852015:AXT852015 BGJ852015:BHP852015 BQF852015:BRL852015 CAB852015:CBH852015 CJX852015:CLD852015 CTT852015:CUZ852015 DDP852015:DEV852015 DNL852015:DOR852015 DXH852015:DYN852015 EHD852015:EIJ852015 EQZ852015:ESF852015 FAV852015:FCB852015 FKR852015:FLX852015 FUN852015:FVT852015 GEJ852015:GFP852015 GOF852015:GPL852015 GYB852015:GZH852015 HHX852015:HJD852015 HRT852015:HSZ852015 IBP852015:ICV852015 ILL852015:IMR852015 IVH852015:IWN852015 JFD852015:JGJ852015 JOZ852015:JQF852015 JYV852015:KAB852015 KIR852015:KJX852015 KSN852015:KTT852015 LCJ852015:LDP852015 LMF852015:LNL852015 LWB852015:LXH852015 MFX852015:MHD852015 MPT852015:MQZ852015 MZP852015:NAV852015 NJL852015:NKR852015 NTH852015:NUN852015 ODD852015:OEJ852015 OMZ852015:OOF852015 OWV852015:OYB852015 PGR852015:PHX852015 PQN852015:PRT852015 QAJ852015:QBP852015 QKF852015:QLL852015 QUB852015:QVH852015 RDX852015:RFD852015 RNT852015:ROZ852015 RXP852015:RYV852015 SHL852015:SIR852015 SRH852015:SSN852015 TBD852015:TCJ852015 TKZ852015:TMF852015 TUV852015:TWB852015 UER852015:UFX852015 UON852015:UPT852015 UYJ852015:UZP852015 VIF852015:VJL852015 VSB852015:VTH852015 WBX852015:WDD852015 WLT852015:WMZ852015 WVP852015:WWV852015 B917551:AM917551 JD917551:KJ917551 SZ917551:UF917551 ACV917551:AEB917551 AMR917551:ANX917551 AWN917551:AXT917551 BGJ917551:BHP917551 BQF917551:BRL917551 CAB917551:CBH917551 CJX917551:CLD917551 CTT917551:CUZ917551 DDP917551:DEV917551 DNL917551:DOR917551 DXH917551:DYN917551 EHD917551:EIJ917551 EQZ917551:ESF917551 FAV917551:FCB917551 FKR917551:FLX917551 FUN917551:FVT917551 GEJ917551:GFP917551 GOF917551:GPL917551 GYB917551:GZH917551 HHX917551:HJD917551 HRT917551:HSZ917551 IBP917551:ICV917551 ILL917551:IMR917551 IVH917551:IWN917551 JFD917551:JGJ917551 JOZ917551:JQF917551 JYV917551:KAB917551 KIR917551:KJX917551 KSN917551:KTT917551 LCJ917551:LDP917551 LMF917551:LNL917551 LWB917551:LXH917551 MFX917551:MHD917551 MPT917551:MQZ917551 MZP917551:NAV917551 NJL917551:NKR917551 NTH917551:NUN917551 ODD917551:OEJ917551 OMZ917551:OOF917551 OWV917551:OYB917551 PGR917551:PHX917551 PQN917551:PRT917551 QAJ917551:QBP917551 QKF917551:QLL917551 QUB917551:QVH917551 RDX917551:RFD917551 RNT917551:ROZ917551 RXP917551:RYV917551 SHL917551:SIR917551 SRH917551:SSN917551 TBD917551:TCJ917551 TKZ917551:TMF917551 TUV917551:TWB917551 UER917551:UFX917551 UON917551:UPT917551 UYJ917551:UZP917551 VIF917551:VJL917551 VSB917551:VTH917551 WBX917551:WDD917551 WLT917551:WMZ917551 WVP917551:WWV917551 B983087:AM983087 JD983087:KJ983087 SZ983087:UF983087 ACV983087:AEB983087 AMR983087:ANX983087 AWN983087:AXT983087 BGJ983087:BHP983087 BQF983087:BRL983087 CAB983087:CBH983087 CJX983087:CLD983087 CTT983087:CUZ983087 DDP983087:DEV983087 DNL983087:DOR983087 DXH983087:DYN983087 EHD983087:EIJ983087 EQZ983087:ESF983087 FAV983087:FCB983087 FKR983087:FLX983087 FUN983087:FVT983087 GEJ983087:GFP983087 GOF983087:GPL983087 GYB983087:GZH983087 HHX983087:HJD983087 HRT983087:HSZ983087 IBP983087:ICV983087 ILL983087:IMR983087 IVH983087:IWN983087 JFD983087:JGJ983087 JOZ983087:JQF983087 JYV983087:KAB983087 KIR983087:KJX983087 KSN983087:KTT983087 LCJ983087:LDP983087 LMF983087:LNL983087 LWB983087:LXH983087 MFX983087:MHD983087 MPT983087:MQZ983087 MZP983087:NAV983087 NJL983087:NKR983087 NTH983087:NUN983087 ODD983087:OEJ983087 OMZ983087:OOF983087 OWV983087:OYB983087 PGR983087:PHX983087 PQN983087:PRT983087 QAJ983087:QBP983087 QKF983087:QLL983087 QUB983087:QVH983087 RDX983087:RFD983087 RNT983087:ROZ983087 RXP983087:RYV983087 SHL983087:SIR983087 SRH983087:SSN983087 TBD983087:TCJ983087 TKZ983087:TMF983087 TUV983087:TWB983087 UER983087:UFX983087 UON983087:UPT983087 UYJ983087:UZP983087 VIF983087:VJL983087 VSB983087:VTH983087 WBX983087:WDD983087 WLT983087:WMZ983087 B20" xr:uid="{00000000-0002-0000-0100-000004000000}">
      <formula1>$AZ$26:$AZ$31</formula1>
    </dataValidation>
    <dataValidation type="list" allowBlank="1" showInputMessage="1" showErrorMessage="1" sqref="WVP983099:WWV983099 QUB983099:QVH983099 QKF983099:QLL983099 QAJ983099:QBP983099 PQN983099:PRT983099 PGR983099:PHX983099 OWV983099:OYB983099 OMZ983099:OOF983099 ODD983099:OEJ983099 NTH983099:NUN983099 NJL983099:NKR983099 MZP983099:NAV983099 MPT983099:MQZ983099 MFX983099:MHD983099 LWB983099:LXH983099 LMF983099:LNL983099 LCJ983099:LDP983099 KSN983099:KTT983099 KIR983099:KJX983099 JYV983099:KAB983099 JOZ983099:JQF983099 JFD983099:JGJ983099 IVH983099:IWN983099 ILL983099:IMR983099 IBP983099:ICV983099 HRT983099:HSZ983099 HHX983099:HJD983099 GYB983099:GZH983099 GOF983099:GPL983099 GEJ983099:GFP983099 FUN983099:FVT983099 FKR983099:FLX983099 FAV983099:FCB983099 EQZ983099:ESF983099 EHD983099:EIJ983099 DXH983099:DYN983099 DNL983099:DOR983099 DDP983099:DEV983099 CTT983099:CUZ983099 CJX983099:CLD983099 CAB983099:CBH983099 BQF983099:BRL983099 BGJ983099:BHP983099 AWN983099:AXT983099 AMR983099:ANX983099 ACV983099:AEB983099 SZ983099:UF983099 JD983099:KJ983099 B983099:AM983099 WVP917563:WWV917563 WLT917563:WMZ917563 WBX917563:WDD917563 VSB917563:VTH917563 VIF917563:VJL917563 UYJ917563:UZP917563 UON917563:UPT917563 UER917563:UFX917563 TUV917563:TWB917563 TKZ917563:TMF917563 TBD917563:TCJ917563 SRH917563:SSN917563 SHL917563:SIR917563 RXP917563:RYV917563 RNT917563:ROZ917563 RDX917563:RFD917563 QUB917563:QVH917563 QKF917563:QLL917563 QAJ917563:QBP917563 PQN917563:PRT917563 PGR917563:PHX917563 OWV917563:OYB917563 OMZ917563:OOF917563 ODD917563:OEJ917563 NTH917563:NUN917563 NJL917563:NKR917563 MZP917563:NAV917563 MPT917563:MQZ917563 MFX917563:MHD917563 LWB917563:LXH917563 LMF917563:LNL917563 LCJ917563:LDP917563 KSN917563:KTT917563 KIR917563:KJX917563 JYV917563:KAB917563 JOZ917563:JQF917563 JFD917563:JGJ917563 IVH917563:IWN917563 ILL917563:IMR917563 IBP917563:ICV917563 HRT917563:HSZ917563 HHX917563:HJD917563 GYB917563:GZH917563 GOF917563:GPL917563 GEJ917563:GFP917563 FUN917563:FVT917563 FKR917563:FLX917563 FAV917563:FCB917563 EQZ917563:ESF917563 EHD917563:EIJ917563 DXH917563:DYN917563 DNL917563:DOR917563 DDP917563:DEV917563 CTT917563:CUZ917563 CJX917563:CLD917563 CAB917563:CBH917563 BQF917563:BRL917563 BGJ917563:BHP917563 AWN917563:AXT917563 AMR917563:ANX917563 ACV917563:AEB917563 SZ917563:UF917563 JD917563:KJ917563 B917563:AM917563 WVP852027:WWV852027 WLT852027:WMZ852027 WBX852027:WDD852027 VSB852027:VTH852027 VIF852027:VJL852027 UYJ852027:UZP852027 UON852027:UPT852027 UER852027:UFX852027 TUV852027:TWB852027 TKZ852027:TMF852027 TBD852027:TCJ852027 SRH852027:SSN852027 SHL852027:SIR852027 RXP852027:RYV852027 RNT852027:ROZ852027 RDX852027:RFD852027 QUB852027:QVH852027 QKF852027:QLL852027 QAJ852027:QBP852027 PQN852027:PRT852027 PGR852027:PHX852027 OWV852027:OYB852027 OMZ852027:OOF852027 ODD852027:OEJ852027 NTH852027:NUN852027 NJL852027:NKR852027 MZP852027:NAV852027 MPT852027:MQZ852027 MFX852027:MHD852027 LWB852027:LXH852027 LMF852027:LNL852027 LCJ852027:LDP852027 KSN852027:KTT852027 KIR852027:KJX852027 JYV852027:KAB852027 JOZ852027:JQF852027 JFD852027:JGJ852027 IVH852027:IWN852027 ILL852027:IMR852027 IBP852027:ICV852027 HRT852027:HSZ852027 HHX852027:HJD852027 GYB852027:GZH852027 GOF852027:GPL852027 GEJ852027:GFP852027 FUN852027:FVT852027 FKR852027:FLX852027 FAV852027:FCB852027 EQZ852027:ESF852027 EHD852027:EIJ852027 DXH852027:DYN852027 DNL852027:DOR852027 DDP852027:DEV852027 CTT852027:CUZ852027 CJX852027:CLD852027 CAB852027:CBH852027 BQF852027:BRL852027 BGJ852027:BHP852027 AWN852027:AXT852027 AMR852027:ANX852027 ACV852027:AEB852027 SZ852027:UF852027 JD852027:KJ852027 B852027:AM852027 WVP786491:WWV786491 WLT786491:WMZ786491 WBX786491:WDD786491 VSB786491:VTH786491 VIF786491:VJL786491 UYJ786491:UZP786491 UON786491:UPT786491 UER786491:UFX786491 TUV786491:TWB786491 TKZ786491:TMF786491 TBD786491:TCJ786491 SRH786491:SSN786491 SHL786491:SIR786491 RXP786491:RYV786491 RNT786491:ROZ786491 RDX786491:RFD786491 QUB786491:QVH786491 QKF786491:QLL786491 QAJ786491:QBP786491 PQN786491:PRT786491 PGR786491:PHX786491 OWV786491:OYB786491 OMZ786491:OOF786491 ODD786491:OEJ786491 NTH786491:NUN786491 NJL786491:NKR786491 MZP786491:NAV786491 MPT786491:MQZ786491 MFX786491:MHD786491 LWB786491:LXH786491 LMF786491:LNL786491 LCJ786491:LDP786491 KSN786491:KTT786491 KIR786491:KJX786491 JYV786491:KAB786491 JOZ786491:JQF786491 JFD786491:JGJ786491 IVH786491:IWN786491 ILL786491:IMR786491 IBP786491:ICV786491 HRT786491:HSZ786491 HHX786491:HJD786491 GYB786491:GZH786491 GOF786491:GPL786491 GEJ786491:GFP786491 FUN786491:FVT786491 FKR786491:FLX786491 FAV786491:FCB786491 EQZ786491:ESF786491 EHD786491:EIJ786491 DXH786491:DYN786491 DNL786491:DOR786491 DDP786491:DEV786491 CTT786491:CUZ786491 CJX786491:CLD786491 CAB786491:CBH786491 BQF786491:BRL786491 BGJ786491:BHP786491 AWN786491:AXT786491 AMR786491:ANX786491 ACV786491:AEB786491 SZ786491:UF786491 JD786491:KJ786491 B786491:AM786491 WVP720955:WWV720955 WLT720955:WMZ720955 WBX720955:WDD720955 VSB720955:VTH720955 VIF720955:VJL720955 UYJ720955:UZP720955 UON720955:UPT720955 UER720955:UFX720955 TUV720955:TWB720955 TKZ720955:TMF720955 TBD720955:TCJ720955 SRH720955:SSN720955 SHL720955:SIR720955 RXP720955:RYV720955 RNT720955:ROZ720955 RDX720955:RFD720955 QUB720955:QVH720955 QKF720955:QLL720955 QAJ720955:QBP720955 PQN720955:PRT720955 PGR720955:PHX720955 OWV720955:OYB720955 OMZ720955:OOF720955 ODD720955:OEJ720955 NTH720955:NUN720955 NJL720955:NKR720955 MZP720955:NAV720955 MPT720955:MQZ720955 MFX720955:MHD720955 LWB720955:LXH720955 LMF720955:LNL720955 LCJ720955:LDP720955 KSN720955:KTT720955 KIR720955:KJX720955 JYV720955:KAB720955 JOZ720955:JQF720955 JFD720955:JGJ720955 IVH720955:IWN720955 ILL720955:IMR720955 IBP720955:ICV720955 HRT720955:HSZ720955 HHX720955:HJD720955 GYB720955:GZH720955 GOF720955:GPL720955 GEJ720955:GFP720955 FUN720955:FVT720955 FKR720955:FLX720955 FAV720955:FCB720955 EQZ720955:ESF720955 EHD720955:EIJ720955 DXH720955:DYN720955 DNL720955:DOR720955 DDP720955:DEV720955 CTT720955:CUZ720955 CJX720955:CLD720955 CAB720955:CBH720955 BQF720955:BRL720955 BGJ720955:BHP720955 AWN720955:AXT720955 AMR720955:ANX720955 ACV720955:AEB720955 SZ720955:UF720955 JD720955:KJ720955 B720955:AM720955 WVP655419:WWV655419 WLT655419:WMZ655419 WBX655419:WDD655419 VSB655419:VTH655419 VIF655419:VJL655419 UYJ655419:UZP655419 UON655419:UPT655419 UER655419:UFX655419 TUV655419:TWB655419 TKZ655419:TMF655419 TBD655419:TCJ655419 SRH655419:SSN655419 SHL655419:SIR655419 RXP655419:RYV655419 RNT655419:ROZ655419 RDX655419:RFD655419 QUB655419:QVH655419 QKF655419:QLL655419 QAJ655419:QBP655419 PQN655419:PRT655419 PGR655419:PHX655419 OWV655419:OYB655419 OMZ655419:OOF655419 ODD655419:OEJ655419 NTH655419:NUN655419 NJL655419:NKR655419 MZP655419:NAV655419 MPT655419:MQZ655419 MFX655419:MHD655419 LWB655419:LXH655419 LMF655419:LNL655419 LCJ655419:LDP655419 KSN655419:KTT655419 KIR655419:KJX655419 JYV655419:KAB655419 JOZ655419:JQF655419 JFD655419:JGJ655419 IVH655419:IWN655419 ILL655419:IMR655419 IBP655419:ICV655419 HRT655419:HSZ655419 HHX655419:HJD655419 GYB655419:GZH655419 GOF655419:GPL655419 GEJ655419:GFP655419 FUN655419:FVT655419 FKR655419:FLX655419 FAV655419:FCB655419 EQZ655419:ESF655419 EHD655419:EIJ655419 DXH655419:DYN655419 DNL655419:DOR655419 DDP655419:DEV655419 CTT655419:CUZ655419 CJX655419:CLD655419 CAB655419:CBH655419 BQF655419:BRL655419 BGJ655419:BHP655419 AWN655419:AXT655419 AMR655419:ANX655419 ACV655419:AEB655419 SZ655419:UF655419 JD655419:KJ655419 B655419:AM655419 WVP589883:WWV589883 WLT589883:WMZ589883 WBX589883:WDD589883 VSB589883:VTH589883 VIF589883:VJL589883 UYJ589883:UZP589883 UON589883:UPT589883 UER589883:UFX589883 TUV589883:TWB589883 TKZ589883:TMF589883 TBD589883:TCJ589883 SRH589883:SSN589883 SHL589883:SIR589883 RXP589883:RYV589883 RNT589883:ROZ589883 RDX589883:RFD589883 QUB589883:QVH589883 QKF589883:QLL589883 QAJ589883:QBP589883 PQN589883:PRT589883 PGR589883:PHX589883 OWV589883:OYB589883 OMZ589883:OOF589883 ODD589883:OEJ589883 NTH589883:NUN589883 NJL589883:NKR589883 MZP589883:NAV589883 MPT589883:MQZ589883 MFX589883:MHD589883 LWB589883:LXH589883 LMF589883:LNL589883 LCJ589883:LDP589883 KSN589883:KTT589883 KIR589883:KJX589883 JYV589883:KAB589883 JOZ589883:JQF589883 JFD589883:JGJ589883 IVH589883:IWN589883 ILL589883:IMR589883 IBP589883:ICV589883 HRT589883:HSZ589883 HHX589883:HJD589883 GYB589883:GZH589883 GOF589883:GPL589883 GEJ589883:GFP589883 FUN589883:FVT589883 FKR589883:FLX589883 FAV589883:FCB589883 EQZ589883:ESF589883 EHD589883:EIJ589883 DXH589883:DYN589883 DNL589883:DOR589883 DDP589883:DEV589883 CTT589883:CUZ589883 CJX589883:CLD589883 CAB589883:CBH589883 BQF589883:BRL589883 BGJ589883:BHP589883 AWN589883:AXT589883 AMR589883:ANX589883 ACV589883:AEB589883 SZ589883:UF589883 JD589883:KJ589883 B589883:AM589883 WVP524347:WWV524347 WLT524347:WMZ524347 WBX524347:WDD524347 VSB524347:VTH524347 VIF524347:VJL524347 UYJ524347:UZP524347 UON524347:UPT524347 UER524347:UFX524347 TUV524347:TWB524347 TKZ524347:TMF524347 TBD524347:TCJ524347 SRH524347:SSN524347 SHL524347:SIR524347 RXP524347:RYV524347 RNT524347:ROZ524347 RDX524347:RFD524347 QUB524347:QVH524347 QKF524347:QLL524347 QAJ524347:QBP524347 PQN524347:PRT524347 PGR524347:PHX524347 OWV524347:OYB524347 OMZ524347:OOF524347 ODD524347:OEJ524347 NTH524347:NUN524347 NJL524347:NKR524347 MZP524347:NAV524347 MPT524347:MQZ524347 MFX524347:MHD524347 LWB524347:LXH524347 LMF524347:LNL524347 LCJ524347:LDP524347 KSN524347:KTT524347 KIR524347:KJX524347 JYV524347:KAB524347 JOZ524347:JQF524347 JFD524347:JGJ524347 IVH524347:IWN524347 ILL524347:IMR524347 IBP524347:ICV524347 HRT524347:HSZ524347 HHX524347:HJD524347 GYB524347:GZH524347 GOF524347:GPL524347 GEJ524347:GFP524347 FUN524347:FVT524347 FKR524347:FLX524347 FAV524347:FCB524347 EQZ524347:ESF524347 EHD524347:EIJ524347 DXH524347:DYN524347 DNL524347:DOR524347 DDP524347:DEV524347 CTT524347:CUZ524347 CJX524347:CLD524347 CAB524347:CBH524347 BQF524347:BRL524347 BGJ524347:BHP524347 AWN524347:AXT524347 AMR524347:ANX524347 ACV524347:AEB524347 SZ524347:UF524347 JD524347:KJ524347 B524347:AM524347 WVP458811:WWV458811 WLT458811:WMZ458811 WBX458811:WDD458811 VSB458811:VTH458811 VIF458811:VJL458811 UYJ458811:UZP458811 UON458811:UPT458811 UER458811:UFX458811 TUV458811:TWB458811 TKZ458811:TMF458811 TBD458811:TCJ458811 SRH458811:SSN458811 SHL458811:SIR458811 RXP458811:RYV458811 RNT458811:ROZ458811 RDX458811:RFD458811 QUB458811:QVH458811 QKF458811:QLL458811 QAJ458811:QBP458811 PQN458811:PRT458811 PGR458811:PHX458811 OWV458811:OYB458811 OMZ458811:OOF458811 ODD458811:OEJ458811 NTH458811:NUN458811 NJL458811:NKR458811 MZP458811:NAV458811 MPT458811:MQZ458811 MFX458811:MHD458811 LWB458811:LXH458811 LMF458811:LNL458811 LCJ458811:LDP458811 KSN458811:KTT458811 KIR458811:KJX458811 JYV458811:KAB458811 JOZ458811:JQF458811 JFD458811:JGJ458811 IVH458811:IWN458811 ILL458811:IMR458811 IBP458811:ICV458811 HRT458811:HSZ458811 HHX458811:HJD458811 GYB458811:GZH458811 GOF458811:GPL458811 GEJ458811:GFP458811 FUN458811:FVT458811 FKR458811:FLX458811 FAV458811:FCB458811 EQZ458811:ESF458811 EHD458811:EIJ458811 DXH458811:DYN458811 DNL458811:DOR458811 DDP458811:DEV458811 CTT458811:CUZ458811 CJX458811:CLD458811 CAB458811:CBH458811 BQF458811:BRL458811 BGJ458811:BHP458811 AWN458811:AXT458811 AMR458811:ANX458811 ACV458811:AEB458811 SZ458811:UF458811 JD458811:KJ458811 B458811:AM458811 WVP393275:WWV393275 WLT393275:WMZ393275 WBX393275:WDD393275 VSB393275:VTH393275 VIF393275:VJL393275 UYJ393275:UZP393275 UON393275:UPT393275 UER393275:UFX393275 TUV393275:TWB393275 TKZ393275:TMF393275 TBD393275:TCJ393275 SRH393275:SSN393275 SHL393275:SIR393275 RXP393275:RYV393275 RNT393275:ROZ393275 RDX393275:RFD393275 QUB393275:QVH393275 QKF393275:QLL393275 QAJ393275:QBP393275 PQN393275:PRT393275 PGR393275:PHX393275 OWV393275:OYB393275 OMZ393275:OOF393275 ODD393275:OEJ393275 NTH393275:NUN393275 NJL393275:NKR393275 MZP393275:NAV393275 MPT393275:MQZ393275 MFX393275:MHD393275 LWB393275:LXH393275 LMF393275:LNL393275 LCJ393275:LDP393275 KSN393275:KTT393275 KIR393275:KJX393275 JYV393275:KAB393275 JOZ393275:JQF393275 JFD393275:JGJ393275 IVH393275:IWN393275 ILL393275:IMR393275 IBP393275:ICV393275 HRT393275:HSZ393275 HHX393275:HJD393275 GYB393275:GZH393275 GOF393275:GPL393275 GEJ393275:GFP393275 FUN393275:FVT393275 FKR393275:FLX393275 FAV393275:FCB393275 EQZ393275:ESF393275 EHD393275:EIJ393275 DXH393275:DYN393275 DNL393275:DOR393275 DDP393275:DEV393275 CTT393275:CUZ393275 CJX393275:CLD393275 CAB393275:CBH393275 BQF393275:BRL393275 BGJ393275:BHP393275 AWN393275:AXT393275 AMR393275:ANX393275 ACV393275:AEB393275 SZ393275:UF393275 JD393275:KJ393275 B393275:AM393275 WVP327739:WWV327739 WLT327739:WMZ327739 WBX327739:WDD327739 VSB327739:VTH327739 VIF327739:VJL327739 UYJ327739:UZP327739 UON327739:UPT327739 UER327739:UFX327739 TUV327739:TWB327739 TKZ327739:TMF327739 TBD327739:TCJ327739 SRH327739:SSN327739 SHL327739:SIR327739 RXP327739:RYV327739 RNT327739:ROZ327739 RDX327739:RFD327739 QUB327739:QVH327739 QKF327739:QLL327739 QAJ327739:QBP327739 PQN327739:PRT327739 PGR327739:PHX327739 OWV327739:OYB327739 OMZ327739:OOF327739 ODD327739:OEJ327739 NTH327739:NUN327739 NJL327739:NKR327739 MZP327739:NAV327739 MPT327739:MQZ327739 MFX327739:MHD327739 LWB327739:LXH327739 LMF327739:LNL327739 LCJ327739:LDP327739 KSN327739:KTT327739 KIR327739:KJX327739 JYV327739:KAB327739 JOZ327739:JQF327739 JFD327739:JGJ327739 IVH327739:IWN327739 ILL327739:IMR327739 IBP327739:ICV327739 HRT327739:HSZ327739 HHX327739:HJD327739 GYB327739:GZH327739 GOF327739:GPL327739 GEJ327739:GFP327739 FUN327739:FVT327739 FKR327739:FLX327739 FAV327739:FCB327739 EQZ327739:ESF327739 EHD327739:EIJ327739 DXH327739:DYN327739 DNL327739:DOR327739 DDP327739:DEV327739 CTT327739:CUZ327739 CJX327739:CLD327739 CAB327739:CBH327739 BQF327739:BRL327739 BGJ327739:BHP327739 AWN327739:AXT327739 AMR327739:ANX327739 ACV327739:AEB327739 SZ327739:UF327739 JD327739:KJ327739 B327739:AM327739 WVP262203:WWV262203 WLT262203:WMZ262203 WBX262203:WDD262203 VSB262203:VTH262203 VIF262203:VJL262203 UYJ262203:UZP262203 UON262203:UPT262203 UER262203:UFX262203 TUV262203:TWB262203 TKZ262203:TMF262203 TBD262203:TCJ262203 SRH262203:SSN262203 SHL262203:SIR262203 RXP262203:RYV262203 RNT262203:ROZ262203 RDX262203:RFD262203 QUB262203:QVH262203 QKF262203:QLL262203 QAJ262203:QBP262203 PQN262203:PRT262203 PGR262203:PHX262203 OWV262203:OYB262203 OMZ262203:OOF262203 ODD262203:OEJ262203 NTH262203:NUN262203 NJL262203:NKR262203 MZP262203:NAV262203 MPT262203:MQZ262203 MFX262203:MHD262203 LWB262203:LXH262203 LMF262203:LNL262203 LCJ262203:LDP262203 KSN262203:KTT262203 KIR262203:KJX262203 JYV262203:KAB262203 JOZ262203:JQF262203 JFD262203:JGJ262203 IVH262203:IWN262203 ILL262203:IMR262203 IBP262203:ICV262203 HRT262203:HSZ262203 HHX262203:HJD262203 GYB262203:GZH262203 GOF262203:GPL262203 GEJ262203:GFP262203 FUN262203:FVT262203 FKR262203:FLX262203 FAV262203:FCB262203 EQZ262203:ESF262203 EHD262203:EIJ262203 DXH262203:DYN262203 DNL262203:DOR262203 DDP262203:DEV262203 CTT262203:CUZ262203 CJX262203:CLD262203 CAB262203:CBH262203 BQF262203:BRL262203 BGJ262203:BHP262203 AWN262203:AXT262203 AMR262203:ANX262203 ACV262203:AEB262203 SZ262203:UF262203 JD262203:KJ262203 B262203:AM262203 WVP196667:WWV196667 WLT196667:WMZ196667 WBX196667:WDD196667 VSB196667:VTH196667 VIF196667:VJL196667 UYJ196667:UZP196667 UON196667:UPT196667 UER196667:UFX196667 TUV196667:TWB196667 TKZ196667:TMF196667 TBD196667:TCJ196667 SRH196667:SSN196667 SHL196667:SIR196667 RXP196667:RYV196667 RNT196667:ROZ196667 RDX196667:RFD196667 QUB196667:QVH196667 QKF196667:QLL196667 QAJ196667:QBP196667 PQN196667:PRT196667 PGR196667:PHX196667 OWV196667:OYB196667 OMZ196667:OOF196667 ODD196667:OEJ196667 NTH196667:NUN196667 NJL196667:NKR196667 MZP196667:NAV196667 MPT196667:MQZ196667 MFX196667:MHD196667 LWB196667:LXH196667 LMF196667:LNL196667 LCJ196667:LDP196667 KSN196667:KTT196667 KIR196667:KJX196667 JYV196667:KAB196667 JOZ196667:JQF196667 JFD196667:JGJ196667 IVH196667:IWN196667 ILL196667:IMR196667 IBP196667:ICV196667 HRT196667:HSZ196667 HHX196667:HJD196667 GYB196667:GZH196667 GOF196667:GPL196667 GEJ196667:GFP196667 FUN196667:FVT196667 FKR196667:FLX196667 FAV196667:FCB196667 EQZ196667:ESF196667 EHD196667:EIJ196667 DXH196667:DYN196667 DNL196667:DOR196667 DDP196667:DEV196667 CTT196667:CUZ196667 CJX196667:CLD196667 CAB196667:CBH196667 BQF196667:BRL196667 BGJ196667:BHP196667 AWN196667:AXT196667 AMR196667:ANX196667 ACV196667:AEB196667 SZ196667:UF196667 JD196667:KJ196667 B196667:AM196667 WVP131131:WWV131131 WLT131131:WMZ131131 WBX131131:WDD131131 VSB131131:VTH131131 VIF131131:VJL131131 UYJ131131:UZP131131 UON131131:UPT131131 UER131131:UFX131131 TUV131131:TWB131131 TKZ131131:TMF131131 TBD131131:TCJ131131 SRH131131:SSN131131 SHL131131:SIR131131 RXP131131:RYV131131 RNT131131:ROZ131131 RDX131131:RFD131131 QUB131131:QVH131131 QKF131131:QLL131131 QAJ131131:QBP131131 PQN131131:PRT131131 PGR131131:PHX131131 OWV131131:OYB131131 OMZ131131:OOF131131 ODD131131:OEJ131131 NTH131131:NUN131131 NJL131131:NKR131131 MZP131131:NAV131131 MPT131131:MQZ131131 MFX131131:MHD131131 LWB131131:LXH131131 LMF131131:LNL131131 LCJ131131:LDP131131 KSN131131:KTT131131 KIR131131:KJX131131 JYV131131:KAB131131 JOZ131131:JQF131131 JFD131131:JGJ131131 IVH131131:IWN131131 ILL131131:IMR131131 IBP131131:ICV131131 HRT131131:HSZ131131 HHX131131:HJD131131 GYB131131:GZH131131 GOF131131:GPL131131 GEJ131131:GFP131131 FUN131131:FVT131131 FKR131131:FLX131131 FAV131131:FCB131131 EQZ131131:ESF131131 EHD131131:EIJ131131 DXH131131:DYN131131 DNL131131:DOR131131 DDP131131:DEV131131 CTT131131:CUZ131131 CJX131131:CLD131131 CAB131131:CBH131131 BQF131131:BRL131131 BGJ131131:BHP131131 AWN131131:AXT131131 AMR131131:ANX131131 ACV131131:AEB131131 SZ131131:UF131131 JD131131:KJ131131 B131131:AM131131 WVP65595:WWV65595 WLT65595:WMZ65595 WBX65595:WDD65595 VSB65595:VTH65595 VIF65595:VJL65595 UYJ65595:UZP65595 UON65595:UPT65595 UER65595:UFX65595 TUV65595:TWB65595 TKZ65595:TMF65595 TBD65595:TCJ65595 SRH65595:SSN65595 SHL65595:SIR65595 RXP65595:RYV65595 RNT65595:ROZ65595 RDX65595:RFD65595 QUB65595:QVH65595 QKF65595:QLL65595 QAJ65595:QBP65595 PQN65595:PRT65595 PGR65595:PHX65595 OWV65595:OYB65595 OMZ65595:OOF65595 ODD65595:OEJ65595 NTH65595:NUN65595 NJL65595:NKR65595 MZP65595:NAV65595 MPT65595:MQZ65595 MFX65595:MHD65595 LWB65595:LXH65595 LMF65595:LNL65595 LCJ65595:LDP65595 KSN65595:KTT65595 KIR65595:KJX65595 JYV65595:KAB65595 JOZ65595:JQF65595 JFD65595:JGJ65595 IVH65595:IWN65595 ILL65595:IMR65595 IBP65595:ICV65595 HRT65595:HSZ65595 HHX65595:HJD65595 GYB65595:GZH65595 GOF65595:GPL65595 GEJ65595:GFP65595 FUN65595:FVT65595 FKR65595:FLX65595 FAV65595:FCB65595 EQZ65595:ESF65595 EHD65595:EIJ65595 DXH65595:DYN65595 DNL65595:DOR65595 DDP65595:DEV65595 CTT65595:CUZ65595 CJX65595:CLD65595 CAB65595:CBH65595 BQF65595:BRL65595 BGJ65595:BHP65595 AWN65595:AXT65595 AMR65595:ANX65595 ACV65595:AEB65595 SZ65595:UF65595 JD65595:KJ65595 B65595:AM65595 WVP32:WWV32 WLT32:WMZ32 WBX32:WDD32 VSB32:VTH32 VIF32:VJL32 UYJ32:UZP32 UON32:UPT32 UER32:UFX32 TUV32:TWB32 TKZ32:TMF32 TBD32:TCJ32 SRH32:SSN32 SHL32:SIR32 RXP32:RYV32 RNT32:ROZ32 RDX32:RFD32 QUB32:QVH32 QKF32:QLL32 QAJ32:QBP32 PQN32:PRT32 PGR32:PHX32 OWV32:OYB32 OMZ32:OOF32 ODD32:OEJ32 NTH32:NUN32 NJL32:NKR32 MZP32:NAV32 MPT32:MQZ32 MFX32:MHD32 LWB32:LXH32 LMF32:LNL32 LCJ32:LDP32 KSN32:KTT32 KIR32:KJX32 JYV32:KAB32 JOZ32:JQF32 JFD32:JGJ32 IVH32:IWN32 ILL32:IMR32 IBP32:ICV32 HRT32:HSZ32 HHX32:HJD32 GYB32:GZH32 GOF32:GPL32 GEJ32:GFP32 FUN32:FVT32 FKR32:FLX32 FAV32:FCB32 EQZ32:ESF32 EHD32:EIJ32 DXH32:DYN32 DNL32:DOR32 DDP32:DEV32 CTT32:CUZ32 CJX32:CLD32 CAB32:CBH32 BQF32:BRL32 BGJ32:BHP32 AWN32:AXT32 AMR32:ANX32 ACV32:AEB32 SZ32:UF32 JD32:KJ32 WLT983099:WMZ983099 WVP983101:WWV983101 WLT983101:WMZ983101 WBX983101:WDD983101 VSB983101:VTH983101 VIF983101:VJL983101 UYJ983101:UZP983101 UON983101:UPT983101 UER983101:UFX983101 TUV983101:TWB983101 TKZ983101:TMF983101 TBD983101:TCJ983101 SRH983101:SSN983101 SHL983101:SIR983101 RXP983101:RYV983101 RNT983101:ROZ983101 RDX983101:RFD983101 QUB983101:QVH983101 QKF983101:QLL983101 QAJ983101:QBP983101 PQN983101:PRT983101 PGR983101:PHX983101 OWV983101:OYB983101 OMZ983101:OOF983101 ODD983101:OEJ983101 NTH983101:NUN983101 NJL983101:NKR983101 MZP983101:NAV983101 MPT983101:MQZ983101 MFX983101:MHD983101 LWB983101:LXH983101 LMF983101:LNL983101 LCJ983101:LDP983101 KSN983101:KTT983101 KIR983101:KJX983101 JYV983101:KAB983101 JOZ983101:JQF983101 JFD983101:JGJ983101 IVH983101:IWN983101 ILL983101:IMR983101 IBP983101:ICV983101 HRT983101:HSZ983101 HHX983101:HJD983101 GYB983101:GZH983101 GOF983101:GPL983101 GEJ983101:GFP983101 FUN983101:FVT983101 FKR983101:FLX983101 FAV983101:FCB983101 EQZ983101:ESF983101 EHD983101:EIJ983101 DXH983101:DYN983101 DNL983101:DOR983101 DDP983101:DEV983101 CTT983101:CUZ983101 CJX983101:CLD983101 CAB983101:CBH983101 BQF983101:BRL983101 BGJ983101:BHP983101 AWN983101:AXT983101 AMR983101:ANX983101 ACV983101:AEB983101 SZ983101:UF983101 JD983101:KJ983101 B983101:AM983101 WVP917565:WWV917565 WLT917565:WMZ917565 WBX917565:WDD917565 VSB917565:VTH917565 VIF917565:VJL917565 UYJ917565:UZP917565 UON917565:UPT917565 UER917565:UFX917565 TUV917565:TWB917565 TKZ917565:TMF917565 TBD917565:TCJ917565 SRH917565:SSN917565 SHL917565:SIR917565 RXP917565:RYV917565 RNT917565:ROZ917565 RDX917565:RFD917565 QUB917565:QVH917565 QKF917565:QLL917565 QAJ917565:QBP917565 PQN917565:PRT917565 PGR917565:PHX917565 OWV917565:OYB917565 OMZ917565:OOF917565 ODD917565:OEJ917565 NTH917565:NUN917565 NJL917565:NKR917565 MZP917565:NAV917565 MPT917565:MQZ917565 MFX917565:MHD917565 LWB917565:LXH917565 LMF917565:LNL917565 LCJ917565:LDP917565 KSN917565:KTT917565 KIR917565:KJX917565 JYV917565:KAB917565 JOZ917565:JQF917565 JFD917565:JGJ917565 IVH917565:IWN917565 ILL917565:IMR917565 IBP917565:ICV917565 HRT917565:HSZ917565 HHX917565:HJD917565 GYB917565:GZH917565 GOF917565:GPL917565 GEJ917565:GFP917565 FUN917565:FVT917565 FKR917565:FLX917565 FAV917565:FCB917565 EQZ917565:ESF917565 EHD917565:EIJ917565 DXH917565:DYN917565 DNL917565:DOR917565 DDP917565:DEV917565 CTT917565:CUZ917565 CJX917565:CLD917565 CAB917565:CBH917565 BQF917565:BRL917565 BGJ917565:BHP917565 AWN917565:AXT917565 AMR917565:ANX917565 ACV917565:AEB917565 SZ917565:UF917565 JD917565:KJ917565 B917565:AM917565 WVP852029:WWV852029 WLT852029:WMZ852029 WBX852029:WDD852029 VSB852029:VTH852029 VIF852029:VJL852029 UYJ852029:UZP852029 UON852029:UPT852029 UER852029:UFX852029 TUV852029:TWB852029 TKZ852029:TMF852029 TBD852029:TCJ852029 SRH852029:SSN852029 SHL852029:SIR852029 RXP852029:RYV852029 RNT852029:ROZ852029 RDX852029:RFD852029 QUB852029:QVH852029 QKF852029:QLL852029 QAJ852029:QBP852029 PQN852029:PRT852029 PGR852029:PHX852029 OWV852029:OYB852029 OMZ852029:OOF852029 ODD852029:OEJ852029 NTH852029:NUN852029 NJL852029:NKR852029 MZP852029:NAV852029 MPT852029:MQZ852029 MFX852029:MHD852029 LWB852029:LXH852029 LMF852029:LNL852029 LCJ852029:LDP852029 KSN852029:KTT852029 KIR852029:KJX852029 JYV852029:KAB852029 JOZ852029:JQF852029 JFD852029:JGJ852029 IVH852029:IWN852029 ILL852029:IMR852029 IBP852029:ICV852029 HRT852029:HSZ852029 HHX852029:HJD852029 GYB852029:GZH852029 GOF852029:GPL852029 GEJ852029:GFP852029 FUN852029:FVT852029 FKR852029:FLX852029 FAV852029:FCB852029 EQZ852029:ESF852029 EHD852029:EIJ852029 DXH852029:DYN852029 DNL852029:DOR852029 DDP852029:DEV852029 CTT852029:CUZ852029 CJX852029:CLD852029 CAB852029:CBH852029 BQF852029:BRL852029 BGJ852029:BHP852029 AWN852029:AXT852029 AMR852029:ANX852029 ACV852029:AEB852029 SZ852029:UF852029 JD852029:KJ852029 B852029:AM852029 WVP786493:WWV786493 WLT786493:WMZ786493 WBX786493:WDD786493 VSB786493:VTH786493 VIF786493:VJL786493 UYJ786493:UZP786493 UON786493:UPT786493 UER786493:UFX786493 TUV786493:TWB786493 TKZ786493:TMF786493 TBD786493:TCJ786493 SRH786493:SSN786493 SHL786493:SIR786493 RXP786493:RYV786493 RNT786493:ROZ786493 RDX786493:RFD786493 QUB786493:QVH786493 QKF786493:QLL786493 QAJ786493:QBP786493 PQN786493:PRT786493 PGR786493:PHX786493 OWV786493:OYB786493 OMZ786493:OOF786493 ODD786493:OEJ786493 NTH786493:NUN786493 NJL786493:NKR786493 MZP786493:NAV786493 MPT786493:MQZ786493 MFX786493:MHD786493 LWB786493:LXH786493 LMF786493:LNL786493 LCJ786493:LDP786493 KSN786493:KTT786493 KIR786493:KJX786493 JYV786493:KAB786493 JOZ786493:JQF786493 JFD786493:JGJ786493 IVH786493:IWN786493 ILL786493:IMR786493 IBP786493:ICV786493 HRT786493:HSZ786493 HHX786493:HJD786493 GYB786493:GZH786493 GOF786493:GPL786493 GEJ786493:GFP786493 FUN786493:FVT786493 FKR786493:FLX786493 FAV786493:FCB786493 EQZ786493:ESF786493 EHD786493:EIJ786493 DXH786493:DYN786493 DNL786493:DOR786493 DDP786493:DEV786493 CTT786493:CUZ786493 CJX786493:CLD786493 CAB786493:CBH786493 BQF786493:BRL786493 BGJ786493:BHP786493 AWN786493:AXT786493 AMR786493:ANX786493 ACV786493:AEB786493 SZ786493:UF786493 JD786493:KJ786493 B786493:AM786493 WVP720957:WWV720957 WLT720957:WMZ720957 WBX720957:WDD720957 VSB720957:VTH720957 VIF720957:VJL720957 UYJ720957:UZP720957 UON720957:UPT720957 UER720957:UFX720957 TUV720957:TWB720957 TKZ720957:TMF720957 TBD720957:TCJ720957 SRH720957:SSN720957 SHL720957:SIR720957 RXP720957:RYV720957 RNT720957:ROZ720957 RDX720957:RFD720957 QUB720957:QVH720957 QKF720957:QLL720957 QAJ720957:QBP720957 PQN720957:PRT720957 PGR720957:PHX720957 OWV720957:OYB720957 OMZ720957:OOF720957 ODD720957:OEJ720957 NTH720957:NUN720957 NJL720957:NKR720957 MZP720957:NAV720957 MPT720957:MQZ720957 MFX720957:MHD720957 LWB720957:LXH720957 LMF720957:LNL720957 LCJ720957:LDP720957 KSN720957:KTT720957 KIR720957:KJX720957 JYV720957:KAB720957 JOZ720957:JQF720957 JFD720957:JGJ720957 IVH720957:IWN720957 ILL720957:IMR720957 IBP720957:ICV720957 HRT720957:HSZ720957 HHX720957:HJD720957 GYB720957:GZH720957 GOF720957:GPL720957 GEJ720957:GFP720957 FUN720957:FVT720957 FKR720957:FLX720957 FAV720957:FCB720957 EQZ720957:ESF720957 EHD720957:EIJ720957 DXH720957:DYN720957 DNL720957:DOR720957 DDP720957:DEV720957 CTT720957:CUZ720957 CJX720957:CLD720957 CAB720957:CBH720957 BQF720957:BRL720957 BGJ720957:BHP720957 AWN720957:AXT720957 AMR720957:ANX720957 ACV720957:AEB720957 SZ720957:UF720957 JD720957:KJ720957 B720957:AM720957 WVP655421:WWV655421 WLT655421:WMZ655421 WBX655421:WDD655421 VSB655421:VTH655421 VIF655421:VJL655421 UYJ655421:UZP655421 UON655421:UPT655421 UER655421:UFX655421 TUV655421:TWB655421 TKZ655421:TMF655421 TBD655421:TCJ655421 SRH655421:SSN655421 SHL655421:SIR655421 RXP655421:RYV655421 RNT655421:ROZ655421 RDX655421:RFD655421 QUB655421:QVH655421 QKF655421:QLL655421 QAJ655421:QBP655421 PQN655421:PRT655421 PGR655421:PHX655421 OWV655421:OYB655421 OMZ655421:OOF655421 ODD655421:OEJ655421 NTH655421:NUN655421 NJL655421:NKR655421 MZP655421:NAV655421 MPT655421:MQZ655421 MFX655421:MHD655421 LWB655421:LXH655421 LMF655421:LNL655421 LCJ655421:LDP655421 KSN655421:KTT655421 KIR655421:KJX655421 JYV655421:KAB655421 JOZ655421:JQF655421 JFD655421:JGJ655421 IVH655421:IWN655421 ILL655421:IMR655421 IBP655421:ICV655421 HRT655421:HSZ655421 HHX655421:HJD655421 GYB655421:GZH655421 GOF655421:GPL655421 GEJ655421:GFP655421 FUN655421:FVT655421 FKR655421:FLX655421 FAV655421:FCB655421 EQZ655421:ESF655421 EHD655421:EIJ655421 DXH655421:DYN655421 DNL655421:DOR655421 DDP655421:DEV655421 CTT655421:CUZ655421 CJX655421:CLD655421 CAB655421:CBH655421 BQF655421:BRL655421 BGJ655421:BHP655421 AWN655421:AXT655421 AMR655421:ANX655421 ACV655421:AEB655421 SZ655421:UF655421 JD655421:KJ655421 B655421:AM655421 WVP589885:WWV589885 WLT589885:WMZ589885 WBX589885:WDD589885 VSB589885:VTH589885 VIF589885:VJL589885 UYJ589885:UZP589885 UON589885:UPT589885 UER589885:UFX589885 TUV589885:TWB589885 TKZ589885:TMF589885 TBD589885:TCJ589885 SRH589885:SSN589885 SHL589885:SIR589885 RXP589885:RYV589885 RNT589885:ROZ589885 RDX589885:RFD589885 QUB589885:QVH589885 QKF589885:QLL589885 QAJ589885:QBP589885 PQN589885:PRT589885 PGR589885:PHX589885 OWV589885:OYB589885 OMZ589885:OOF589885 ODD589885:OEJ589885 NTH589885:NUN589885 NJL589885:NKR589885 MZP589885:NAV589885 MPT589885:MQZ589885 MFX589885:MHD589885 LWB589885:LXH589885 LMF589885:LNL589885 LCJ589885:LDP589885 KSN589885:KTT589885 KIR589885:KJX589885 JYV589885:KAB589885 JOZ589885:JQF589885 JFD589885:JGJ589885 IVH589885:IWN589885 ILL589885:IMR589885 IBP589885:ICV589885 HRT589885:HSZ589885 HHX589885:HJD589885 GYB589885:GZH589885 GOF589885:GPL589885 GEJ589885:GFP589885 FUN589885:FVT589885 FKR589885:FLX589885 FAV589885:FCB589885 EQZ589885:ESF589885 EHD589885:EIJ589885 DXH589885:DYN589885 DNL589885:DOR589885 DDP589885:DEV589885 CTT589885:CUZ589885 CJX589885:CLD589885 CAB589885:CBH589885 BQF589885:BRL589885 BGJ589885:BHP589885 AWN589885:AXT589885 AMR589885:ANX589885 ACV589885:AEB589885 SZ589885:UF589885 JD589885:KJ589885 B589885:AM589885 WVP524349:WWV524349 WLT524349:WMZ524349 WBX524349:WDD524349 VSB524349:VTH524349 VIF524349:VJL524349 UYJ524349:UZP524349 UON524349:UPT524349 UER524349:UFX524349 TUV524349:TWB524349 TKZ524349:TMF524349 TBD524349:TCJ524349 SRH524349:SSN524349 SHL524349:SIR524349 RXP524349:RYV524349 RNT524349:ROZ524349 RDX524349:RFD524349 QUB524349:QVH524349 QKF524349:QLL524349 QAJ524349:QBP524349 PQN524349:PRT524349 PGR524349:PHX524349 OWV524349:OYB524349 OMZ524349:OOF524349 ODD524349:OEJ524349 NTH524349:NUN524349 NJL524349:NKR524349 MZP524349:NAV524349 MPT524349:MQZ524349 MFX524349:MHD524349 LWB524349:LXH524349 LMF524349:LNL524349 LCJ524349:LDP524349 KSN524349:KTT524349 KIR524349:KJX524349 JYV524349:KAB524349 JOZ524349:JQF524349 JFD524349:JGJ524349 IVH524349:IWN524349 ILL524349:IMR524349 IBP524349:ICV524349 HRT524349:HSZ524349 HHX524349:HJD524349 GYB524349:GZH524349 GOF524349:GPL524349 GEJ524349:GFP524349 FUN524349:FVT524349 FKR524349:FLX524349 FAV524349:FCB524349 EQZ524349:ESF524349 EHD524349:EIJ524349 DXH524349:DYN524349 DNL524349:DOR524349 DDP524349:DEV524349 CTT524349:CUZ524349 CJX524349:CLD524349 CAB524349:CBH524349 BQF524349:BRL524349 BGJ524349:BHP524349 AWN524349:AXT524349 AMR524349:ANX524349 ACV524349:AEB524349 SZ524349:UF524349 JD524349:KJ524349 B524349:AM524349 WVP458813:WWV458813 WLT458813:WMZ458813 WBX458813:WDD458813 VSB458813:VTH458813 VIF458813:VJL458813 UYJ458813:UZP458813 UON458813:UPT458813 UER458813:UFX458813 TUV458813:TWB458813 TKZ458813:TMF458813 TBD458813:TCJ458813 SRH458813:SSN458813 SHL458813:SIR458813 RXP458813:RYV458813 RNT458813:ROZ458813 RDX458813:RFD458813 QUB458813:QVH458813 QKF458813:QLL458813 QAJ458813:QBP458813 PQN458813:PRT458813 PGR458813:PHX458813 OWV458813:OYB458813 OMZ458813:OOF458813 ODD458813:OEJ458813 NTH458813:NUN458813 NJL458813:NKR458813 MZP458813:NAV458813 MPT458813:MQZ458813 MFX458813:MHD458813 LWB458813:LXH458813 LMF458813:LNL458813 LCJ458813:LDP458813 KSN458813:KTT458813 KIR458813:KJX458813 JYV458813:KAB458813 JOZ458813:JQF458813 JFD458813:JGJ458813 IVH458813:IWN458813 ILL458813:IMR458813 IBP458813:ICV458813 HRT458813:HSZ458813 HHX458813:HJD458813 GYB458813:GZH458813 GOF458813:GPL458813 GEJ458813:GFP458813 FUN458813:FVT458813 FKR458813:FLX458813 FAV458813:FCB458813 EQZ458813:ESF458813 EHD458813:EIJ458813 DXH458813:DYN458813 DNL458813:DOR458813 DDP458813:DEV458813 CTT458813:CUZ458813 CJX458813:CLD458813 CAB458813:CBH458813 BQF458813:BRL458813 BGJ458813:BHP458813 AWN458813:AXT458813 AMR458813:ANX458813 ACV458813:AEB458813 SZ458813:UF458813 JD458813:KJ458813 B458813:AM458813 WVP393277:WWV393277 WLT393277:WMZ393277 WBX393277:WDD393277 VSB393277:VTH393277 VIF393277:VJL393277 UYJ393277:UZP393277 UON393277:UPT393277 UER393277:UFX393277 TUV393277:TWB393277 TKZ393277:TMF393277 TBD393277:TCJ393277 SRH393277:SSN393277 SHL393277:SIR393277 RXP393277:RYV393277 RNT393277:ROZ393277 RDX393277:RFD393277 QUB393277:QVH393277 QKF393277:QLL393277 QAJ393277:QBP393277 PQN393277:PRT393277 PGR393277:PHX393277 OWV393277:OYB393277 OMZ393277:OOF393277 ODD393277:OEJ393277 NTH393277:NUN393277 NJL393277:NKR393277 MZP393277:NAV393277 MPT393277:MQZ393277 MFX393277:MHD393277 LWB393277:LXH393277 LMF393277:LNL393277 LCJ393277:LDP393277 KSN393277:KTT393277 KIR393277:KJX393277 JYV393277:KAB393277 JOZ393277:JQF393277 JFD393277:JGJ393277 IVH393277:IWN393277 ILL393277:IMR393277 IBP393277:ICV393277 HRT393277:HSZ393277 HHX393277:HJD393277 GYB393277:GZH393277 GOF393277:GPL393277 GEJ393277:GFP393277 FUN393277:FVT393277 FKR393277:FLX393277 FAV393277:FCB393277 EQZ393277:ESF393277 EHD393277:EIJ393277 DXH393277:DYN393277 DNL393277:DOR393277 DDP393277:DEV393277 CTT393277:CUZ393277 CJX393277:CLD393277 CAB393277:CBH393277 BQF393277:BRL393277 BGJ393277:BHP393277 AWN393277:AXT393277 AMR393277:ANX393277 ACV393277:AEB393277 SZ393277:UF393277 JD393277:KJ393277 B393277:AM393277 WVP327741:WWV327741 WLT327741:WMZ327741 WBX327741:WDD327741 VSB327741:VTH327741 VIF327741:VJL327741 UYJ327741:UZP327741 UON327741:UPT327741 UER327741:UFX327741 TUV327741:TWB327741 TKZ327741:TMF327741 TBD327741:TCJ327741 SRH327741:SSN327741 SHL327741:SIR327741 RXP327741:RYV327741 RNT327741:ROZ327741 RDX327741:RFD327741 QUB327741:QVH327741 QKF327741:QLL327741 QAJ327741:QBP327741 PQN327741:PRT327741 PGR327741:PHX327741 OWV327741:OYB327741 OMZ327741:OOF327741 ODD327741:OEJ327741 NTH327741:NUN327741 NJL327741:NKR327741 MZP327741:NAV327741 MPT327741:MQZ327741 MFX327741:MHD327741 LWB327741:LXH327741 LMF327741:LNL327741 LCJ327741:LDP327741 KSN327741:KTT327741 KIR327741:KJX327741 JYV327741:KAB327741 JOZ327741:JQF327741 JFD327741:JGJ327741 IVH327741:IWN327741 ILL327741:IMR327741 IBP327741:ICV327741 HRT327741:HSZ327741 HHX327741:HJD327741 GYB327741:GZH327741 GOF327741:GPL327741 GEJ327741:GFP327741 FUN327741:FVT327741 FKR327741:FLX327741 FAV327741:FCB327741 EQZ327741:ESF327741 EHD327741:EIJ327741 DXH327741:DYN327741 DNL327741:DOR327741 DDP327741:DEV327741 CTT327741:CUZ327741 CJX327741:CLD327741 CAB327741:CBH327741 BQF327741:BRL327741 BGJ327741:BHP327741 AWN327741:AXT327741 AMR327741:ANX327741 ACV327741:AEB327741 SZ327741:UF327741 JD327741:KJ327741 B327741:AM327741 WVP262205:WWV262205 WLT262205:WMZ262205 WBX262205:WDD262205 VSB262205:VTH262205 VIF262205:VJL262205 UYJ262205:UZP262205 UON262205:UPT262205 UER262205:UFX262205 TUV262205:TWB262205 TKZ262205:TMF262205 TBD262205:TCJ262205 SRH262205:SSN262205 SHL262205:SIR262205 RXP262205:RYV262205 RNT262205:ROZ262205 RDX262205:RFD262205 QUB262205:QVH262205 QKF262205:QLL262205 QAJ262205:QBP262205 PQN262205:PRT262205 PGR262205:PHX262205 OWV262205:OYB262205 OMZ262205:OOF262205 ODD262205:OEJ262205 NTH262205:NUN262205 NJL262205:NKR262205 MZP262205:NAV262205 MPT262205:MQZ262205 MFX262205:MHD262205 LWB262205:LXH262205 LMF262205:LNL262205 LCJ262205:LDP262205 KSN262205:KTT262205 KIR262205:KJX262205 JYV262205:KAB262205 JOZ262205:JQF262205 JFD262205:JGJ262205 IVH262205:IWN262205 ILL262205:IMR262205 IBP262205:ICV262205 HRT262205:HSZ262205 HHX262205:HJD262205 GYB262205:GZH262205 GOF262205:GPL262205 GEJ262205:GFP262205 FUN262205:FVT262205 FKR262205:FLX262205 FAV262205:FCB262205 EQZ262205:ESF262205 EHD262205:EIJ262205 DXH262205:DYN262205 DNL262205:DOR262205 DDP262205:DEV262205 CTT262205:CUZ262205 CJX262205:CLD262205 CAB262205:CBH262205 BQF262205:BRL262205 BGJ262205:BHP262205 AWN262205:AXT262205 AMR262205:ANX262205 ACV262205:AEB262205 SZ262205:UF262205 JD262205:KJ262205 B262205:AM262205 WVP196669:WWV196669 WLT196669:WMZ196669 WBX196669:WDD196669 VSB196669:VTH196669 VIF196669:VJL196669 UYJ196669:UZP196669 UON196669:UPT196669 UER196669:UFX196669 TUV196669:TWB196669 TKZ196669:TMF196669 TBD196669:TCJ196669 SRH196669:SSN196669 SHL196669:SIR196669 RXP196669:RYV196669 RNT196669:ROZ196669 RDX196669:RFD196669 QUB196669:QVH196669 QKF196669:QLL196669 QAJ196669:QBP196669 PQN196669:PRT196669 PGR196669:PHX196669 OWV196669:OYB196669 OMZ196669:OOF196669 ODD196669:OEJ196669 NTH196669:NUN196669 NJL196669:NKR196669 MZP196669:NAV196669 MPT196669:MQZ196669 MFX196669:MHD196669 LWB196669:LXH196669 LMF196669:LNL196669 LCJ196669:LDP196669 KSN196669:KTT196669 KIR196669:KJX196669 JYV196669:KAB196669 JOZ196669:JQF196669 JFD196669:JGJ196669 IVH196669:IWN196669 ILL196669:IMR196669 IBP196669:ICV196669 HRT196669:HSZ196669 HHX196669:HJD196669 GYB196669:GZH196669 GOF196669:GPL196669 GEJ196669:GFP196669 FUN196669:FVT196669 FKR196669:FLX196669 FAV196669:FCB196669 EQZ196669:ESF196669 EHD196669:EIJ196669 DXH196669:DYN196669 DNL196669:DOR196669 DDP196669:DEV196669 CTT196669:CUZ196669 CJX196669:CLD196669 CAB196669:CBH196669 BQF196669:BRL196669 BGJ196669:BHP196669 AWN196669:AXT196669 AMR196669:ANX196669 ACV196669:AEB196669 SZ196669:UF196669 JD196669:KJ196669 B196669:AM196669 WVP131133:WWV131133 WLT131133:WMZ131133 WBX131133:WDD131133 VSB131133:VTH131133 VIF131133:VJL131133 UYJ131133:UZP131133 UON131133:UPT131133 UER131133:UFX131133 TUV131133:TWB131133 TKZ131133:TMF131133 TBD131133:TCJ131133 SRH131133:SSN131133 SHL131133:SIR131133 RXP131133:RYV131133 RNT131133:ROZ131133 RDX131133:RFD131133 QUB131133:QVH131133 QKF131133:QLL131133 QAJ131133:QBP131133 PQN131133:PRT131133 PGR131133:PHX131133 OWV131133:OYB131133 OMZ131133:OOF131133 ODD131133:OEJ131133 NTH131133:NUN131133 NJL131133:NKR131133 MZP131133:NAV131133 MPT131133:MQZ131133 MFX131133:MHD131133 LWB131133:LXH131133 LMF131133:LNL131133 LCJ131133:LDP131133 KSN131133:KTT131133 KIR131133:KJX131133 JYV131133:KAB131133 JOZ131133:JQF131133 JFD131133:JGJ131133 IVH131133:IWN131133 ILL131133:IMR131133 IBP131133:ICV131133 HRT131133:HSZ131133 HHX131133:HJD131133 GYB131133:GZH131133 GOF131133:GPL131133 GEJ131133:GFP131133 FUN131133:FVT131133 FKR131133:FLX131133 FAV131133:FCB131133 EQZ131133:ESF131133 EHD131133:EIJ131133 DXH131133:DYN131133 DNL131133:DOR131133 DDP131133:DEV131133 CTT131133:CUZ131133 CJX131133:CLD131133 CAB131133:CBH131133 BQF131133:BRL131133 BGJ131133:BHP131133 AWN131133:AXT131133 AMR131133:ANX131133 ACV131133:AEB131133 SZ131133:UF131133 JD131133:KJ131133 B131133:AM131133 WVP65597:WWV65597 WLT65597:WMZ65597 WBX65597:WDD65597 VSB65597:VTH65597 VIF65597:VJL65597 UYJ65597:UZP65597 UON65597:UPT65597 UER65597:UFX65597 TUV65597:TWB65597 TKZ65597:TMF65597 TBD65597:TCJ65597 SRH65597:SSN65597 SHL65597:SIR65597 RXP65597:RYV65597 RNT65597:ROZ65597 RDX65597:RFD65597 QUB65597:QVH65597 QKF65597:QLL65597 QAJ65597:QBP65597 PQN65597:PRT65597 PGR65597:PHX65597 OWV65597:OYB65597 OMZ65597:OOF65597 ODD65597:OEJ65597 NTH65597:NUN65597 NJL65597:NKR65597 MZP65597:NAV65597 MPT65597:MQZ65597 MFX65597:MHD65597 LWB65597:LXH65597 LMF65597:LNL65597 LCJ65597:LDP65597 KSN65597:KTT65597 KIR65597:KJX65597 JYV65597:KAB65597 JOZ65597:JQF65597 JFD65597:JGJ65597 IVH65597:IWN65597 ILL65597:IMR65597 IBP65597:ICV65597 HRT65597:HSZ65597 HHX65597:HJD65597 GYB65597:GZH65597 GOF65597:GPL65597 GEJ65597:GFP65597 FUN65597:FVT65597 FKR65597:FLX65597 FAV65597:FCB65597 EQZ65597:ESF65597 EHD65597:EIJ65597 DXH65597:DYN65597 DNL65597:DOR65597 DDP65597:DEV65597 CTT65597:CUZ65597 CJX65597:CLD65597 CAB65597:CBH65597 BQF65597:BRL65597 BGJ65597:BHP65597 AWN65597:AXT65597 AMR65597:ANX65597 ACV65597:AEB65597 SZ65597:UF65597 JD65597:KJ65597 B65597:AM65597 WVP34:WWV34 WLT34:WMZ34 WBX34:WDD34 VSB34:VTH34 VIF34:VJL34 UYJ34:UZP34 UON34:UPT34 UER34:UFX34 TUV34:TWB34 TKZ34:TMF34 TBD34:TCJ34 SRH34:SSN34 SHL34:SIR34 RXP34:RYV34 RNT34:ROZ34 RDX34:RFD34 QUB34:QVH34 QKF34:QLL34 QAJ34:QBP34 PQN34:PRT34 PGR34:PHX34 OWV34:OYB34 OMZ34:OOF34 ODD34:OEJ34 NTH34:NUN34 NJL34:NKR34 MZP34:NAV34 MPT34:MQZ34 MFX34:MHD34 LWB34:LXH34 LMF34:LNL34 LCJ34:LDP34 KSN34:KTT34 KIR34:KJX34 JYV34:KAB34 JOZ34:JQF34 JFD34:JGJ34 IVH34:IWN34 ILL34:IMR34 IBP34:ICV34 HRT34:HSZ34 HHX34:HJD34 GYB34:GZH34 GOF34:GPL34 GEJ34:GFP34 FUN34:FVT34 FKR34:FLX34 FAV34:FCB34 EQZ34:ESF34 EHD34:EIJ34 DXH34:DYN34 DNL34:DOR34 DDP34:DEV34 CTT34:CUZ34 CJX34:CLD34 CAB34:CBH34 BQF34:BRL34 BGJ34:BHP34 AWN34:AXT34 AMR34:ANX34 ACV34:AEB34 SZ34:UF34 JD34:KJ34 JD42:KJ42 WVP983103:WWV983103 WLT983103:WMZ983103 WBX983103:WDD983103 VSB983103:VTH983103 VIF983103:VJL983103 UYJ983103:UZP983103 UON983103:UPT983103 UER983103:UFX983103 TUV983103:TWB983103 TKZ983103:TMF983103 TBD983103:TCJ983103 SRH983103:SSN983103 SHL983103:SIR983103 RXP983103:RYV983103 RNT983103:ROZ983103 RDX983103:RFD983103 QUB983103:QVH983103 QKF983103:QLL983103 QAJ983103:QBP983103 PQN983103:PRT983103 PGR983103:PHX983103 OWV983103:OYB983103 OMZ983103:OOF983103 ODD983103:OEJ983103 NTH983103:NUN983103 NJL983103:NKR983103 MZP983103:NAV983103 MPT983103:MQZ983103 MFX983103:MHD983103 LWB983103:LXH983103 LMF983103:LNL983103 LCJ983103:LDP983103 KSN983103:KTT983103 KIR983103:KJX983103 JYV983103:KAB983103 JOZ983103:JQF983103 JFD983103:JGJ983103 IVH983103:IWN983103 ILL983103:IMR983103 IBP983103:ICV983103 HRT983103:HSZ983103 HHX983103:HJD983103 GYB983103:GZH983103 GOF983103:GPL983103 GEJ983103:GFP983103 FUN983103:FVT983103 FKR983103:FLX983103 FAV983103:FCB983103 EQZ983103:ESF983103 EHD983103:EIJ983103 DXH983103:DYN983103 DNL983103:DOR983103 DDP983103:DEV983103 CTT983103:CUZ983103 CJX983103:CLD983103 CAB983103:CBH983103 BQF983103:BRL983103 BGJ983103:BHP983103 AWN983103:AXT983103 AMR983103:ANX983103 ACV983103:AEB983103 SZ983103:UF983103 JD983103:KJ983103 B983103:AM983103 WVP917567:WWV917567 WLT917567:WMZ917567 WBX917567:WDD917567 VSB917567:VTH917567 VIF917567:VJL917567 UYJ917567:UZP917567 UON917567:UPT917567 UER917567:UFX917567 TUV917567:TWB917567 TKZ917567:TMF917567 TBD917567:TCJ917567 SRH917567:SSN917567 SHL917567:SIR917567 RXP917567:RYV917567 RNT917567:ROZ917567 RDX917567:RFD917567 QUB917567:QVH917567 QKF917567:QLL917567 QAJ917567:QBP917567 PQN917567:PRT917567 PGR917567:PHX917567 OWV917567:OYB917567 OMZ917567:OOF917567 ODD917567:OEJ917567 NTH917567:NUN917567 NJL917567:NKR917567 MZP917567:NAV917567 MPT917567:MQZ917567 MFX917567:MHD917567 LWB917567:LXH917567 LMF917567:LNL917567 LCJ917567:LDP917567 KSN917567:KTT917567 KIR917567:KJX917567 JYV917567:KAB917567 JOZ917567:JQF917567 JFD917567:JGJ917567 IVH917567:IWN917567 ILL917567:IMR917567 IBP917567:ICV917567 HRT917567:HSZ917567 HHX917567:HJD917567 GYB917567:GZH917567 GOF917567:GPL917567 GEJ917567:GFP917567 FUN917567:FVT917567 FKR917567:FLX917567 FAV917567:FCB917567 EQZ917567:ESF917567 EHD917567:EIJ917567 DXH917567:DYN917567 DNL917567:DOR917567 DDP917567:DEV917567 CTT917567:CUZ917567 CJX917567:CLD917567 CAB917567:CBH917567 BQF917567:BRL917567 BGJ917567:BHP917567 AWN917567:AXT917567 AMR917567:ANX917567 ACV917567:AEB917567 SZ917567:UF917567 JD917567:KJ917567 B917567:AM917567 WVP852031:WWV852031 WLT852031:WMZ852031 WBX852031:WDD852031 VSB852031:VTH852031 VIF852031:VJL852031 UYJ852031:UZP852031 UON852031:UPT852031 UER852031:UFX852031 TUV852031:TWB852031 TKZ852031:TMF852031 TBD852031:TCJ852031 SRH852031:SSN852031 SHL852031:SIR852031 RXP852031:RYV852031 RNT852031:ROZ852031 RDX852031:RFD852031 QUB852031:QVH852031 QKF852031:QLL852031 QAJ852031:QBP852031 PQN852031:PRT852031 PGR852031:PHX852031 OWV852031:OYB852031 OMZ852031:OOF852031 ODD852031:OEJ852031 NTH852031:NUN852031 NJL852031:NKR852031 MZP852031:NAV852031 MPT852031:MQZ852031 MFX852031:MHD852031 LWB852031:LXH852031 LMF852031:LNL852031 LCJ852031:LDP852031 KSN852031:KTT852031 KIR852031:KJX852031 JYV852031:KAB852031 JOZ852031:JQF852031 JFD852031:JGJ852031 IVH852031:IWN852031 ILL852031:IMR852031 IBP852031:ICV852031 HRT852031:HSZ852031 HHX852031:HJD852031 GYB852031:GZH852031 GOF852031:GPL852031 GEJ852031:GFP852031 FUN852031:FVT852031 FKR852031:FLX852031 FAV852031:FCB852031 EQZ852031:ESF852031 EHD852031:EIJ852031 DXH852031:DYN852031 DNL852031:DOR852031 DDP852031:DEV852031 CTT852031:CUZ852031 CJX852031:CLD852031 CAB852031:CBH852031 BQF852031:BRL852031 BGJ852031:BHP852031 AWN852031:AXT852031 AMR852031:ANX852031 ACV852031:AEB852031 SZ852031:UF852031 JD852031:KJ852031 B852031:AM852031 WVP786495:WWV786495 WLT786495:WMZ786495 WBX786495:WDD786495 VSB786495:VTH786495 VIF786495:VJL786495 UYJ786495:UZP786495 UON786495:UPT786495 UER786495:UFX786495 TUV786495:TWB786495 TKZ786495:TMF786495 TBD786495:TCJ786495 SRH786495:SSN786495 SHL786495:SIR786495 RXP786495:RYV786495 RNT786495:ROZ786495 RDX786495:RFD786495 QUB786495:QVH786495 QKF786495:QLL786495 QAJ786495:QBP786495 PQN786495:PRT786495 PGR786495:PHX786495 OWV786495:OYB786495 OMZ786495:OOF786495 ODD786495:OEJ786495 NTH786495:NUN786495 NJL786495:NKR786495 MZP786495:NAV786495 MPT786495:MQZ786495 MFX786495:MHD786495 LWB786495:LXH786495 LMF786495:LNL786495 LCJ786495:LDP786495 KSN786495:KTT786495 KIR786495:KJX786495 JYV786495:KAB786495 JOZ786495:JQF786495 JFD786495:JGJ786495 IVH786495:IWN786495 ILL786495:IMR786495 IBP786495:ICV786495 HRT786495:HSZ786495 HHX786495:HJD786495 GYB786495:GZH786495 GOF786495:GPL786495 GEJ786495:GFP786495 FUN786495:FVT786495 FKR786495:FLX786495 FAV786495:FCB786495 EQZ786495:ESF786495 EHD786495:EIJ786495 DXH786495:DYN786495 DNL786495:DOR786495 DDP786495:DEV786495 CTT786495:CUZ786495 CJX786495:CLD786495 CAB786495:CBH786495 BQF786495:BRL786495 BGJ786495:BHP786495 AWN786495:AXT786495 AMR786495:ANX786495 ACV786495:AEB786495 SZ786495:UF786495 JD786495:KJ786495 B786495:AM786495 WVP720959:WWV720959 WLT720959:WMZ720959 WBX720959:WDD720959 VSB720959:VTH720959 VIF720959:VJL720959 UYJ720959:UZP720959 UON720959:UPT720959 UER720959:UFX720959 TUV720959:TWB720959 TKZ720959:TMF720959 TBD720959:TCJ720959 SRH720959:SSN720959 SHL720959:SIR720959 RXP720959:RYV720959 RNT720959:ROZ720959 RDX720959:RFD720959 QUB720959:QVH720959 QKF720959:QLL720959 QAJ720959:QBP720959 PQN720959:PRT720959 PGR720959:PHX720959 OWV720959:OYB720959 OMZ720959:OOF720959 ODD720959:OEJ720959 NTH720959:NUN720959 NJL720959:NKR720959 MZP720959:NAV720959 MPT720959:MQZ720959 MFX720959:MHD720959 LWB720959:LXH720959 LMF720959:LNL720959 LCJ720959:LDP720959 KSN720959:KTT720959 KIR720959:KJX720959 JYV720959:KAB720959 JOZ720959:JQF720959 JFD720959:JGJ720959 IVH720959:IWN720959 ILL720959:IMR720959 IBP720959:ICV720959 HRT720959:HSZ720959 HHX720959:HJD720959 GYB720959:GZH720959 GOF720959:GPL720959 GEJ720959:GFP720959 FUN720959:FVT720959 FKR720959:FLX720959 FAV720959:FCB720959 EQZ720959:ESF720959 EHD720959:EIJ720959 DXH720959:DYN720959 DNL720959:DOR720959 DDP720959:DEV720959 CTT720959:CUZ720959 CJX720959:CLD720959 CAB720959:CBH720959 BQF720959:BRL720959 BGJ720959:BHP720959 AWN720959:AXT720959 AMR720959:ANX720959 ACV720959:AEB720959 SZ720959:UF720959 JD720959:KJ720959 B720959:AM720959 WVP655423:WWV655423 WLT655423:WMZ655423 WBX655423:WDD655423 VSB655423:VTH655423 VIF655423:VJL655423 UYJ655423:UZP655423 UON655423:UPT655423 UER655423:UFX655423 TUV655423:TWB655423 TKZ655423:TMF655423 TBD655423:TCJ655423 SRH655423:SSN655423 SHL655423:SIR655423 RXP655423:RYV655423 RNT655423:ROZ655423 RDX655423:RFD655423 QUB655423:QVH655423 QKF655423:QLL655423 QAJ655423:QBP655423 PQN655423:PRT655423 PGR655423:PHX655423 OWV655423:OYB655423 OMZ655423:OOF655423 ODD655423:OEJ655423 NTH655423:NUN655423 NJL655423:NKR655423 MZP655423:NAV655423 MPT655423:MQZ655423 MFX655423:MHD655423 LWB655423:LXH655423 LMF655423:LNL655423 LCJ655423:LDP655423 KSN655423:KTT655423 KIR655423:KJX655423 JYV655423:KAB655423 JOZ655423:JQF655423 JFD655423:JGJ655423 IVH655423:IWN655423 ILL655423:IMR655423 IBP655423:ICV655423 HRT655423:HSZ655423 HHX655423:HJD655423 GYB655423:GZH655423 GOF655423:GPL655423 GEJ655423:GFP655423 FUN655423:FVT655423 FKR655423:FLX655423 FAV655423:FCB655423 EQZ655423:ESF655423 EHD655423:EIJ655423 DXH655423:DYN655423 DNL655423:DOR655423 DDP655423:DEV655423 CTT655423:CUZ655423 CJX655423:CLD655423 CAB655423:CBH655423 BQF655423:BRL655423 BGJ655423:BHP655423 AWN655423:AXT655423 AMR655423:ANX655423 ACV655423:AEB655423 SZ655423:UF655423 JD655423:KJ655423 B655423:AM655423 WVP589887:WWV589887 WLT589887:WMZ589887 WBX589887:WDD589887 VSB589887:VTH589887 VIF589887:VJL589887 UYJ589887:UZP589887 UON589887:UPT589887 UER589887:UFX589887 TUV589887:TWB589887 TKZ589887:TMF589887 TBD589887:TCJ589887 SRH589887:SSN589887 SHL589887:SIR589887 RXP589887:RYV589887 RNT589887:ROZ589887 RDX589887:RFD589887 QUB589887:QVH589887 QKF589887:QLL589887 QAJ589887:QBP589887 PQN589887:PRT589887 PGR589887:PHX589887 OWV589887:OYB589887 OMZ589887:OOF589887 ODD589887:OEJ589887 NTH589887:NUN589887 NJL589887:NKR589887 MZP589887:NAV589887 MPT589887:MQZ589887 MFX589887:MHD589887 LWB589887:LXH589887 LMF589887:LNL589887 LCJ589887:LDP589887 KSN589887:KTT589887 KIR589887:KJX589887 JYV589887:KAB589887 JOZ589887:JQF589887 JFD589887:JGJ589887 IVH589887:IWN589887 ILL589887:IMR589887 IBP589887:ICV589887 HRT589887:HSZ589887 HHX589887:HJD589887 GYB589887:GZH589887 GOF589887:GPL589887 GEJ589887:GFP589887 FUN589887:FVT589887 FKR589887:FLX589887 FAV589887:FCB589887 EQZ589887:ESF589887 EHD589887:EIJ589887 DXH589887:DYN589887 DNL589887:DOR589887 DDP589887:DEV589887 CTT589887:CUZ589887 CJX589887:CLD589887 CAB589887:CBH589887 BQF589887:BRL589887 BGJ589887:BHP589887 AWN589887:AXT589887 AMR589887:ANX589887 ACV589887:AEB589887 SZ589887:UF589887 JD589887:KJ589887 B589887:AM589887 WVP524351:WWV524351 WLT524351:WMZ524351 WBX524351:WDD524351 VSB524351:VTH524351 VIF524351:VJL524351 UYJ524351:UZP524351 UON524351:UPT524351 UER524351:UFX524351 TUV524351:TWB524351 TKZ524351:TMF524351 TBD524351:TCJ524351 SRH524351:SSN524351 SHL524351:SIR524351 RXP524351:RYV524351 RNT524351:ROZ524351 RDX524351:RFD524351 QUB524351:QVH524351 QKF524351:QLL524351 QAJ524351:QBP524351 PQN524351:PRT524351 PGR524351:PHX524351 OWV524351:OYB524351 OMZ524351:OOF524351 ODD524351:OEJ524351 NTH524351:NUN524351 NJL524351:NKR524351 MZP524351:NAV524351 MPT524351:MQZ524351 MFX524351:MHD524351 LWB524351:LXH524351 LMF524351:LNL524351 LCJ524351:LDP524351 KSN524351:KTT524351 KIR524351:KJX524351 JYV524351:KAB524351 JOZ524351:JQF524351 JFD524351:JGJ524351 IVH524351:IWN524351 ILL524351:IMR524351 IBP524351:ICV524351 HRT524351:HSZ524351 HHX524351:HJD524351 GYB524351:GZH524351 GOF524351:GPL524351 GEJ524351:GFP524351 FUN524351:FVT524351 FKR524351:FLX524351 FAV524351:FCB524351 EQZ524351:ESF524351 EHD524351:EIJ524351 DXH524351:DYN524351 DNL524351:DOR524351 DDP524351:DEV524351 CTT524351:CUZ524351 CJX524351:CLD524351 CAB524351:CBH524351 BQF524351:BRL524351 BGJ524351:BHP524351 AWN524351:AXT524351 AMR524351:ANX524351 ACV524351:AEB524351 SZ524351:UF524351 JD524351:KJ524351 B524351:AM524351 WVP458815:WWV458815 WLT458815:WMZ458815 WBX458815:WDD458815 VSB458815:VTH458815 VIF458815:VJL458815 UYJ458815:UZP458815 UON458815:UPT458815 UER458815:UFX458815 TUV458815:TWB458815 TKZ458815:TMF458815 TBD458815:TCJ458815 SRH458815:SSN458815 SHL458815:SIR458815 RXP458815:RYV458815 RNT458815:ROZ458815 RDX458815:RFD458815 QUB458815:QVH458815 QKF458815:QLL458815 QAJ458815:QBP458815 PQN458815:PRT458815 PGR458815:PHX458815 OWV458815:OYB458815 OMZ458815:OOF458815 ODD458815:OEJ458815 NTH458815:NUN458815 NJL458815:NKR458815 MZP458815:NAV458815 MPT458815:MQZ458815 MFX458815:MHD458815 LWB458815:LXH458815 LMF458815:LNL458815 LCJ458815:LDP458815 KSN458815:KTT458815 KIR458815:KJX458815 JYV458815:KAB458815 JOZ458815:JQF458815 JFD458815:JGJ458815 IVH458815:IWN458815 ILL458815:IMR458815 IBP458815:ICV458815 HRT458815:HSZ458815 HHX458815:HJD458815 GYB458815:GZH458815 GOF458815:GPL458815 GEJ458815:GFP458815 FUN458815:FVT458815 FKR458815:FLX458815 FAV458815:FCB458815 EQZ458815:ESF458815 EHD458815:EIJ458815 DXH458815:DYN458815 DNL458815:DOR458815 DDP458815:DEV458815 CTT458815:CUZ458815 CJX458815:CLD458815 CAB458815:CBH458815 BQF458815:BRL458815 BGJ458815:BHP458815 AWN458815:AXT458815 AMR458815:ANX458815 ACV458815:AEB458815 SZ458815:UF458815 JD458815:KJ458815 B458815:AM458815 WVP393279:WWV393279 WLT393279:WMZ393279 WBX393279:WDD393279 VSB393279:VTH393279 VIF393279:VJL393279 UYJ393279:UZP393279 UON393279:UPT393279 UER393279:UFX393279 TUV393279:TWB393279 TKZ393279:TMF393279 TBD393279:TCJ393279 SRH393279:SSN393279 SHL393279:SIR393279 RXP393279:RYV393279 RNT393279:ROZ393279 RDX393279:RFD393279 QUB393279:QVH393279 QKF393279:QLL393279 QAJ393279:QBP393279 PQN393279:PRT393279 PGR393279:PHX393279 OWV393279:OYB393279 OMZ393279:OOF393279 ODD393279:OEJ393279 NTH393279:NUN393279 NJL393279:NKR393279 MZP393279:NAV393279 MPT393279:MQZ393279 MFX393279:MHD393279 LWB393279:LXH393279 LMF393279:LNL393279 LCJ393279:LDP393279 KSN393279:KTT393279 KIR393279:KJX393279 JYV393279:KAB393279 JOZ393279:JQF393279 JFD393279:JGJ393279 IVH393279:IWN393279 ILL393279:IMR393279 IBP393279:ICV393279 HRT393279:HSZ393279 HHX393279:HJD393279 GYB393279:GZH393279 GOF393279:GPL393279 GEJ393279:GFP393279 FUN393279:FVT393279 FKR393279:FLX393279 FAV393279:FCB393279 EQZ393279:ESF393279 EHD393279:EIJ393279 DXH393279:DYN393279 DNL393279:DOR393279 DDP393279:DEV393279 CTT393279:CUZ393279 CJX393279:CLD393279 CAB393279:CBH393279 BQF393279:BRL393279 BGJ393279:BHP393279 AWN393279:AXT393279 AMR393279:ANX393279 ACV393279:AEB393279 SZ393279:UF393279 JD393279:KJ393279 B393279:AM393279 WVP327743:WWV327743 WLT327743:WMZ327743 WBX327743:WDD327743 VSB327743:VTH327743 VIF327743:VJL327743 UYJ327743:UZP327743 UON327743:UPT327743 UER327743:UFX327743 TUV327743:TWB327743 TKZ327743:TMF327743 TBD327743:TCJ327743 SRH327743:SSN327743 SHL327743:SIR327743 RXP327743:RYV327743 RNT327743:ROZ327743 RDX327743:RFD327743 QUB327743:QVH327743 QKF327743:QLL327743 QAJ327743:QBP327743 PQN327743:PRT327743 PGR327743:PHX327743 OWV327743:OYB327743 OMZ327743:OOF327743 ODD327743:OEJ327743 NTH327743:NUN327743 NJL327743:NKR327743 MZP327743:NAV327743 MPT327743:MQZ327743 MFX327743:MHD327743 LWB327743:LXH327743 LMF327743:LNL327743 LCJ327743:LDP327743 KSN327743:KTT327743 KIR327743:KJX327743 JYV327743:KAB327743 JOZ327743:JQF327743 JFD327743:JGJ327743 IVH327743:IWN327743 ILL327743:IMR327743 IBP327743:ICV327743 HRT327743:HSZ327743 HHX327743:HJD327743 GYB327743:GZH327743 GOF327743:GPL327743 GEJ327743:GFP327743 FUN327743:FVT327743 FKR327743:FLX327743 FAV327743:FCB327743 EQZ327743:ESF327743 EHD327743:EIJ327743 DXH327743:DYN327743 DNL327743:DOR327743 DDP327743:DEV327743 CTT327743:CUZ327743 CJX327743:CLD327743 CAB327743:CBH327743 BQF327743:BRL327743 BGJ327743:BHP327743 AWN327743:AXT327743 AMR327743:ANX327743 ACV327743:AEB327743 SZ327743:UF327743 JD327743:KJ327743 B327743:AM327743 WVP262207:WWV262207 WLT262207:WMZ262207 WBX262207:WDD262207 VSB262207:VTH262207 VIF262207:VJL262207 UYJ262207:UZP262207 UON262207:UPT262207 UER262207:UFX262207 TUV262207:TWB262207 TKZ262207:TMF262207 TBD262207:TCJ262207 SRH262207:SSN262207 SHL262207:SIR262207 RXP262207:RYV262207 RNT262207:ROZ262207 RDX262207:RFD262207 QUB262207:QVH262207 QKF262207:QLL262207 QAJ262207:QBP262207 PQN262207:PRT262207 PGR262207:PHX262207 OWV262207:OYB262207 OMZ262207:OOF262207 ODD262207:OEJ262207 NTH262207:NUN262207 NJL262207:NKR262207 MZP262207:NAV262207 MPT262207:MQZ262207 MFX262207:MHD262207 LWB262207:LXH262207 LMF262207:LNL262207 LCJ262207:LDP262207 KSN262207:KTT262207 KIR262207:KJX262207 JYV262207:KAB262207 JOZ262207:JQF262207 JFD262207:JGJ262207 IVH262207:IWN262207 ILL262207:IMR262207 IBP262207:ICV262207 HRT262207:HSZ262207 HHX262207:HJD262207 GYB262207:GZH262207 GOF262207:GPL262207 GEJ262207:GFP262207 FUN262207:FVT262207 FKR262207:FLX262207 FAV262207:FCB262207 EQZ262207:ESF262207 EHD262207:EIJ262207 DXH262207:DYN262207 DNL262207:DOR262207 DDP262207:DEV262207 CTT262207:CUZ262207 CJX262207:CLD262207 CAB262207:CBH262207 BQF262207:BRL262207 BGJ262207:BHP262207 AWN262207:AXT262207 AMR262207:ANX262207 ACV262207:AEB262207 SZ262207:UF262207 JD262207:KJ262207 B262207:AM262207 WVP196671:WWV196671 WLT196671:WMZ196671 WBX196671:WDD196671 VSB196671:VTH196671 VIF196671:VJL196671 UYJ196671:UZP196671 UON196671:UPT196671 UER196671:UFX196671 TUV196671:TWB196671 TKZ196671:TMF196671 TBD196671:TCJ196671 SRH196671:SSN196671 SHL196671:SIR196671 RXP196671:RYV196671 RNT196671:ROZ196671 RDX196671:RFD196671 QUB196671:QVH196671 QKF196671:QLL196671 QAJ196671:QBP196671 PQN196671:PRT196671 PGR196671:PHX196671 OWV196671:OYB196671 OMZ196671:OOF196671 ODD196671:OEJ196671 NTH196671:NUN196671 NJL196671:NKR196671 MZP196671:NAV196671 MPT196671:MQZ196671 MFX196671:MHD196671 LWB196671:LXH196671 LMF196671:LNL196671 LCJ196671:LDP196671 KSN196671:KTT196671 KIR196671:KJX196671 JYV196671:KAB196671 JOZ196671:JQF196671 JFD196671:JGJ196671 IVH196671:IWN196671 ILL196671:IMR196671 IBP196671:ICV196671 HRT196671:HSZ196671 HHX196671:HJD196671 GYB196671:GZH196671 GOF196671:GPL196671 GEJ196671:GFP196671 FUN196671:FVT196671 FKR196671:FLX196671 FAV196671:FCB196671 EQZ196671:ESF196671 EHD196671:EIJ196671 DXH196671:DYN196671 DNL196671:DOR196671 DDP196671:DEV196671 CTT196671:CUZ196671 CJX196671:CLD196671 CAB196671:CBH196671 BQF196671:BRL196671 BGJ196671:BHP196671 AWN196671:AXT196671 AMR196671:ANX196671 ACV196671:AEB196671 SZ196671:UF196671 JD196671:KJ196671 B196671:AM196671 WVP131135:WWV131135 WLT131135:WMZ131135 WBX131135:WDD131135 VSB131135:VTH131135 VIF131135:VJL131135 UYJ131135:UZP131135 UON131135:UPT131135 UER131135:UFX131135 TUV131135:TWB131135 TKZ131135:TMF131135 TBD131135:TCJ131135 SRH131135:SSN131135 SHL131135:SIR131135 RXP131135:RYV131135 RNT131135:ROZ131135 RDX131135:RFD131135 QUB131135:QVH131135 QKF131135:QLL131135 QAJ131135:QBP131135 PQN131135:PRT131135 PGR131135:PHX131135 OWV131135:OYB131135 OMZ131135:OOF131135 ODD131135:OEJ131135 NTH131135:NUN131135 NJL131135:NKR131135 MZP131135:NAV131135 MPT131135:MQZ131135 MFX131135:MHD131135 LWB131135:LXH131135 LMF131135:LNL131135 LCJ131135:LDP131135 KSN131135:KTT131135 KIR131135:KJX131135 JYV131135:KAB131135 JOZ131135:JQF131135 JFD131135:JGJ131135 IVH131135:IWN131135 ILL131135:IMR131135 IBP131135:ICV131135 HRT131135:HSZ131135 HHX131135:HJD131135 GYB131135:GZH131135 GOF131135:GPL131135 GEJ131135:GFP131135 FUN131135:FVT131135 FKR131135:FLX131135 FAV131135:FCB131135 EQZ131135:ESF131135 EHD131135:EIJ131135 DXH131135:DYN131135 DNL131135:DOR131135 DDP131135:DEV131135 CTT131135:CUZ131135 CJX131135:CLD131135 CAB131135:CBH131135 BQF131135:BRL131135 BGJ131135:BHP131135 AWN131135:AXT131135 AMR131135:ANX131135 ACV131135:AEB131135 SZ131135:UF131135 JD131135:KJ131135 B131135:AM131135 WVP65599:WWV65599 WLT65599:WMZ65599 WBX65599:WDD65599 VSB65599:VTH65599 VIF65599:VJL65599 UYJ65599:UZP65599 UON65599:UPT65599 UER65599:UFX65599 TUV65599:TWB65599 TKZ65599:TMF65599 TBD65599:TCJ65599 SRH65599:SSN65599 SHL65599:SIR65599 RXP65599:RYV65599 RNT65599:ROZ65599 RDX65599:RFD65599 QUB65599:QVH65599 QKF65599:QLL65599 QAJ65599:QBP65599 PQN65599:PRT65599 PGR65599:PHX65599 OWV65599:OYB65599 OMZ65599:OOF65599 ODD65599:OEJ65599 NTH65599:NUN65599 NJL65599:NKR65599 MZP65599:NAV65599 MPT65599:MQZ65599 MFX65599:MHD65599 LWB65599:LXH65599 LMF65599:LNL65599 LCJ65599:LDP65599 KSN65599:KTT65599 KIR65599:KJX65599 JYV65599:KAB65599 JOZ65599:JQF65599 JFD65599:JGJ65599 IVH65599:IWN65599 ILL65599:IMR65599 IBP65599:ICV65599 HRT65599:HSZ65599 HHX65599:HJD65599 GYB65599:GZH65599 GOF65599:GPL65599 GEJ65599:GFP65599 FUN65599:FVT65599 FKR65599:FLX65599 FAV65599:FCB65599 EQZ65599:ESF65599 EHD65599:EIJ65599 DXH65599:DYN65599 DNL65599:DOR65599 DDP65599:DEV65599 CTT65599:CUZ65599 CJX65599:CLD65599 CAB65599:CBH65599 BQF65599:BRL65599 BGJ65599:BHP65599 AWN65599:AXT65599 AMR65599:ANX65599 ACV65599:AEB65599 SZ65599:UF65599 JD65599:KJ65599 B65599:AM65599 WVP36:WWV40 WLT36:WMZ40 WBX36:WDD40 VSB36:VTH40 VIF36:VJL40 UYJ36:UZP40 UON36:UPT40 UER36:UFX40 TUV36:TWB40 TKZ36:TMF40 TBD36:TCJ40 SRH36:SSN40 SHL36:SIR40 RXP36:RYV40 RNT36:ROZ40 RDX36:RFD40 QUB36:QVH40 QKF36:QLL40 QAJ36:QBP40 PQN36:PRT40 PGR36:PHX40 OWV36:OYB40 OMZ36:OOF40 ODD36:OEJ40 NTH36:NUN40 NJL36:NKR40 MZP36:NAV40 MPT36:MQZ40 MFX36:MHD40 LWB36:LXH40 LMF36:LNL40 LCJ36:LDP40 KSN36:KTT40 KIR36:KJX40 JYV36:KAB40 JOZ36:JQF40 JFD36:JGJ40 IVH36:IWN40 ILL36:IMR40 IBP36:ICV40 HRT36:HSZ40 HHX36:HJD40 GYB36:GZH40 GOF36:GPL40 GEJ36:GFP40 FUN36:FVT40 FKR36:FLX40 FAV36:FCB40 EQZ36:ESF40 EHD36:EIJ40 DXH36:DYN40 DNL36:DOR40 DDP36:DEV40 CTT36:CUZ40 CJX36:CLD40 CAB36:CBH40 BQF36:BRL40 BGJ36:BHP40 AWN36:AXT40 AMR36:ANX40 ACV36:AEB40 SZ36:UF40 JD36:KJ40 WBX983099:WDD983099 WVP983105:WWV983105 WLT983105:WMZ983105 WBX983105:WDD983105 VSB983105:VTH983105 VIF983105:VJL983105 UYJ983105:UZP983105 UON983105:UPT983105 UER983105:UFX983105 TUV983105:TWB983105 TKZ983105:TMF983105 TBD983105:TCJ983105 SRH983105:SSN983105 SHL983105:SIR983105 RXP983105:RYV983105 RNT983105:ROZ983105 RDX983105:RFD983105 QUB983105:QVH983105 QKF983105:QLL983105 QAJ983105:QBP983105 PQN983105:PRT983105 PGR983105:PHX983105 OWV983105:OYB983105 OMZ983105:OOF983105 ODD983105:OEJ983105 NTH983105:NUN983105 NJL983105:NKR983105 MZP983105:NAV983105 MPT983105:MQZ983105 MFX983105:MHD983105 LWB983105:LXH983105 LMF983105:LNL983105 LCJ983105:LDP983105 KSN983105:KTT983105 KIR983105:KJX983105 JYV983105:KAB983105 JOZ983105:JQF983105 JFD983105:JGJ983105 IVH983105:IWN983105 ILL983105:IMR983105 IBP983105:ICV983105 HRT983105:HSZ983105 HHX983105:HJD983105 GYB983105:GZH983105 GOF983105:GPL983105 GEJ983105:GFP983105 FUN983105:FVT983105 FKR983105:FLX983105 FAV983105:FCB983105 EQZ983105:ESF983105 EHD983105:EIJ983105 DXH983105:DYN983105 DNL983105:DOR983105 DDP983105:DEV983105 CTT983105:CUZ983105 CJX983105:CLD983105 CAB983105:CBH983105 BQF983105:BRL983105 BGJ983105:BHP983105 AWN983105:AXT983105 AMR983105:ANX983105 ACV983105:AEB983105 SZ983105:UF983105 JD983105:KJ983105 B983105:AM983105 WVP917569:WWV917569 WLT917569:WMZ917569 WBX917569:WDD917569 VSB917569:VTH917569 VIF917569:VJL917569 UYJ917569:UZP917569 UON917569:UPT917569 UER917569:UFX917569 TUV917569:TWB917569 TKZ917569:TMF917569 TBD917569:TCJ917569 SRH917569:SSN917569 SHL917569:SIR917569 RXP917569:RYV917569 RNT917569:ROZ917569 RDX917569:RFD917569 QUB917569:QVH917569 QKF917569:QLL917569 QAJ917569:QBP917569 PQN917569:PRT917569 PGR917569:PHX917569 OWV917569:OYB917569 OMZ917569:OOF917569 ODD917569:OEJ917569 NTH917569:NUN917569 NJL917569:NKR917569 MZP917569:NAV917569 MPT917569:MQZ917569 MFX917569:MHD917569 LWB917569:LXH917569 LMF917569:LNL917569 LCJ917569:LDP917569 KSN917569:KTT917569 KIR917569:KJX917569 JYV917569:KAB917569 JOZ917569:JQF917569 JFD917569:JGJ917569 IVH917569:IWN917569 ILL917569:IMR917569 IBP917569:ICV917569 HRT917569:HSZ917569 HHX917569:HJD917569 GYB917569:GZH917569 GOF917569:GPL917569 GEJ917569:GFP917569 FUN917569:FVT917569 FKR917569:FLX917569 FAV917569:FCB917569 EQZ917569:ESF917569 EHD917569:EIJ917569 DXH917569:DYN917569 DNL917569:DOR917569 DDP917569:DEV917569 CTT917569:CUZ917569 CJX917569:CLD917569 CAB917569:CBH917569 BQF917569:BRL917569 BGJ917569:BHP917569 AWN917569:AXT917569 AMR917569:ANX917569 ACV917569:AEB917569 SZ917569:UF917569 JD917569:KJ917569 B917569:AM917569 WVP852033:WWV852033 WLT852033:WMZ852033 WBX852033:WDD852033 VSB852033:VTH852033 VIF852033:VJL852033 UYJ852033:UZP852033 UON852033:UPT852033 UER852033:UFX852033 TUV852033:TWB852033 TKZ852033:TMF852033 TBD852033:TCJ852033 SRH852033:SSN852033 SHL852033:SIR852033 RXP852033:RYV852033 RNT852033:ROZ852033 RDX852033:RFD852033 QUB852033:QVH852033 QKF852033:QLL852033 QAJ852033:QBP852033 PQN852033:PRT852033 PGR852033:PHX852033 OWV852033:OYB852033 OMZ852033:OOF852033 ODD852033:OEJ852033 NTH852033:NUN852033 NJL852033:NKR852033 MZP852033:NAV852033 MPT852033:MQZ852033 MFX852033:MHD852033 LWB852033:LXH852033 LMF852033:LNL852033 LCJ852033:LDP852033 KSN852033:KTT852033 KIR852033:KJX852033 JYV852033:KAB852033 JOZ852033:JQF852033 JFD852033:JGJ852033 IVH852033:IWN852033 ILL852033:IMR852033 IBP852033:ICV852033 HRT852033:HSZ852033 HHX852033:HJD852033 GYB852033:GZH852033 GOF852033:GPL852033 GEJ852033:GFP852033 FUN852033:FVT852033 FKR852033:FLX852033 FAV852033:FCB852033 EQZ852033:ESF852033 EHD852033:EIJ852033 DXH852033:DYN852033 DNL852033:DOR852033 DDP852033:DEV852033 CTT852033:CUZ852033 CJX852033:CLD852033 CAB852033:CBH852033 BQF852033:BRL852033 BGJ852033:BHP852033 AWN852033:AXT852033 AMR852033:ANX852033 ACV852033:AEB852033 SZ852033:UF852033 JD852033:KJ852033 B852033:AM852033 WVP786497:WWV786497 WLT786497:WMZ786497 WBX786497:WDD786497 VSB786497:VTH786497 VIF786497:VJL786497 UYJ786497:UZP786497 UON786497:UPT786497 UER786497:UFX786497 TUV786497:TWB786497 TKZ786497:TMF786497 TBD786497:TCJ786497 SRH786497:SSN786497 SHL786497:SIR786497 RXP786497:RYV786497 RNT786497:ROZ786497 RDX786497:RFD786497 QUB786497:QVH786497 QKF786497:QLL786497 QAJ786497:QBP786497 PQN786497:PRT786497 PGR786497:PHX786497 OWV786497:OYB786497 OMZ786497:OOF786497 ODD786497:OEJ786497 NTH786497:NUN786497 NJL786497:NKR786497 MZP786497:NAV786497 MPT786497:MQZ786497 MFX786497:MHD786497 LWB786497:LXH786497 LMF786497:LNL786497 LCJ786497:LDP786497 KSN786497:KTT786497 KIR786497:KJX786497 JYV786497:KAB786497 JOZ786497:JQF786497 JFD786497:JGJ786497 IVH786497:IWN786497 ILL786497:IMR786497 IBP786497:ICV786497 HRT786497:HSZ786497 HHX786497:HJD786497 GYB786497:GZH786497 GOF786497:GPL786497 GEJ786497:GFP786497 FUN786497:FVT786497 FKR786497:FLX786497 FAV786497:FCB786497 EQZ786497:ESF786497 EHD786497:EIJ786497 DXH786497:DYN786497 DNL786497:DOR786497 DDP786497:DEV786497 CTT786497:CUZ786497 CJX786497:CLD786497 CAB786497:CBH786497 BQF786497:BRL786497 BGJ786497:BHP786497 AWN786497:AXT786497 AMR786497:ANX786497 ACV786497:AEB786497 SZ786497:UF786497 JD786497:KJ786497 B786497:AM786497 WVP720961:WWV720961 WLT720961:WMZ720961 WBX720961:WDD720961 VSB720961:VTH720961 VIF720961:VJL720961 UYJ720961:UZP720961 UON720961:UPT720961 UER720961:UFX720961 TUV720961:TWB720961 TKZ720961:TMF720961 TBD720961:TCJ720961 SRH720961:SSN720961 SHL720961:SIR720961 RXP720961:RYV720961 RNT720961:ROZ720961 RDX720961:RFD720961 QUB720961:QVH720961 QKF720961:QLL720961 QAJ720961:QBP720961 PQN720961:PRT720961 PGR720961:PHX720961 OWV720961:OYB720961 OMZ720961:OOF720961 ODD720961:OEJ720961 NTH720961:NUN720961 NJL720961:NKR720961 MZP720961:NAV720961 MPT720961:MQZ720961 MFX720961:MHD720961 LWB720961:LXH720961 LMF720961:LNL720961 LCJ720961:LDP720961 KSN720961:KTT720961 KIR720961:KJX720961 JYV720961:KAB720961 JOZ720961:JQF720961 JFD720961:JGJ720961 IVH720961:IWN720961 ILL720961:IMR720961 IBP720961:ICV720961 HRT720961:HSZ720961 HHX720961:HJD720961 GYB720961:GZH720961 GOF720961:GPL720961 GEJ720961:GFP720961 FUN720961:FVT720961 FKR720961:FLX720961 FAV720961:FCB720961 EQZ720961:ESF720961 EHD720961:EIJ720961 DXH720961:DYN720961 DNL720961:DOR720961 DDP720961:DEV720961 CTT720961:CUZ720961 CJX720961:CLD720961 CAB720961:CBH720961 BQF720961:BRL720961 BGJ720961:BHP720961 AWN720961:AXT720961 AMR720961:ANX720961 ACV720961:AEB720961 SZ720961:UF720961 JD720961:KJ720961 B720961:AM720961 WVP655425:WWV655425 WLT655425:WMZ655425 WBX655425:WDD655425 VSB655425:VTH655425 VIF655425:VJL655425 UYJ655425:UZP655425 UON655425:UPT655425 UER655425:UFX655425 TUV655425:TWB655425 TKZ655425:TMF655425 TBD655425:TCJ655425 SRH655425:SSN655425 SHL655425:SIR655425 RXP655425:RYV655425 RNT655425:ROZ655425 RDX655425:RFD655425 QUB655425:QVH655425 QKF655425:QLL655425 QAJ655425:QBP655425 PQN655425:PRT655425 PGR655425:PHX655425 OWV655425:OYB655425 OMZ655425:OOF655425 ODD655425:OEJ655425 NTH655425:NUN655425 NJL655425:NKR655425 MZP655425:NAV655425 MPT655425:MQZ655425 MFX655425:MHD655425 LWB655425:LXH655425 LMF655425:LNL655425 LCJ655425:LDP655425 KSN655425:KTT655425 KIR655425:KJX655425 JYV655425:KAB655425 JOZ655425:JQF655425 JFD655425:JGJ655425 IVH655425:IWN655425 ILL655425:IMR655425 IBP655425:ICV655425 HRT655425:HSZ655425 HHX655425:HJD655425 GYB655425:GZH655425 GOF655425:GPL655425 GEJ655425:GFP655425 FUN655425:FVT655425 FKR655425:FLX655425 FAV655425:FCB655425 EQZ655425:ESF655425 EHD655425:EIJ655425 DXH655425:DYN655425 DNL655425:DOR655425 DDP655425:DEV655425 CTT655425:CUZ655425 CJX655425:CLD655425 CAB655425:CBH655425 BQF655425:BRL655425 BGJ655425:BHP655425 AWN655425:AXT655425 AMR655425:ANX655425 ACV655425:AEB655425 SZ655425:UF655425 JD655425:KJ655425 B655425:AM655425 WVP589889:WWV589889 WLT589889:WMZ589889 WBX589889:WDD589889 VSB589889:VTH589889 VIF589889:VJL589889 UYJ589889:UZP589889 UON589889:UPT589889 UER589889:UFX589889 TUV589889:TWB589889 TKZ589889:TMF589889 TBD589889:TCJ589889 SRH589889:SSN589889 SHL589889:SIR589889 RXP589889:RYV589889 RNT589889:ROZ589889 RDX589889:RFD589889 QUB589889:QVH589889 QKF589889:QLL589889 QAJ589889:QBP589889 PQN589889:PRT589889 PGR589889:PHX589889 OWV589889:OYB589889 OMZ589889:OOF589889 ODD589889:OEJ589889 NTH589889:NUN589889 NJL589889:NKR589889 MZP589889:NAV589889 MPT589889:MQZ589889 MFX589889:MHD589889 LWB589889:LXH589889 LMF589889:LNL589889 LCJ589889:LDP589889 KSN589889:KTT589889 KIR589889:KJX589889 JYV589889:KAB589889 JOZ589889:JQF589889 JFD589889:JGJ589889 IVH589889:IWN589889 ILL589889:IMR589889 IBP589889:ICV589889 HRT589889:HSZ589889 HHX589889:HJD589889 GYB589889:GZH589889 GOF589889:GPL589889 GEJ589889:GFP589889 FUN589889:FVT589889 FKR589889:FLX589889 FAV589889:FCB589889 EQZ589889:ESF589889 EHD589889:EIJ589889 DXH589889:DYN589889 DNL589889:DOR589889 DDP589889:DEV589889 CTT589889:CUZ589889 CJX589889:CLD589889 CAB589889:CBH589889 BQF589889:BRL589889 BGJ589889:BHP589889 AWN589889:AXT589889 AMR589889:ANX589889 ACV589889:AEB589889 SZ589889:UF589889 JD589889:KJ589889 B589889:AM589889 WVP524353:WWV524353 WLT524353:WMZ524353 WBX524353:WDD524353 VSB524353:VTH524353 VIF524353:VJL524353 UYJ524353:UZP524353 UON524353:UPT524353 UER524353:UFX524353 TUV524353:TWB524353 TKZ524353:TMF524353 TBD524353:TCJ524353 SRH524353:SSN524353 SHL524353:SIR524353 RXP524353:RYV524353 RNT524353:ROZ524353 RDX524353:RFD524353 QUB524353:QVH524353 QKF524353:QLL524353 QAJ524353:QBP524353 PQN524353:PRT524353 PGR524353:PHX524353 OWV524353:OYB524353 OMZ524353:OOF524353 ODD524353:OEJ524353 NTH524353:NUN524353 NJL524353:NKR524353 MZP524353:NAV524353 MPT524353:MQZ524353 MFX524353:MHD524353 LWB524353:LXH524353 LMF524353:LNL524353 LCJ524353:LDP524353 KSN524353:KTT524353 KIR524353:KJX524353 JYV524353:KAB524353 JOZ524353:JQF524353 JFD524353:JGJ524353 IVH524353:IWN524353 ILL524353:IMR524353 IBP524353:ICV524353 HRT524353:HSZ524353 HHX524353:HJD524353 GYB524353:GZH524353 GOF524353:GPL524353 GEJ524353:GFP524353 FUN524353:FVT524353 FKR524353:FLX524353 FAV524353:FCB524353 EQZ524353:ESF524353 EHD524353:EIJ524353 DXH524353:DYN524353 DNL524353:DOR524353 DDP524353:DEV524353 CTT524353:CUZ524353 CJX524353:CLD524353 CAB524353:CBH524353 BQF524353:BRL524353 BGJ524353:BHP524353 AWN524353:AXT524353 AMR524353:ANX524353 ACV524353:AEB524353 SZ524353:UF524353 JD524353:KJ524353 B524353:AM524353 WVP458817:WWV458817 WLT458817:WMZ458817 WBX458817:WDD458817 VSB458817:VTH458817 VIF458817:VJL458817 UYJ458817:UZP458817 UON458817:UPT458817 UER458817:UFX458817 TUV458817:TWB458817 TKZ458817:TMF458817 TBD458817:TCJ458817 SRH458817:SSN458817 SHL458817:SIR458817 RXP458817:RYV458817 RNT458817:ROZ458817 RDX458817:RFD458817 QUB458817:QVH458817 QKF458817:QLL458817 QAJ458817:QBP458817 PQN458817:PRT458817 PGR458817:PHX458817 OWV458817:OYB458817 OMZ458817:OOF458817 ODD458817:OEJ458817 NTH458817:NUN458817 NJL458817:NKR458817 MZP458817:NAV458817 MPT458817:MQZ458817 MFX458817:MHD458817 LWB458817:LXH458817 LMF458817:LNL458817 LCJ458817:LDP458817 KSN458817:KTT458817 KIR458817:KJX458817 JYV458817:KAB458817 JOZ458817:JQF458817 JFD458817:JGJ458817 IVH458817:IWN458817 ILL458817:IMR458817 IBP458817:ICV458817 HRT458817:HSZ458817 HHX458817:HJD458817 GYB458817:GZH458817 GOF458817:GPL458817 GEJ458817:GFP458817 FUN458817:FVT458817 FKR458817:FLX458817 FAV458817:FCB458817 EQZ458817:ESF458817 EHD458817:EIJ458817 DXH458817:DYN458817 DNL458817:DOR458817 DDP458817:DEV458817 CTT458817:CUZ458817 CJX458817:CLD458817 CAB458817:CBH458817 BQF458817:BRL458817 BGJ458817:BHP458817 AWN458817:AXT458817 AMR458817:ANX458817 ACV458817:AEB458817 SZ458817:UF458817 JD458817:KJ458817 B458817:AM458817 WVP393281:WWV393281 WLT393281:WMZ393281 WBX393281:WDD393281 VSB393281:VTH393281 VIF393281:VJL393281 UYJ393281:UZP393281 UON393281:UPT393281 UER393281:UFX393281 TUV393281:TWB393281 TKZ393281:TMF393281 TBD393281:TCJ393281 SRH393281:SSN393281 SHL393281:SIR393281 RXP393281:RYV393281 RNT393281:ROZ393281 RDX393281:RFD393281 QUB393281:QVH393281 QKF393281:QLL393281 QAJ393281:QBP393281 PQN393281:PRT393281 PGR393281:PHX393281 OWV393281:OYB393281 OMZ393281:OOF393281 ODD393281:OEJ393281 NTH393281:NUN393281 NJL393281:NKR393281 MZP393281:NAV393281 MPT393281:MQZ393281 MFX393281:MHD393281 LWB393281:LXH393281 LMF393281:LNL393281 LCJ393281:LDP393281 KSN393281:KTT393281 KIR393281:KJX393281 JYV393281:KAB393281 JOZ393281:JQF393281 JFD393281:JGJ393281 IVH393281:IWN393281 ILL393281:IMR393281 IBP393281:ICV393281 HRT393281:HSZ393281 HHX393281:HJD393281 GYB393281:GZH393281 GOF393281:GPL393281 GEJ393281:GFP393281 FUN393281:FVT393281 FKR393281:FLX393281 FAV393281:FCB393281 EQZ393281:ESF393281 EHD393281:EIJ393281 DXH393281:DYN393281 DNL393281:DOR393281 DDP393281:DEV393281 CTT393281:CUZ393281 CJX393281:CLD393281 CAB393281:CBH393281 BQF393281:BRL393281 BGJ393281:BHP393281 AWN393281:AXT393281 AMR393281:ANX393281 ACV393281:AEB393281 SZ393281:UF393281 JD393281:KJ393281 B393281:AM393281 WVP327745:WWV327745 WLT327745:WMZ327745 WBX327745:WDD327745 VSB327745:VTH327745 VIF327745:VJL327745 UYJ327745:UZP327745 UON327745:UPT327745 UER327745:UFX327745 TUV327745:TWB327745 TKZ327745:TMF327745 TBD327745:TCJ327745 SRH327745:SSN327745 SHL327745:SIR327745 RXP327745:RYV327745 RNT327745:ROZ327745 RDX327745:RFD327745 QUB327745:QVH327745 QKF327745:QLL327745 QAJ327745:QBP327745 PQN327745:PRT327745 PGR327745:PHX327745 OWV327745:OYB327745 OMZ327745:OOF327745 ODD327745:OEJ327745 NTH327745:NUN327745 NJL327745:NKR327745 MZP327745:NAV327745 MPT327745:MQZ327745 MFX327745:MHD327745 LWB327745:LXH327745 LMF327745:LNL327745 LCJ327745:LDP327745 KSN327745:KTT327745 KIR327745:KJX327745 JYV327745:KAB327745 JOZ327745:JQF327745 JFD327745:JGJ327745 IVH327745:IWN327745 ILL327745:IMR327745 IBP327745:ICV327745 HRT327745:HSZ327745 HHX327745:HJD327745 GYB327745:GZH327745 GOF327745:GPL327745 GEJ327745:GFP327745 FUN327745:FVT327745 FKR327745:FLX327745 FAV327745:FCB327745 EQZ327745:ESF327745 EHD327745:EIJ327745 DXH327745:DYN327745 DNL327745:DOR327745 DDP327745:DEV327745 CTT327745:CUZ327745 CJX327745:CLD327745 CAB327745:CBH327745 BQF327745:BRL327745 BGJ327745:BHP327745 AWN327745:AXT327745 AMR327745:ANX327745 ACV327745:AEB327745 SZ327745:UF327745 JD327745:KJ327745 B327745:AM327745 WVP262209:WWV262209 WLT262209:WMZ262209 WBX262209:WDD262209 VSB262209:VTH262209 VIF262209:VJL262209 UYJ262209:UZP262209 UON262209:UPT262209 UER262209:UFX262209 TUV262209:TWB262209 TKZ262209:TMF262209 TBD262209:TCJ262209 SRH262209:SSN262209 SHL262209:SIR262209 RXP262209:RYV262209 RNT262209:ROZ262209 RDX262209:RFD262209 QUB262209:QVH262209 QKF262209:QLL262209 QAJ262209:QBP262209 PQN262209:PRT262209 PGR262209:PHX262209 OWV262209:OYB262209 OMZ262209:OOF262209 ODD262209:OEJ262209 NTH262209:NUN262209 NJL262209:NKR262209 MZP262209:NAV262209 MPT262209:MQZ262209 MFX262209:MHD262209 LWB262209:LXH262209 LMF262209:LNL262209 LCJ262209:LDP262209 KSN262209:KTT262209 KIR262209:KJX262209 JYV262209:KAB262209 JOZ262209:JQF262209 JFD262209:JGJ262209 IVH262209:IWN262209 ILL262209:IMR262209 IBP262209:ICV262209 HRT262209:HSZ262209 HHX262209:HJD262209 GYB262209:GZH262209 GOF262209:GPL262209 GEJ262209:GFP262209 FUN262209:FVT262209 FKR262209:FLX262209 FAV262209:FCB262209 EQZ262209:ESF262209 EHD262209:EIJ262209 DXH262209:DYN262209 DNL262209:DOR262209 DDP262209:DEV262209 CTT262209:CUZ262209 CJX262209:CLD262209 CAB262209:CBH262209 BQF262209:BRL262209 BGJ262209:BHP262209 AWN262209:AXT262209 AMR262209:ANX262209 ACV262209:AEB262209 SZ262209:UF262209 JD262209:KJ262209 B262209:AM262209 WVP196673:WWV196673 WLT196673:WMZ196673 WBX196673:WDD196673 VSB196673:VTH196673 VIF196673:VJL196673 UYJ196673:UZP196673 UON196673:UPT196673 UER196673:UFX196673 TUV196673:TWB196673 TKZ196673:TMF196673 TBD196673:TCJ196673 SRH196673:SSN196673 SHL196673:SIR196673 RXP196673:RYV196673 RNT196673:ROZ196673 RDX196673:RFD196673 QUB196673:QVH196673 QKF196673:QLL196673 QAJ196673:QBP196673 PQN196673:PRT196673 PGR196673:PHX196673 OWV196673:OYB196673 OMZ196673:OOF196673 ODD196673:OEJ196673 NTH196673:NUN196673 NJL196673:NKR196673 MZP196673:NAV196673 MPT196673:MQZ196673 MFX196673:MHD196673 LWB196673:LXH196673 LMF196673:LNL196673 LCJ196673:LDP196673 KSN196673:KTT196673 KIR196673:KJX196673 JYV196673:KAB196673 JOZ196673:JQF196673 JFD196673:JGJ196673 IVH196673:IWN196673 ILL196673:IMR196673 IBP196673:ICV196673 HRT196673:HSZ196673 HHX196673:HJD196673 GYB196673:GZH196673 GOF196673:GPL196673 GEJ196673:GFP196673 FUN196673:FVT196673 FKR196673:FLX196673 FAV196673:FCB196673 EQZ196673:ESF196673 EHD196673:EIJ196673 DXH196673:DYN196673 DNL196673:DOR196673 DDP196673:DEV196673 CTT196673:CUZ196673 CJX196673:CLD196673 CAB196673:CBH196673 BQF196673:BRL196673 BGJ196673:BHP196673 AWN196673:AXT196673 AMR196673:ANX196673 ACV196673:AEB196673 SZ196673:UF196673 JD196673:KJ196673 B196673:AM196673 WVP131137:WWV131137 WLT131137:WMZ131137 WBX131137:WDD131137 VSB131137:VTH131137 VIF131137:VJL131137 UYJ131137:UZP131137 UON131137:UPT131137 UER131137:UFX131137 TUV131137:TWB131137 TKZ131137:TMF131137 TBD131137:TCJ131137 SRH131137:SSN131137 SHL131137:SIR131137 RXP131137:RYV131137 RNT131137:ROZ131137 RDX131137:RFD131137 QUB131137:QVH131137 QKF131137:QLL131137 QAJ131137:QBP131137 PQN131137:PRT131137 PGR131137:PHX131137 OWV131137:OYB131137 OMZ131137:OOF131137 ODD131137:OEJ131137 NTH131137:NUN131137 NJL131137:NKR131137 MZP131137:NAV131137 MPT131137:MQZ131137 MFX131137:MHD131137 LWB131137:LXH131137 LMF131137:LNL131137 LCJ131137:LDP131137 KSN131137:KTT131137 KIR131137:KJX131137 JYV131137:KAB131137 JOZ131137:JQF131137 JFD131137:JGJ131137 IVH131137:IWN131137 ILL131137:IMR131137 IBP131137:ICV131137 HRT131137:HSZ131137 HHX131137:HJD131137 GYB131137:GZH131137 GOF131137:GPL131137 GEJ131137:GFP131137 FUN131137:FVT131137 FKR131137:FLX131137 FAV131137:FCB131137 EQZ131137:ESF131137 EHD131137:EIJ131137 DXH131137:DYN131137 DNL131137:DOR131137 DDP131137:DEV131137 CTT131137:CUZ131137 CJX131137:CLD131137 CAB131137:CBH131137 BQF131137:BRL131137 BGJ131137:BHP131137 AWN131137:AXT131137 AMR131137:ANX131137 ACV131137:AEB131137 SZ131137:UF131137 JD131137:KJ131137 B131137:AM131137 WVP65601:WWV65601 WLT65601:WMZ65601 WBX65601:WDD65601 VSB65601:VTH65601 VIF65601:VJL65601 UYJ65601:UZP65601 UON65601:UPT65601 UER65601:UFX65601 TUV65601:TWB65601 TKZ65601:TMF65601 TBD65601:TCJ65601 SRH65601:SSN65601 SHL65601:SIR65601 RXP65601:RYV65601 RNT65601:ROZ65601 RDX65601:RFD65601 QUB65601:QVH65601 QKF65601:QLL65601 QAJ65601:QBP65601 PQN65601:PRT65601 PGR65601:PHX65601 OWV65601:OYB65601 OMZ65601:OOF65601 ODD65601:OEJ65601 NTH65601:NUN65601 NJL65601:NKR65601 MZP65601:NAV65601 MPT65601:MQZ65601 MFX65601:MHD65601 LWB65601:LXH65601 LMF65601:LNL65601 LCJ65601:LDP65601 KSN65601:KTT65601 KIR65601:KJX65601 JYV65601:KAB65601 JOZ65601:JQF65601 JFD65601:JGJ65601 IVH65601:IWN65601 ILL65601:IMR65601 IBP65601:ICV65601 HRT65601:HSZ65601 HHX65601:HJD65601 GYB65601:GZH65601 GOF65601:GPL65601 GEJ65601:GFP65601 FUN65601:FVT65601 FKR65601:FLX65601 FAV65601:FCB65601 EQZ65601:ESF65601 EHD65601:EIJ65601 DXH65601:DYN65601 DNL65601:DOR65601 DDP65601:DEV65601 CTT65601:CUZ65601 CJX65601:CLD65601 CAB65601:CBH65601 BQF65601:BRL65601 BGJ65601:BHP65601 AWN65601:AXT65601 AMR65601:ANX65601 ACV65601:AEB65601 SZ65601:UF65601 JD65601:KJ65601 B65601:AM65601 RXP983099:RYV983099 WLT42:WMZ42 WBX42:WDD42 VSB42:VTH42 VIF42:VJL42 UYJ42:UZP42 UON42:UPT42 UER42:UFX42 TUV42:TWB42 TKZ42:TMF42 TBD42:TCJ42 SRH42:SSN42 SHL42:SIR42 RXP42:RYV42 RNT42:ROZ42 RDX42:RFD42 QUB42:QVH42 QKF42:QLL42 QAJ42:QBP42 PQN42:PRT42 PGR42:PHX42 OWV42:OYB42 OMZ42:OOF42 ODD42:OEJ42 NTH42:NUN42 NJL42:NKR42 MZP42:NAV42 MPT42:MQZ42 MFX42:MHD42 LWB42:LXH42 LMF42:LNL42 LCJ42:LDP42 KSN42:KTT42 KIR42:KJX42 JYV42:KAB42 JOZ42:JQF42 JFD42:JGJ42 IVH42:IWN42 ILL42:IMR42 IBP42:ICV42 HRT42:HSZ42 HHX42:HJD42 GYB42:GZH42 GOF42:GPL42 GEJ42:GFP42 FUN42:FVT42 FKR42:FLX42 FAV42:FCB42 EQZ42:ESF42 EHD42:EIJ42 DXH42:DYN42 DNL42:DOR42 DDP42:DEV42 CTT42:CUZ42 CJX42:CLD42 CAB42:CBH42 BQF42:BRL42 BGJ42:BHP42 AWN42:AXT42 AMR42:ANX42 ACV42:AEB42 SZ42:UF42 JD30:KJ30 TUV983099:TWB983099 WVP983097:WWV983097 WLT983097:WMZ983097 WBX983097:WDD983097 VSB983097:VTH983097 VIF983097:VJL983097 UYJ983097:UZP983097 UON983097:UPT983097 UER983097:UFX983097 TUV983097:TWB983097 TKZ983097:TMF983097 TBD983097:TCJ983097 SRH983097:SSN983097 SHL983097:SIR983097 RXP983097:RYV983097 RNT983097:ROZ983097 RDX983097:RFD983097 QUB983097:QVH983097 QKF983097:QLL983097 QAJ983097:QBP983097 PQN983097:PRT983097 PGR983097:PHX983097 OWV983097:OYB983097 OMZ983097:OOF983097 ODD983097:OEJ983097 NTH983097:NUN983097 NJL983097:NKR983097 MZP983097:NAV983097 MPT983097:MQZ983097 MFX983097:MHD983097 LWB983097:LXH983097 LMF983097:LNL983097 LCJ983097:LDP983097 KSN983097:KTT983097 KIR983097:KJX983097 JYV983097:KAB983097 JOZ983097:JQF983097 JFD983097:JGJ983097 IVH983097:IWN983097 ILL983097:IMR983097 IBP983097:ICV983097 HRT983097:HSZ983097 HHX983097:HJD983097 GYB983097:GZH983097 GOF983097:GPL983097 GEJ983097:GFP983097 FUN983097:FVT983097 FKR983097:FLX983097 FAV983097:FCB983097 EQZ983097:ESF983097 EHD983097:EIJ983097 DXH983097:DYN983097 DNL983097:DOR983097 DDP983097:DEV983097 CTT983097:CUZ983097 CJX983097:CLD983097 CAB983097:CBH983097 BQF983097:BRL983097 BGJ983097:BHP983097 AWN983097:AXT983097 AMR983097:ANX983097 ACV983097:AEB983097 SZ983097:UF983097 JD983097:KJ983097 B983097:AM983097 WVP917561:WWV917561 WLT917561:WMZ917561 WBX917561:WDD917561 VSB917561:VTH917561 VIF917561:VJL917561 UYJ917561:UZP917561 UON917561:UPT917561 UER917561:UFX917561 TUV917561:TWB917561 TKZ917561:TMF917561 TBD917561:TCJ917561 SRH917561:SSN917561 SHL917561:SIR917561 RXP917561:RYV917561 RNT917561:ROZ917561 RDX917561:RFD917561 QUB917561:QVH917561 QKF917561:QLL917561 QAJ917561:QBP917561 PQN917561:PRT917561 PGR917561:PHX917561 OWV917561:OYB917561 OMZ917561:OOF917561 ODD917561:OEJ917561 NTH917561:NUN917561 NJL917561:NKR917561 MZP917561:NAV917561 MPT917561:MQZ917561 MFX917561:MHD917561 LWB917561:LXH917561 LMF917561:LNL917561 LCJ917561:LDP917561 KSN917561:KTT917561 KIR917561:KJX917561 JYV917561:KAB917561 JOZ917561:JQF917561 JFD917561:JGJ917561 IVH917561:IWN917561 ILL917561:IMR917561 IBP917561:ICV917561 HRT917561:HSZ917561 HHX917561:HJD917561 GYB917561:GZH917561 GOF917561:GPL917561 GEJ917561:GFP917561 FUN917561:FVT917561 FKR917561:FLX917561 FAV917561:FCB917561 EQZ917561:ESF917561 EHD917561:EIJ917561 DXH917561:DYN917561 DNL917561:DOR917561 DDP917561:DEV917561 CTT917561:CUZ917561 CJX917561:CLD917561 CAB917561:CBH917561 BQF917561:BRL917561 BGJ917561:BHP917561 AWN917561:AXT917561 AMR917561:ANX917561 ACV917561:AEB917561 SZ917561:UF917561 JD917561:KJ917561 B917561:AM917561 WVP852025:WWV852025 WLT852025:WMZ852025 WBX852025:WDD852025 VSB852025:VTH852025 VIF852025:VJL852025 UYJ852025:UZP852025 UON852025:UPT852025 UER852025:UFX852025 TUV852025:TWB852025 TKZ852025:TMF852025 TBD852025:TCJ852025 SRH852025:SSN852025 SHL852025:SIR852025 RXP852025:RYV852025 RNT852025:ROZ852025 RDX852025:RFD852025 QUB852025:QVH852025 QKF852025:QLL852025 QAJ852025:QBP852025 PQN852025:PRT852025 PGR852025:PHX852025 OWV852025:OYB852025 OMZ852025:OOF852025 ODD852025:OEJ852025 NTH852025:NUN852025 NJL852025:NKR852025 MZP852025:NAV852025 MPT852025:MQZ852025 MFX852025:MHD852025 LWB852025:LXH852025 LMF852025:LNL852025 LCJ852025:LDP852025 KSN852025:KTT852025 KIR852025:KJX852025 JYV852025:KAB852025 JOZ852025:JQF852025 JFD852025:JGJ852025 IVH852025:IWN852025 ILL852025:IMR852025 IBP852025:ICV852025 HRT852025:HSZ852025 HHX852025:HJD852025 GYB852025:GZH852025 GOF852025:GPL852025 GEJ852025:GFP852025 FUN852025:FVT852025 FKR852025:FLX852025 FAV852025:FCB852025 EQZ852025:ESF852025 EHD852025:EIJ852025 DXH852025:DYN852025 DNL852025:DOR852025 DDP852025:DEV852025 CTT852025:CUZ852025 CJX852025:CLD852025 CAB852025:CBH852025 BQF852025:BRL852025 BGJ852025:BHP852025 AWN852025:AXT852025 AMR852025:ANX852025 ACV852025:AEB852025 SZ852025:UF852025 JD852025:KJ852025 B852025:AM852025 WVP786489:WWV786489 WLT786489:WMZ786489 WBX786489:WDD786489 VSB786489:VTH786489 VIF786489:VJL786489 UYJ786489:UZP786489 UON786489:UPT786489 UER786489:UFX786489 TUV786489:TWB786489 TKZ786489:TMF786489 TBD786489:TCJ786489 SRH786489:SSN786489 SHL786489:SIR786489 RXP786489:RYV786489 RNT786489:ROZ786489 RDX786489:RFD786489 QUB786489:QVH786489 QKF786489:QLL786489 QAJ786489:QBP786489 PQN786489:PRT786489 PGR786489:PHX786489 OWV786489:OYB786489 OMZ786489:OOF786489 ODD786489:OEJ786489 NTH786489:NUN786489 NJL786489:NKR786489 MZP786489:NAV786489 MPT786489:MQZ786489 MFX786489:MHD786489 LWB786489:LXH786489 LMF786489:LNL786489 LCJ786489:LDP786489 KSN786489:KTT786489 KIR786489:KJX786489 JYV786489:KAB786489 JOZ786489:JQF786489 JFD786489:JGJ786489 IVH786489:IWN786489 ILL786489:IMR786489 IBP786489:ICV786489 HRT786489:HSZ786489 HHX786489:HJD786489 GYB786489:GZH786489 GOF786489:GPL786489 GEJ786489:GFP786489 FUN786489:FVT786489 FKR786489:FLX786489 FAV786489:FCB786489 EQZ786489:ESF786489 EHD786489:EIJ786489 DXH786489:DYN786489 DNL786489:DOR786489 DDP786489:DEV786489 CTT786489:CUZ786489 CJX786489:CLD786489 CAB786489:CBH786489 BQF786489:BRL786489 BGJ786489:BHP786489 AWN786489:AXT786489 AMR786489:ANX786489 ACV786489:AEB786489 SZ786489:UF786489 JD786489:KJ786489 B786489:AM786489 WVP720953:WWV720953 WLT720953:WMZ720953 WBX720953:WDD720953 VSB720953:VTH720953 VIF720953:VJL720953 UYJ720953:UZP720953 UON720953:UPT720953 UER720953:UFX720953 TUV720953:TWB720953 TKZ720953:TMF720953 TBD720953:TCJ720953 SRH720953:SSN720953 SHL720953:SIR720953 RXP720953:RYV720953 RNT720953:ROZ720953 RDX720953:RFD720953 QUB720953:QVH720953 QKF720953:QLL720953 QAJ720953:QBP720953 PQN720953:PRT720953 PGR720953:PHX720953 OWV720953:OYB720953 OMZ720953:OOF720953 ODD720953:OEJ720953 NTH720953:NUN720953 NJL720953:NKR720953 MZP720953:NAV720953 MPT720953:MQZ720953 MFX720953:MHD720953 LWB720953:LXH720953 LMF720953:LNL720953 LCJ720953:LDP720953 KSN720953:KTT720953 KIR720953:KJX720953 JYV720953:KAB720953 JOZ720953:JQF720953 JFD720953:JGJ720953 IVH720953:IWN720953 ILL720953:IMR720953 IBP720953:ICV720953 HRT720953:HSZ720953 HHX720953:HJD720953 GYB720953:GZH720953 GOF720953:GPL720953 GEJ720953:GFP720953 FUN720953:FVT720953 FKR720953:FLX720953 FAV720953:FCB720953 EQZ720953:ESF720953 EHD720953:EIJ720953 DXH720953:DYN720953 DNL720953:DOR720953 DDP720953:DEV720953 CTT720953:CUZ720953 CJX720953:CLD720953 CAB720953:CBH720953 BQF720953:BRL720953 BGJ720953:BHP720953 AWN720953:AXT720953 AMR720953:ANX720953 ACV720953:AEB720953 SZ720953:UF720953 JD720953:KJ720953 B720953:AM720953 WVP655417:WWV655417 WLT655417:WMZ655417 WBX655417:WDD655417 VSB655417:VTH655417 VIF655417:VJL655417 UYJ655417:UZP655417 UON655417:UPT655417 UER655417:UFX655417 TUV655417:TWB655417 TKZ655417:TMF655417 TBD655417:TCJ655417 SRH655417:SSN655417 SHL655417:SIR655417 RXP655417:RYV655417 RNT655417:ROZ655417 RDX655417:RFD655417 QUB655417:QVH655417 QKF655417:QLL655417 QAJ655417:QBP655417 PQN655417:PRT655417 PGR655417:PHX655417 OWV655417:OYB655417 OMZ655417:OOF655417 ODD655417:OEJ655417 NTH655417:NUN655417 NJL655417:NKR655417 MZP655417:NAV655417 MPT655417:MQZ655417 MFX655417:MHD655417 LWB655417:LXH655417 LMF655417:LNL655417 LCJ655417:LDP655417 KSN655417:KTT655417 KIR655417:KJX655417 JYV655417:KAB655417 JOZ655417:JQF655417 JFD655417:JGJ655417 IVH655417:IWN655417 ILL655417:IMR655417 IBP655417:ICV655417 HRT655417:HSZ655417 HHX655417:HJD655417 GYB655417:GZH655417 GOF655417:GPL655417 GEJ655417:GFP655417 FUN655417:FVT655417 FKR655417:FLX655417 FAV655417:FCB655417 EQZ655417:ESF655417 EHD655417:EIJ655417 DXH655417:DYN655417 DNL655417:DOR655417 DDP655417:DEV655417 CTT655417:CUZ655417 CJX655417:CLD655417 CAB655417:CBH655417 BQF655417:BRL655417 BGJ655417:BHP655417 AWN655417:AXT655417 AMR655417:ANX655417 ACV655417:AEB655417 SZ655417:UF655417 JD655417:KJ655417 B655417:AM655417 WVP589881:WWV589881 WLT589881:WMZ589881 WBX589881:WDD589881 VSB589881:VTH589881 VIF589881:VJL589881 UYJ589881:UZP589881 UON589881:UPT589881 UER589881:UFX589881 TUV589881:TWB589881 TKZ589881:TMF589881 TBD589881:TCJ589881 SRH589881:SSN589881 SHL589881:SIR589881 RXP589881:RYV589881 RNT589881:ROZ589881 RDX589881:RFD589881 QUB589881:QVH589881 QKF589881:QLL589881 QAJ589881:QBP589881 PQN589881:PRT589881 PGR589881:PHX589881 OWV589881:OYB589881 OMZ589881:OOF589881 ODD589881:OEJ589881 NTH589881:NUN589881 NJL589881:NKR589881 MZP589881:NAV589881 MPT589881:MQZ589881 MFX589881:MHD589881 LWB589881:LXH589881 LMF589881:LNL589881 LCJ589881:LDP589881 KSN589881:KTT589881 KIR589881:KJX589881 JYV589881:KAB589881 JOZ589881:JQF589881 JFD589881:JGJ589881 IVH589881:IWN589881 ILL589881:IMR589881 IBP589881:ICV589881 HRT589881:HSZ589881 HHX589881:HJD589881 GYB589881:GZH589881 GOF589881:GPL589881 GEJ589881:GFP589881 FUN589881:FVT589881 FKR589881:FLX589881 FAV589881:FCB589881 EQZ589881:ESF589881 EHD589881:EIJ589881 DXH589881:DYN589881 DNL589881:DOR589881 DDP589881:DEV589881 CTT589881:CUZ589881 CJX589881:CLD589881 CAB589881:CBH589881 BQF589881:BRL589881 BGJ589881:BHP589881 AWN589881:AXT589881 AMR589881:ANX589881 ACV589881:AEB589881 SZ589881:UF589881 JD589881:KJ589881 B589881:AM589881 WVP524345:WWV524345 WLT524345:WMZ524345 WBX524345:WDD524345 VSB524345:VTH524345 VIF524345:VJL524345 UYJ524345:UZP524345 UON524345:UPT524345 UER524345:UFX524345 TUV524345:TWB524345 TKZ524345:TMF524345 TBD524345:TCJ524345 SRH524345:SSN524345 SHL524345:SIR524345 RXP524345:RYV524345 RNT524345:ROZ524345 RDX524345:RFD524345 QUB524345:QVH524345 QKF524345:QLL524345 QAJ524345:QBP524345 PQN524345:PRT524345 PGR524345:PHX524345 OWV524345:OYB524345 OMZ524345:OOF524345 ODD524345:OEJ524345 NTH524345:NUN524345 NJL524345:NKR524345 MZP524345:NAV524345 MPT524345:MQZ524345 MFX524345:MHD524345 LWB524345:LXH524345 LMF524345:LNL524345 LCJ524345:LDP524345 KSN524345:KTT524345 KIR524345:KJX524345 JYV524345:KAB524345 JOZ524345:JQF524345 JFD524345:JGJ524345 IVH524345:IWN524345 ILL524345:IMR524345 IBP524345:ICV524345 HRT524345:HSZ524345 HHX524345:HJD524345 GYB524345:GZH524345 GOF524345:GPL524345 GEJ524345:GFP524345 FUN524345:FVT524345 FKR524345:FLX524345 FAV524345:FCB524345 EQZ524345:ESF524345 EHD524345:EIJ524345 DXH524345:DYN524345 DNL524345:DOR524345 DDP524345:DEV524345 CTT524345:CUZ524345 CJX524345:CLD524345 CAB524345:CBH524345 BQF524345:BRL524345 BGJ524345:BHP524345 AWN524345:AXT524345 AMR524345:ANX524345 ACV524345:AEB524345 SZ524345:UF524345 JD524345:KJ524345 B524345:AM524345 WVP458809:WWV458809 WLT458809:WMZ458809 WBX458809:WDD458809 VSB458809:VTH458809 VIF458809:VJL458809 UYJ458809:UZP458809 UON458809:UPT458809 UER458809:UFX458809 TUV458809:TWB458809 TKZ458809:TMF458809 TBD458809:TCJ458809 SRH458809:SSN458809 SHL458809:SIR458809 RXP458809:RYV458809 RNT458809:ROZ458809 RDX458809:RFD458809 QUB458809:QVH458809 QKF458809:QLL458809 QAJ458809:QBP458809 PQN458809:PRT458809 PGR458809:PHX458809 OWV458809:OYB458809 OMZ458809:OOF458809 ODD458809:OEJ458809 NTH458809:NUN458809 NJL458809:NKR458809 MZP458809:NAV458809 MPT458809:MQZ458809 MFX458809:MHD458809 LWB458809:LXH458809 LMF458809:LNL458809 LCJ458809:LDP458809 KSN458809:KTT458809 KIR458809:KJX458809 JYV458809:KAB458809 JOZ458809:JQF458809 JFD458809:JGJ458809 IVH458809:IWN458809 ILL458809:IMR458809 IBP458809:ICV458809 HRT458809:HSZ458809 HHX458809:HJD458809 GYB458809:GZH458809 GOF458809:GPL458809 GEJ458809:GFP458809 FUN458809:FVT458809 FKR458809:FLX458809 FAV458809:FCB458809 EQZ458809:ESF458809 EHD458809:EIJ458809 DXH458809:DYN458809 DNL458809:DOR458809 DDP458809:DEV458809 CTT458809:CUZ458809 CJX458809:CLD458809 CAB458809:CBH458809 BQF458809:BRL458809 BGJ458809:BHP458809 AWN458809:AXT458809 AMR458809:ANX458809 ACV458809:AEB458809 SZ458809:UF458809 JD458809:KJ458809 B458809:AM458809 WVP393273:WWV393273 WLT393273:WMZ393273 WBX393273:WDD393273 VSB393273:VTH393273 VIF393273:VJL393273 UYJ393273:UZP393273 UON393273:UPT393273 UER393273:UFX393273 TUV393273:TWB393273 TKZ393273:TMF393273 TBD393273:TCJ393273 SRH393273:SSN393273 SHL393273:SIR393273 RXP393273:RYV393273 RNT393273:ROZ393273 RDX393273:RFD393273 QUB393273:QVH393273 QKF393273:QLL393273 QAJ393273:QBP393273 PQN393273:PRT393273 PGR393273:PHX393273 OWV393273:OYB393273 OMZ393273:OOF393273 ODD393273:OEJ393273 NTH393273:NUN393273 NJL393273:NKR393273 MZP393273:NAV393273 MPT393273:MQZ393273 MFX393273:MHD393273 LWB393273:LXH393273 LMF393273:LNL393273 LCJ393273:LDP393273 KSN393273:KTT393273 KIR393273:KJX393273 JYV393273:KAB393273 JOZ393273:JQF393273 JFD393273:JGJ393273 IVH393273:IWN393273 ILL393273:IMR393273 IBP393273:ICV393273 HRT393273:HSZ393273 HHX393273:HJD393273 GYB393273:GZH393273 GOF393273:GPL393273 GEJ393273:GFP393273 FUN393273:FVT393273 FKR393273:FLX393273 FAV393273:FCB393273 EQZ393273:ESF393273 EHD393273:EIJ393273 DXH393273:DYN393273 DNL393273:DOR393273 DDP393273:DEV393273 CTT393273:CUZ393273 CJX393273:CLD393273 CAB393273:CBH393273 BQF393273:BRL393273 BGJ393273:BHP393273 AWN393273:AXT393273 AMR393273:ANX393273 ACV393273:AEB393273 SZ393273:UF393273 JD393273:KJ393273 B393273:AM393273 WVP327737:WWV327737 WLT327737:WMZ327737 WBX327737:WDD327737 VSB327737:VTH327737 VIF327737:VJL327737 UYJ327737:UZP327737 UON327737:UPT327737 UER327737:UFX327737 TUV327737:TWB327737 TKZ327737:TMF327737 TBD327737:TCJ327737 SRH327737:SSN327737 SHL327737:SIR327737 RXP327737:RYV327737 RNT327737:ROZ327737 RDX327737:RFD327737 QUB327737:QVH327737 QKF327737:QLL327737 QAJ327737:QBP327737 PQN327737:PRT327737 PGR327737:PHX327737 OWV327737:OYB327737 OMZ327737:OOF327737 ODD327737:OEJ327737 NTH327737:NUN327737 NJL327737:NKR327737 MZP327737:NAV327737 MPT327737:MQZ327737 MFX327737:MHD327737 LWB327737:LXH327737 LMF327737:LNL327737 LCJ327737:LDP327737 KSN327737:KTT327737 KIR327737:KJX327737 JYV327737:KAB327737 JOZ327737:JQF327737 JFD327737:JGJ327737 IVH327737:IWN327737 ILL327737:IMR327737 IBP327737:ICV327737 HRT327737:HSZ327737 HHX327737:HJD327737 GYB327737:GZH327737 GOF327737:GPL327737 GEJ327737:GFP327737 FUN327737:FVT327737 FKR327737:FLX327737 FAV327737:FCB327737 EQZ327737:ESF327737 EHD327737:EIJ327737 DXH327737:DYN327737 DNL327737:DOR327737 DDP327737:DEV327737 CTT327737:CUZ327737 CJX327737:CLD327737 CAB327737:CBH327737 BQF327737:BRL327737 BGJ327737:BHP327737 AWN327737:AXT327737 AMR327737:ANX327737 ACV327737:AEB327737 SZ327737:UF327737 JD327737:KJ327737 B327737:AM327737 WVP262201:WWV262201 WLT262201:WMZ262201 WBX262201:WDD262201 VSB262201:VTH262201 VIF262201:VJL262201 UYJ262201:UZP262201 UON262201:UPT262201 UER262201:UFX262201 TUV262201:TWB262201 TKZ262201:TMF262201 TBD262201:TCJ262201 SRH262201:SSN262201 SHL262201:SIR262201 RXP262201:RYV262201 RNT262201:ROZ262201 RDX262201:RFD262201 QUB262201:QVH262201 QKF262201:QLL262201 QAJ262201:QBP262201 PQN262201:PRT262201 PGR262201:PHX262201 OWV262201:OYB262201 OMZ262201:OOF262201 ODD262201:OEJ262201 NTH262201:NUN262201 NJL262201:NKR262201 MZP262201:NAV262201 MPT262201:MQZ262201 MFX262201:MHD262201 LWB262201:LXH262201 LMF262201:LNL262201 LCJ262201:LDP262201 KSN262201:KTT262201 KIR262201:KJX262201 JYV262201:KAB262201 JOZ262201:JQF262201 JFD262201:JGJ262201 IVH262201:IWN262201 ILL262201:IMR262201 IBP262201:ICV262201 HRT262201:HSZ262201 HHX262201:HJD262201 GYB262201:GZH262201 GOF262201:GPL262201 GEJ262201:GFP262201 FUN262201:FVT262201 FKR262201:FLX262201 FAV262201:FCB262201 EQZ262201:ESF262201 EHD262201:EIJ262201 DXH262201:DYN262201 DNL262201:DOR262201 DDP262201:DEV262201 CTT262201:CUZ262201 CJX262201:CLD262201 CAB262201:CBH262201 BQF262201:BRL262201 BGJ262201:BHP262201 AWN262201:AXT262201 AMR262201:ANX262201 ACV262201:AEB262201 SZ262201:UF262201 JD262201:KJ262201 B262201:AM262201 WVP196665:WWV196665 WLT196665:WMZ196665 WBX196665:WDD196665 VSB196665:VTH196665 VIF196665:VJL196665 UYJ196665:UZP196665 UON196665:UPT196665 UER196665:UFX196665 TUV196665:TWB196665 TKZ196665:TMF196665 TBD196665:TCJ196665 SRH196665:SSN196665 SHL196665:SIR196665 RXP196665:RYV196665 RNT196665:ROZ196665 RDX196665:RFD196665 QUB196665:QVH196665 QKF196665:QLL196665 QAJ196665:QBP196665 PQN196665:PRT196665 PGR196665:PHX196665 OWV196665:OYB196665 OMZ196665:OOF196665 ODD196665:OEJ196665 NTH196665:NUN196665 NJL196665:NKR196665 MZP196665:NAV196665 MPT196665:MQZ196665 MFX196665:MHD196665 LWB196665:LXH196665 LMF196665:LNL196665 LCJ196665:LDP196665 KSN196665:KTT196665 KIR196665:KJX196665 JYV196665:KAB196665 JOZ196665:JQF196665 JFD196665:JGJ196665 IVH196665:IWN196665 ILL196665:IMR196665 IBP196665:ICV196665 HRT196665:HSZ196665 HHX196665:HJD196665 GYB196665:GZH196665 GOF196665:GPL196665 GEJ196665:GFP196665 FUN196665:FVT196665 FKR196665:FLX196665 FAV196665:FCB196665 EQZ196665:ESF196665 EHD196665:EIJ196665 DXH196665:DYN196665 DNL196665:DOR196665 DDP196665:DEV196665 CTT196665:CUZ196665 CJX196665:CLD196665 CAB196665:CBH196665 BQF196665:BRL196665 BGJ196665:BHP196665 AWN196665:AXT196665 AMR196665:ANX196665 ACV196665:AEB196665 SZ196665:UF196665 JD196665:KJ196665 B196665:AM196665 WVP131129:WWV131129 WLT131129:WMZ131129 WBX131129:WDD131129 VSB131129:VTH131129 VIF131129:VJL131129 UYJ131129:UZP131129 UON131129:UPT131129 UER131129:UFX131129 TUV131129:TWB131129 TKZ131129:TMF131129 TBD131129:TCJ131129 SRH131129:SSN131129 SHL131129:SIR131129 RXP131129:RYV131129 RNT131129:ROZ131129 RDX131129:RFD131129 QUB131129:QVH131129 QKF131129:QLL131129 QAJ131129:QBP131129 PQN131129:PRT131129 PGR131129:PHX131129 OWV131129:OYB131129 OMZ131129:OOF131129 ODD131129:OEJ131129 NTH131129:NUN131129 NJL131129:NKR131129 MZP131129:NAV131129 MPT131129:MQZ131129 MFX131129:MHD131129 LWB131129:LXH131129 LMF131129:LNL131129 LCJ131129:LDP131129 KSN131129:KTT131129 KIR131129:KJX131129 JYV131129:KAB131129 JOZ131129:JQF131129 JFD131129:JGJ131129 IVH131129:IWN131129 ILL131129:IMR131129 IBP131129:ICV131129 HRT131129:HSZ131129 HHX131129:HJD131129 GYB131129:GZH131129 GOF131129:GPL131129 GEJ131129:GFP131129 FUN131129:FVT131129 FKR131129:FLX131129 FAV131129:FCB131129 EQZ131129:ESF131129 EHD131129:EIJ131129 DXH131129:DYN131129 DNL131129:DOR131129 DDP131129:DEV131129 CTT131129:CUZ131129 CJX131129:CLD131129 CAB131129:CBH131129 BQF131129:BRL131129 BGJ131129:BHP131129 AWN131129:AXT131129 AMR131129:ANX131129 ACV131129:AEB131129 SZ131129:UF131129 JD131129:KJ131129 B131129:AM131129 WVP65593:WWV65593 WLT65593:WMZ65593 WBX65593:WDD65593 VSB65593:VTH65593 VIF65593:VJL65593 UYJ65593:UZP65593 UON65593:UPT65593 UER65593:UFX65593 TUV65593:TWB65593 TKZ65593:TMF65593 TBD65593:TCJ65593 SRH65593:SSN65593 SHL65593:SIR65593 RXP65593:RYV65593 RNT65593:ROZ65593 RDX65593:RFD65593 QUB65593:QVH65593 QKF65593:QLL65593 QAJ65593:QBP65593 PQN65593:PRT65593 PGR65593:PHX65593 OWV65593:OYB65593 OMZ65593:OOF65593 ODD65593:OEJ65593 NTH65593:NUN65593 NJL65593:NKR65593 MZP65593:NAV65593 MPT65593:MQZ65593 MFX65593:MHD65593 LWB65593:LXH65593 LMF65593:LNL65593 LCJ65593:LDP65593 KSN65593:KTT65593 KIR65593:KJX65593 JYV65593:KAB65593 JOZ65593:JQF65593 JFD65593:JGJ65593 IVH65593:IWN65593 ILL65593:IMR65593 IBP65593:ICV65593 HRT65593:HSZ65593 HHX65593:HJD65593 GYB65593:GZH65593 GOF65593:GPL65593 GEJ65593:GFP65593 FUN65593:FVT65593 FKR65593:FLX65593 FAV65593:FCB65593 EQZ65593:ESF65593 EHD65593:EIJ65593 DXH65593:DYN65593 DNL65593:DOR65593 DDP65593:DEV65593 CTT65593:CUZ65593 CJX65593:CLD65593 CAB65593:CBH65593 BQF65593:BRL65593 BGJ65593:BHP65593 AWN65593:AXT65593 AMR65593:ANX65593 ACV65593:AEB65593 SZ65593:UF65593 JD65593:KJ65593 B65593:AM65593 WVP30:WWV30 WLT30:WMZ30 WBX30:WDD30 VSB30:VTH30 VIF30:VJL30 UYJ30:UZP30 UON30:UPT30 UER30:UFX30 TUV30:TWB30 TKZ30:TMF30 TBD30:TCJ30 SRH30:SSN30 SHL30:SIR30 RXP30:RYV30 RNT30:ROZ30 RDX30:RFD30 QUB30:QVH30 QKF30:QLL30 QAJ30:QBP30 PQN30:PRT30 PGR30:PHX30 OWV30:OYB30 OMZ30:OOF30 ODD30:OEJ30 NTH30:NUN30 NJL30:NKR30 MZP30:NAV30 MPT30:MQZ30 MFX30:MHD30 LWB30:LXH30 LMF30:LNL30 LCJ30:LDP30 KSN30:KTT30 KIR30:KJX30 JYV30:KAB30 JOZ30:JQF30 JFD30:JGJ30 IVH30:IWN30 ILL30:IMR30 IBP30:ICV30 HRT30:HSZ30 HHX30:HJD30 GYB30:GZH30 GOF30:GPL30 GEJ30:GFP30 FUN30:FVT30 FKR30:FLX30 FAV30:FCB30 EQZ30:ESF30 EHD30:EIJ30 DXH30:DYN30 DNL30:DOR30 DDP30:DEV30 CTT30:CUZ30 CJX30:CLD30 CAB30:CBH30 BQF30:BRL30 BGJ30:BHP30 AWN30:AXT30 AMR30:ANX30 ACV30:AEB30 SZ30:UF30 UER983099:UFX983099 VSB983099:VTH983099 SHL983099:SIR983099 SRH983099:SSN983099 WVP42:WWV42 VIF983099:VJL983099 RNT983099:ROZ983099 UON983099:UPT983099 UYJ983099:UZP983099 JD44:KJ44 RDX983099:RFD983099 TKZ983099:TMF983099 WVP44:WWV44 WLT44:WMZ44 WBX44:WDD44 VSB44:VTH44 VIF44:VJL44 UYJ44:UZP44 UON44:UPT44 UER44:UFX44 TUV44:TWB44 TKZ44:TMF44 TBD44:TCJ44 SRH44:SSN44 SHL44:SIR44 RXP44:RYV44 RNT44:ROZ44 RDX44:RFD44 QUB44:QVH44 QKF44:QLL44 QAJ44:QBP44 PQN44:PRT44 PGR44:PHX44 OWV44:OYB44 OMZ44:OOF44 ODD44:OEJ44 NTH44:NUN44 NJL44:NKR44 MZP44:NAV44 MPT44:MQZ44 MFX44:MHD44 LWB44:LXH44 LMF44:LNL44 LCJ44:LDP44 KSN44:KTT44 KIR44:KJX44 JYV44:KAB44 JOZ44:JQF44 JFD44:JGJ44 IVH44:IWN44 ILL44:IMR44 IBP44:ICV44 HRT44:HSZ44 HHX44:HJD44 GYB44:GZH44 GOF44:GPL44 GEJ44:GFP44 FUN44:FVT44 FKR44:FLX44 FAV44:FCB44 EQZ44:ESF44 EHD44:EIJ44 DXH44:DYN44 DNL44:DOR44 DDP44:DEV44 CTT44:CUZ44 CJX44:CLD44 CAB44:CBH44 BQF44:BRL44 BGJ44:BHP44 AWN44:AXT44 AMR44:ANX44 ACV44:AEB44 SZ44:UF44 TBD983099:TCJ983099" xr:uid="{00000000-0002-0000-0100-000005000000}">
      <formula1>$AZ$31:$AZ$35</formula1>
    </dataValidation>
    <dataValidation type="list" allowBlank="1" showInputMessage="1" showErrorMessage="1" sqref="WVP983138:WWV983138 UER983138:UFX983138 TUV983138:TWB983138 TKZ983138:TMF983138 TBD983138:TCJ983138 SRH983138:SSN983138 SHL983138:SIR983138 RXP983138:RYV983138 RNT983138:ROZ983138 RDX983138:RFD983138 QUB983138:QVH983138 QKF983138:QLL983138 QAJ983138:QBP983138 PQN983138:PRT983138 PGR983138:PHX983138 OWV983138:OYB983138 OMZ983138:OOF983138 ODD983138:OEJ983138 NTH983138:NUN983138 NJL983138:NKR983138 MZP983138:NAV983138 MPT983138:MQZ983138 MFX983138:MHD983138 LWB983138:LXH983138 LMF983138:LNL983138 LCJ983138:LDP983138 KSN983138:KTT983138 KIR983138:KJX983138 JYV983138:KAB983138 JOZ983138:JQF983138 JFD983138:JGJ983138 IVH983138:IWN983138 ILL983138:IMR983138 IBP983138:ICV983138 HRT983138:HSZ983138 HHX983138:HJD983138 GYB983138:GZH983138 GOF983138:GPL983138 GEJ983138:GFP983138 FUN983138:FVT983138 FKR983138:FLX983138 FAV983138:FCB983138 EQZ983138:ESF983138 EHD983138:EIJ983138 DXH983138:DYN983138 DNL983138:DOR983138 DDP983138:DEV983138 CTT983138:CUZ983138 CJX983138:CLD983138 CAB983138:CBH983138 BQF983138:BRL983138 BGJ983138:BHP983138 AWN983138:AXT983138 AMR983138:ANX983138 ACV983138:AEB983138 SZ983138:UF983138 JD983138:KJ983138 B983138:AM983138 WVP917602:WWV917602 WLT917602:WMZ917602 WBX917602:WDD917602 VSB917602:VTH917602 VIF917602:VJL917602 UYJ917602:UZP917602 UON917602:UPT917602 UER917602:UFX917602 TUV917602:TWB917602 TKZ917602:TMF917602 TBD917602:TCJ917602 SRH917602:SSN917602 SHL917602:SIR917602 RXP917602:RYV917602 RNT917602:ROZ917602 RDX917602:RFD917602 QUB917602:QVH917602 QKF917602:QLL917602 QAJ917602:QBP917602 PQN917602:PRT917602 PGR917602:PHX917602 OWV917602:OYB917602 OMZ917602:OOF917602 ODD917602:OEJ917602 NTH917602:NUN917602 NJL917602:NKR917602 MZP917602:NAV917602 MPT917602:MQZ917602 MFX917602:MHD917602 LWB917602:LXH917602 LMF917602:LNL917602 LCJ917602:LDP917602 KSN917602:KTT917602 KIR917602:KJX917602 JYV917602:KAB917602 JOZ917602:JQF917602 JFD917602:JGJ917602 IVH917602:IWN917602 ILL917602:IMR917602 IBP917602:ICV917602 HRT917602:HSZ917602 HHX917602:HJD917602 GYB917602:GZH917602 GOF917602:GPL917602 GEJ917602:GFP917602 FUN917602:FVT917602 FKR917602:FLX917602 FAV917602:FCB917602 EQZ917602:ESF917602 EHD917602:EIJ917602 DXH917602:DYN917602 DNL917602:DOR917602 DDP917602:DEV917602 CTT917602:CUZ917602 CJX917602:CLD917602 CAB917602:CBH917602 BQF917602:BRL917602 BGJ917602:BHP917602 AWN917602:AXT917602 AMR917602:ANX917602 ACV917602:AEB917602 SZ917602:UF917602 JD917602:KJ917602 B917602:AM917602 WVP852066:WWV852066 WLT852066:WMZ852066 WBX852066:WDD852066 VSB852066:VTH852066 VIF852066:VJL852066 UYJ852066:UZP852066 UON852066:UPT852066 UER852066:UFX852066 TUV852066:TWB852066 TKZ852066:TMF852066 TBD852066:TCJ852066 SRH852066:SSN852066 SHL852066:SIR852066 RXP852066:RYV852066 RNT852066:ROZ852066 RDX852066:RFD852066 QUB852066:QVH852066 QKF852066:QLL852066 QAJ852066:QBP852066 PQN852066:PRT852066 PGR852066:PHX852066 OWV852066:OYB852066 OMZ852066:OOF852066 ODD852066:OEJ852066 NTH852066:NUN852066 NJL852066:NKR852066 MZP852066:NAV852066 MPT852066:MQZ852066 MFX852066:MHD852066 LWB852066:LXH852066 LMF852066:LNL852066 LCJ852066:LDP852066 KSN852066:KTT852066 KIR852066:KJX852066 JYV852066:KAB852066 JOZ852066:JQF852066 JFD852066:JGJ852066 IVH852066:IWN852066 ILL852066:IMR852066 IBP852066:ICV852066 HRT852066:HSZ852066 HHX852066:HJD852066 GYB852066:GZH852066 GOF852066:GPL852066 GEJ852066:GFP852066 FUN852066:FVT852066 FKR852066:FLX852066 FAV852066:FCB852066 EQZ852066:ESF852066 EHD852066:EIJ852066 DXH852066:DYN852066 DNL852066:DOR852066 DDP852066:DEV852066 CTT852066:CUZ852066 CJX852066:CLD852066 CAB852066:CBH852066 BQF852066:BRL852066 BGJ852066:BHP852066 AWN852066:AXT852066 AMR852066:ANX852066 ACV852066:AEB852066 SZ852066:UF852066 JD852066:KJ852066 B852066:AM852066 WVP786530:WWV786530 WLT786530:WMZ786530 WBX786530:WDD786530 VSB786530:VTH786530 VIF786530:VJL786530 UYJ786530:UZP786530 UON786530:UPT786530 UER786530:UFX786530 TUV786530:TWB786530 TKZ786530:TMF786530 TBD786530:TCJ786530 SRH786530:SSN786530 SHL786530:SIR786530 RXP786530:RYV786530 RNT786530:ROZ786530 RDX786530:RFD786530 QUB786530:QVH786530 QKF786530:QLL786530 QAJ786530:QBP786530 PQN786530:PRT786530 PGR786530:PHX786530 OWV786530:OYB786530 OMZ786530:OOF786530 ODD786530:OEJ786530 NTH786530:NUN786530 NJL786530:NKR786530 MZP786530:NAV786530 MPT786530:MQZ786530 MFX786530:MHD786530 LWB786530:LXH786530 LMF786530:LNL786530 LCJ786530:LDP786530 KSN786530:KTT786530 KIR786530:KJX786530 JYV786530:KAB786530 JOZ786530:JQF786530 JFD786530:JGJ786530 IVH786530:IWN786530 ILL786530:IMR786530 IBP786530:ICV786530 HRT786530:HSZ786530 HHX786530:HJD786530 GYB786530:GZH786530 GOF786530:GPL786530 GEJ786530:GFP786530 FUN786530:FVT786530 FKR786530:FLX786530 FAV786530:FCB786530 EQZ786530:ESF786530 EHD786530:EIJ786530 DXH786530:DYN786530 DNL786530:DOR786530 DDP786530:DEV786530 CTT786530:CUZ786530 CJX786530:CLD786530 CAB786530:CBH786530 BQF786530:BRL786530 BGJ786530:BHP786530 AWN786530:AXT786530 AMR786530:ANX786530 ACV786530:AEB786530 SZ786530:UF786530 JD786530:KJ786530 B786530:AM786530 WVP720994:WWV720994 WLT720994:WMZ720994 WBX720994:WDD720994 VSB720994:VTH720994 VIF720994:VJL720994 UYJ720994:UZP720994 UON720994:UPT720994 UER720994:UFX720994 TUV720994:TWB720994 TKZ720994:TMF720994 TBD720994:TCJ720994 SRH720994:SSN720994 SHL720994:SIR720994 RXP720994:RYV720994 RNT720994:ROZ720994 RDX720994:RFD720994 QUB720994:QVH720994 QKF720994:QLL720994 QAJ720994:QBP720994 PQN720994:PRT720994 PGR720994:PHX720994 OWV720994:OYB720994 OMZ720994:OOF720994 ODD720994:OEJ720994 NTH720994:NUN720994 NJL720994:NKR720994 MZP720994:NAV720994 MPT720994:MQZ720994 MFX720994:MHD720994 LWB720994:LXH720994 LMF720994:LNL720994 LCJ720994:LDP720994 KSN720994:KTT720994 KIR720994:KJX720994 JYV720994:KAB720994 JOZ720994:JQF720994 JFD720994:JGJ720994 IVH720994:IWN720994 ILL720994:IMR720994 IBP720994:ICV720994 HRT720994:HSZ720994 HHX720994:HJD720994 GYB720994:GZH720994 GOF720994:GPL720994 GEJ720994:GFP720994 FUN720994:FVT720994 FKR720994:FLX720994 FAV720994:FCB720994 EQZ720994:ESF720994 EHD720994:EIJ720994 DXH720994:DYN720994 DNL720994:DOR720994 DDP720994:DEV720994 CTT720994:CUZ720994 CJX720994:CLD720994 CAB720994:CBH720994 BQF720994:BRL720994 BGJ720994:BHP720994 AWN720994:AXT720994 AMR720994:ANX720994 ACV720994:AEB720994 SZ720994:UF720994 JD720994:KJ720994 B720994:AM720994 WVP655458:WWV655458 WLT655458:WMZ655458 WBX655458:WDD655458 VSB655458:VTH655458 VIF655458:VJL655458 UYJ655458:UZP655458 UON655458:UPT655458 UER655458:UFX655458 TUV655458:TWB655458 TKZ655458:TMF655458 TBD655458:TCJ655458 SRH655458:SSN655458 SHL655458:SIR655458 RXP655458:RYV655458 RNT655458:ROZ655458 RDX655458:RFD655458 QUB655458:QVH655458 QKF655458:QLL655458 QAJ655458:QBP655458 PQN655458:PRT655458 PGR655458:PHX655458 OWV655458:OYB655458 OMZ655458:OOF655458 ODD655458:OEJ655458 NTH655458:NUN655458 NJL655458:NKR655458 MZP655458:NAV655458 MPT655458:MQZ655458 MFX655458:MHD655458 LWB655458:LXH655458 LMF655458:LNL655458 LCJ655458:LDP655458 KSN655458:KTT655458 KIR655458:KJX655458 JYV655458:KAB655458 JOZ655458:JQF655458 JFD655458:JGJ655458 IVH655458:IWN655458 ILL655458:IMR655458 IBP655458:ICV655458 HRT655458:HSZ655458 HHX655458:HJD655458 GYB655458:GZH655458 GOF655458:GPL655458 GEJ655458:GFP655458 FUN655458:FVT655458 FKR655458:FLX655458 FAV655458:FCB655458 EQZ655458:ESF655458 EHD655458:EIJ655458 DXH655458:DYN655458 DNL655458:DOR655458 DDP655458:DEV655458 CTT655458:CUZ655458 CJX655458:CLD655458 CAB655458:CBH655458 BQF655458:BRL655458 BGJ655458:BHP655458 AWN655458:AXT655458 AMR655458:ANX655458 ACV655458:AEB655458 SZ655458:UF655458 JD655458:KJ655458 B655458:AM655458 WVP589922:WWV589922 WLT589922:WMZ589922 WBX589922:WDD589922 VSB589922:VTH589922 VIF589922:VJL589922 UYJ589922:UZP589922 UON589922:UPT589922 UER589922:UFX589922 TUV589922:TWB589922 TKZ589922:TMF589922 TBD589922:TCJ589922 SRH589922:SSN589922 SHL589922:SIR589922 RXP589922:RYV589922 RNT589922:ROZ589922 RDX589922:RFD589922 QUB589922:QVH589922 QKF589922:QLL589922 QAJ589922:QBP589922 PQN589922:PRT589922 PGR589922:PHX589922 OWV589922:OYB589922 OMZ589922:OOF589922 ODD589922:OEJ589922 NTH589922:NUN589922 NJL589922:NKR589922 MZP589922:NAV589922 MPT589922:MQZ589922 MFX589922:MHD589922 LWB589922:LXH589922 LMF589922:LNL589922 LCJ589922:LDP589922 KSN589922:KTT589922 KIR589922:KJX589922 JYV589922:KAB589922 JOZ589922:JQF589922 JFD589922:JGJ589922 IVH589922:IWN589922 ILL589922:IMR589922 IBP589922:ICV589922 HRT589922:HSZ589922 HHX589922:HJD589922 GYB589922:GZH589922 GOF589922:GPL589922 GEJ589922:GFP589922 FUN589922:FVT589922 FKR589922:FLX589922 FAV589922:FCB589922 EQZ589922:ESF589922 EHD589922:EIJ589922 DXH589922:DYN589922 DNL589922:DOR589922 DDP589922:DEV589922 CTT589922:CUZ589922 CJX589922:CLD589922 CAB589922:CBH589922 BQF589922:BRL589922 BGJ589922:BHP589922 AWN589922:AXT589922 AMR589922:ANX589922 ACV589922:AEB589922 SZ589922:UF589922 JD589922:KJ589922 B589922:AM589922 WVP524386:WWV524386 WLT524386:WMZ524386 WBX524386:WDD524386 VSB524386:VTH524386 VIF524386:VJL524386 UYJ524386:UZP524386 UON524386:UPT524386 UER524386:UFX524386 TUV524386:TWB524386 TKZ524386:TMF524386 TBD524386:TCJ524386 SRH524386:SSN524386 SHL524386:SIR524386 RXP524386:RYV524386 RNT524386:ROZ524386 RDX524386:RFD524386 QUB524386:QVH524386 QKF524386:QLL524386 QAJ524386:QBP524386 PQN524386:PRT524386 PGR524386:PHX524386 OWV524386:OYB524386 OMZ524386:OOF524386 ODD524386:OEJ524386 NTH524386:NUN524386 NJL524386:NKR524386 MZP524386:NAV524386 MPT524386:MQZ524386 MFX524386:MHD524386 LWB524386:LXH524386 LMF524386:LNL524386 LCJ524386:LDP524386 KSN524386:KTT524386 KIR524386:KJX524386 JYV524386:KAB524386 JOZ524386:JQF524386 JFD524386:JGJ524386 IVH524386:IWN524386 ILL524386:IMR524386 IBP524386:ICV524386 HRT524386:HSZ524386 HHX524386:HJD524386 GYB524386:GZH524386 GOF524386:GPL524386 GEJ524386:GFP524386 FUN524386:FVT524386 FKR524386:FLX524386 FAV524386:FCB524386 EQZ524386:ESF524386 EHD524386:EIJ524386 DXH524386:DYN524386 DNL524386:DOR524386 DDP524386:DEV524386 CTT524386:CUZ524386 CJX524386:CLD524386 CAB524386:CBH524386 BQF524386:BRL524386 BGJ524386:BHP524386 AWN524386:AXT524386 AMR524386:ANX524386 ACV524386:AEB524386 SZ524386:UF524386 JD524386:KJ524386 B524386:AM524386 WVP458850:WWV458850 WLT458850:WMZ458850 WBX458850:WDD458850 VSB458850:VTH458850 VIF458850:VJL458850 UYJ458850:UZP458850 UON458850:UPT458850 UER458850:UFX458850 TUV458850:TWB458850 TKZ458850:TMF458850 TBD458850:TCJ458850 SRH458850:SSN458850 SHL458850:SIR458850 RXP458850:RYV458850 RNT458850:ROZ458850 RDX458850:RFD458850 QUB458850:QVH458850 QKF458850:QLL458850 QAJ458850:QBP458850 PQN458850:PRT458850 PGR458850:PHX458850 OWV458850:OYB458850 OMZ458850:OOF458850 ODD458850:OEJ458850 NTH458850:NUN458850 NJL458850:NKR458850 MZP458850:NAV458850 MPT458850:MQZ458850 MFX458850:MHD458850 LWB458850:LXH458850 LMF458850:LNL458850 LCJ458850:LDP458850 KSN458850:KTT458850 KIR458850:KJX458850 JYV458850:KAB458850 JOZ458850:JQF458850 JFD458850:JGJ458850 IVH458850:IWN458850 ILL458850:IMR458850 IBP458850:ICV458850 HRT458850:HSZ458850 HHX458850:HJD458850 GYB458850:GZH458850 GOF458850:GPL458850 GEJ458850:GFP458850 FUN458850:FVT458850 FKR458850:FLX458850 FAV458850:FCB458850 EQZ458850:ESF458850 EHD458850:EIJ458850 DXH458850:DYN458850 DNL458850:DOR458850 DDP458850:DEV458850 CTT458850:CUZ458850 CJX458850:CLD458850 CAB458850:CBH458850 BQF458850:BRL458850 BGJ458850:BHP458850 AWN458850:AXT458850 AMR458850:ANX458850 ACV458850:AEB458850 SZ458850:UF458850 JD458850:KJ458850 B458850:AM458850 WVP393314:WWV393314 WLT393314:WMZ393314 WBX393314:WDD393314 VSB393314:VTH393314 VIF393314:VJL393314 UYJ393314:UZP393314 UON393314:UPT393314 UER393314:UFX393314 TUV393314:TWB393314 TKZ393314:TMF393314 TBD393314:TCJ393314 SRH393314:SSN393314 SHL393314:SIR393314 RXP393314:RYV393314 RNT393314:ROZ393314 RDX393314:RFD393314 QUB393314:QVH393314 QKF393314:QLL393314 QAJ393314:QBP393314 PQN393314:PRT393314 PGR393314:PHX393314 OWV393314:OYB393314 OMZ393314:OOF393314 ODD393314:OEJ393314 NTH393314:NUN393314 NJL393314:NKR393314 MZP393314:NAV393314 MPT393314:MQZ393314 MFX393314:MHD393314 LWB393314:LXH393314 LMF393314:LNL393314 LCJ393314:LDP393314 KSN393314:KTT393314 KIR393314:KJX393314 JYV393314:KAB393314 JOZ393314:JQF393314 JFD393314:JGJ393314 IVH393314:IWN393314 ILL393314:IMR393314 IBP393314:ICV393314 HRT393314:HSZ393314 HHX393314:HJD393314 GYB393314:GZH393314 GOF393314:GPL393314 GEJ393314:GFP393314 FUN393314:FVT393314 FKR393314:FLX393314 FAV393314:FCB393314 EQZ393314:ESF393314 EHD393314:EIJ393314 DXH393314:DYN393314 DNL393314:DOR393314 DDP393314:DEV393314 CTT393314:CUZ393314 CJX393314:CLD393314 CAB393314:CBH393314 BQF393314:BRL393314 BGJ393314:BHP393314 AWN393314:AXT393314 AMR393314:ANX393314 ACV393314:AEB393314 SZ393314:UF393314 JD393314:KJ393314 B393314:AM393314 WVP327778:WWV327778 WLT327778:WMZ327778 WBX327778:WDD327778 VSB327778:VTH327778 VIF327778:VJL327778 UYJ327778:UZP327778 UON327778:UPT327778 UER327778:UFX327778 TUV327778:TWB327778 TKZ327778:TMF327778 TBD327778:TCJ327778 SRH327778:SSN327778 SHL327778:SIR327778 RXP327778:RYV327778 RNT327778:ROZ327778 RDX327778:RFD327778 QUB327778:QVH327778 QKF327778:QLL327778 QAJ327778:QBP327778 PQN327778:PRT327778 PGR327778:PHX327778 OWV327778:OYB327778 OMZ327778:OOF327778 ODD327778:OEJ327778 NTH327778:NUN327778 NJL327778:NKR327778 MZP327778:NAV327778 MPT327778:MQZ327778 MFX327778:MHD327778 LWB327778:LXH327778 LMF327778:LNL327778 LCJ327778:LDP327778 KSN327778:KTT327778 KIR327778:KJX327778 JYV327778:KAB327778 JOZ327778:JQF327778 JFD327778:JGJ327778 IVH327778:IWN327778 ILL327778:IMR327778 IBP327778:ICV327778 HRT327778:HSZ327778 HHX327778:HJD327778 GYB327778:GZH327778 GOF327778:GPL327778 GEJ327778:GFP327778 FUN327778:FVT327778 FKR327778:FLX327778 FAV327778:FCB327778 EQZ327778:ESF327778 EHD327778:EIJ327778 DXH327778:DYN327778 DNL327778:DOR327778 DDP327778:DEV327778 CTT327778:CUZ327778 CJX327778:CLD327778 CAB327778:CBH327778 BQF327778:BRL327778 BGJ327778:BHP327778 AWN327778:AXT327778 AMR327778:ANX327778 ACV327778:AEB327778 SZ327778:UF327778 JD327778:KJ327778 B327778:AM327778 WVP262242:WWV262242 WLT262242:WMZ262242 WBX262242:WDD262242 VSB262242:VTH262242 VIF262242:VJL262242 UYJ262242:UZP262242 UON262242:UPT262242 UER262242:UFX262242 TUV262242:TWB262242 TKZ262242:TMF262242 TBD262242:TCJ262242 SRH262242:SSN262242 SHL262242:SIR262242 RXP262242:RYV262242 RNT262242:ROZ262242 RDX262242:RFD262242 QUB262242:QVH262242 QKF262242:QLL262242 QAJ262242:QBP262242 PQN262242:PRT262242 PGR262242:PHX262242 OWV262242:OYB262242 OMZ262242:OOF262242 ODD262242:OEJ262242 NTH262242:NUN262242 NJL262242:NKR262242 MZP262242:NAV262242 MPT262242:MQZ262242 MFX262242:MHD262242 LWB262242:LXH262242 LMF262242:LNL262242 LCJ262242:LDP262242 KSN262242:KTT262242 KIR262242:KJX262242 JYV262242:KAB262242 JOZ262242:JQF262242 JFD262242:JGJ262242 IVH262242:IWN262242 ILL262242:IMR262242 IBP262242:ICV262242 HRT262242:HSZ262242 HHX262242:HJD262242 GYB262242:GZH262242 GOF262242:GPL262242 GEJ262242:GFP262242 FUN262242:FVT262242 FKR262242:FLX262242 FAV262242:FCB262242 EQZ262242:ESF262242 EHD262242:EIJ262242 DXH262242:DYN262242 DNL262242:DOR262242 DDP262242:DEV262242 CTT262242:CUZ262242 CJX262242:CLD262242 CAB262242:CBH262242 BQF262242:BRL262242 BGJ262242:BHP262242 AWN262242:AXT262242 AMR262242:ANX262242 ACV262242:AEB262242 SZ262242:UF262242 JD262242:KJ262242 B262242:AM262242 WVP196706:WWV196706 WLT196706:WMZ196706 WBX196706:WDD196706 VSB196706:VTH196706 VIF196706:VJL196706 UYJ196706:UZP196706 UON196706:UPT196706 UER196706:UFX196706 TUV196706:TWB196706 TKZ196706:TMF196706 TBD196706:TCJ196706 SRH196706:SSN196706 SHL196706:SIR196706 RXP196706:RYV196706 RNT196706:ROZ196706 RDX196706:RFD196706 QUB196706:QVH196706 QKF196706:QLL196706 QAJ196706:QBP196706 PQN196706:PRT196706 PGR196706:PHX196706 OWV196706:OYB196706 OMZ196706:OOF196706 ODD196706:OEJ196706 NTH196706:NUN196706 NJL196706:NKR196706 MZP196706:NAV196706 MPT196706:MQZ196706 MFX196706:MHD196706 LWB196706:LXH196706 LMF196706:LNL196706 LCJ196706:LDP196706 KSN196706:KTT196706 KIR196706:KJX196706 JYV196706:KAB196706 JOZ196706:JQF196706 JFD196706:JGJ196706 IVH196706:IWN196706 ILL196706:IMR196706 IBP196706:ICV196706 HRT196706:HSZ196706 HHX196706:HJD196706 GYB196706:GZH196706 GOF196706:GPL196706 GEJ196706:GFP196706 FUN196706:FVT196706 FKR196706:FLX196706 FAV196706:FCB196706 EQZ196706:ESF196706 EHD196706:EIJ196706 DXH196706:DYN196706 DNL196706:DOR196706 DDP196706:DEV196706 CTT196706:CUZ196706 CJX196706:CLD196706 CAB196706:CBH196706 BQF196706:BRL196706 BGJ196706:BHP196706 AWN196706:AXT196706 AMR196706:ANX196706 ACV196706:AEB196706 SZ196706:UF196706 JD196706:KJ196706 B196706:AM196706 WVP131170:WWV131170 WLT131170:WMZ131170 WBX131170:WDD131170 VSB131170:VTH131170 VIF131170:VJL131170 UYJ131170:UZP131170 UON131170:UPT131170 UER131170:UFX131170 TUV131170:TWB131170 TKZ131170:TMF131170 TBD131170:TCJ131170 SRH131170:SSN131170 SHL131170:SIR131170 RXP131170:RYV131170 RNT131170:ROZ131170 RDX131170:RFD131170 QUB131170:QVH131170 QKF131170:QLL131170 QAJ131170:QBP131170 PQN131170:PRT131170 PGR131170:PHX131170 OWV131170:OYB131170 OMZ131170:OOF131170 ODD131170:OEJ131170 NTH131170:NUN131170 NJL131170:NKR131170 MZP131170:NAV131170 MPT131170:MQZ131170 MFX131170:MHD131170 LWB131170:LXH131170 LMF131170:LNL131170 LCJ131170:LDP131170 KSN131170:KTT131170 KIR131170:KJX131170 JYV131170:KAB131170 JOZ131170:JQF131170 JFD131170:JGJ131170 IVH131170:IWN131170 ILL131170:IMR131170 IBP131170:ICV131170 HRT131170:HSZ131170 HHX131170:HJD131170 GYB131170:GZH131170 GOF131170:GPL131170 GEJ131170:GFP131170 FUN131170:FVT131170 FKR131170:FLX131170 FAV131170:FCB131170 EQZ131170:ESF131170 EHD131170:EIJ131170 DXH131170:DYN131170 DNL131170:DOR131170 DDP131170:DEV131170 CTT131170:CUZ131170 CJX131170:CLD131170 CAB131170:CBH131170 BQF131170:BRL131170 BGJ131170:BHP131170 AWN131170:AXT131170 AMR131170:ANX131170 ACV131170:AEB131170 SZ131170:UF131170 JD131170:KJ131170 B131170:AM131170 WVP65634:WWV65634 WLT65634:WMZ65634 WBX65634:WDD65634 VSB65634:VTH65634 VIF65634:VJL65634 UYJ65634:UZP65634 UON65634:UPT65634 UER65634:UFX65634 TUV65634:TWB65634 TKZ65634:TMF65634 TBD65634:TCJ65634 SRH65634:SSN65634 SHL65634:SIR65634 RXP65634:RYV65634 RNT65634:ROZ65634 RDX65634:RFD65634 QUB65634:QVH65634 QKF65634:QLL65634 QAJ65634:QBP65634 PQN65634:PRT65634 PGR65634:PHX65634 OWV65634:OYB65634 OMZ65634:OOF65634 ODD65634:OEJ65634 NTH65634:NUN65634 NJL65634:NKR65634 MZP65634:NAV65634 MPT65634:MQZ65634 MFX65634:MHD65634 LWB65634:LXH65634 LMF65634:LNL65634 LCJ65634:LDP65634 KSN65634:KTT65634 KIR65634:KJX65634 JYV65634:KAB65634 JOZ65634:JQF65634 JFD65634:JGJ65634 IVH65634:IWN65634 ILL65634:IMR65634 IBP65634:ICV65634 HRT65634:HSZ65634 HHX65634:HJD65634 GYB65634:GZH65634 GOF65634:GPL65634 GEJ65634:GFP65634 FUN65634:FVT65634 FKR65634:FLX65634 FAV65634:FCB65634 EQZ65634:ESF65634 EHD65634:EIJ65634 DXH65634:DYN65634 DNL65634:DOR65634 DDP65634:DEV65634 CTT65634:CUZ65634 CJX65634:CLD65634 CAB65634:CBH65634 BQF65634:BRL65634 BGJ65634:BHP65634 AWN65634:AXT65634 AMR65634:ANX65634 ACV65634:AEB65634 SZ65634:UF65634 JD65634:KJ65634 B65634:AM65634 WVP83:WWV83 WLT83:WMZ83 WBX83:WDD83 VSB83:VTH83 VIF83:VJL83 UYJ83:UZP83 UON83:UPT83 UER83:UFX83 TUV83:TWB83 TKZ83:TMF83 TBD83:TCJ83 SRH83:SSN83 SHL83:SIR83 RXP83:RYV83 RNT83:ROZ83 RDX83:RFD83 QUB83:QVH83 QKF83:QLL83 QAJ83:QBP83 PQN83:PRT83 PGR83:PHX83 OWV83:OYB83 OMZ83:OOF83 ODD83:OEJ83 NTH83:NUN83 NJL83:NKR83 MZP83:NAV83 MPT83:MQZ83 MFX83:MHD83 LWB83:LXH83 LMF83:LNL83 LCJ83:LDP83 KSN83:KTT83 KIR83:KJX83 JYV83:KAB83 JOZ83:JQF83 JFD83:JGJ83 IVH83:IWN83 ILL83:IMR83 IBP83:ICV83 HRT83:HSZ83 HHX83:HJD83 GYB83:GZH83 GOF83:GPL83 GEJ83:GFP83 FUN83:FVT83 FKR83:FLX83 FAV83:FCB83 EQZ83:ESF83 EHD83:EIJ83 DXH83:DYN83 DNL83:DOR83 DDP83:DEV83 CTT83:CUZ83 CJX83:CLD83 CAB83:CBH83 BQF83:BRL83 BGJ83:BHP83 AWN83:AXT83 AMR83:ANX83 ACV83:AEB83 SZ83:UF83 JD83:KJ83 WLT983138:WMZ983138 WVP983140:WWV983140 WLT983140:WMZ983140 WBX983140:WDD983140 VSB983140:VTH983140 VIF983140:VJL983140 UYJ983140:UZP983140 UON983140:UPT983140 UER983140:UFX983140 TUV983140:TWB983140 TKZ983140:TMF983140 TBD983140:TCJ983140 SRH983140:SSN983140 SHL983140:SIR983140 RXP983140:RYV983140 RNT983140:ROZ983140 RDX983140:RFD983140 QUB983140:QVH983140 QKF983140:QLL983140 QAJ983140:QBP983140 PQN983140:PRT983140 PGR983140:PHX983140 OWV983140:OYB983140 OMZ983140:OOF983140 ODD983140:OEJ983140 NTH983140:NUN983140 NJL983140:NKR983140 MZP983140:NAV983140 MPT983140:MQZ983140 MFX983140:MHD983140 LWB983140:LXH983140 LMF983140:LNL983140 LCJ983140:LDP983140 KSN983140:KTT983140 KIR983140:KJX983140 JYV983140:KAB983140 JOZ983140:JQF983140 JFD983140:JGJ983140 IVH983140:IWN983140 ILL983140:IMR983140 IBP983140:ICV983140 HRT983140:HSZ983140 HHX983140:HJD983140 GYB983140:GZH983140 GOF983140:GPL983140 GEJ983140:GFP983140 FUN983140:FVT983140 FKR983140:FLX983140 FAV983140:FCB983140 EQZ983140:ESF983140 EHD983140:EIJ983140 DXH983140:DYN983140 DNL983140:DOR983140 DDP983140:DEV983140 CTT983140:CUZ983140 CJX983140:CLD983140 CAB983140:CBH983140 BQF983140:BRL983140 BGJ983140:BHP983140 AWN983140:AXT983140 AMR983140:ANX983140 ACV983140:AEB983140 SZ983140:UF983140 JD983140:KJ983140 B983140:AM983140 WVP917604:WWV917604 WLT917604:WMZ917604 WBX917604:WDD917604 VSB917604:VTH917604 VIF917604:VJL917604 UYJ917604:UZP917604 UON917604:UPT917604 UER917604:UFX917604 TUV917604:TWB917604 TKZ917604:TMF917604 TBD917604:TCJ917604 SRH917604:SSN917604 SHL917604:SIR917604 RXP917604:RYV917604 RNT917604:ROZ917604 RDX917604:RFD917604 QUB917604:QVH917604 QKF917604:QLL917604 QAJ917604:QBP917604 PQN917604:PRT917604 PGR917604:PHX917604 OWV917604:OYB917604 OMZ917604:OOF917604 ODD917604:OEJ917604 NTH917604:NUN917604 NJL917604:NKR917604 MZP917604:NAV917604 MPT917604:MQZ917604 MFX917604:MHD917604 LWB917604:LXH917604 LMF917604:LNL917604 LCJ917604:LDP917604 KSN917604:KTT917604 KIR917604:KJX917604 JYV917604:KAB917604 JOZ917604:JQF917604 JFD917604:JGJ917604 IVH917604:IWN917604 ILL917604:IMR917604 IBP917604:ICV917604 HRT917604:HSZ917604 HHX917604:HJD917604 GYB917604:GZH917604 GOF917604:GPL917604 GEJ917604:GFP917604 FUN917604:FVT917604 FKR917604:FLX917604 FAV917604:FCB917604 EQZ917604:ESF917604 EHD917604:EIJ917604 DXH917604:DYN917604 DNL917604:DOR917604 DDP917604:DEV917604 CTT917604:CUZ917604 CJX917604:CLD917604 CAB917604:CBH917604 BQF917604:BRL917604 BGJ917604:BHP917604 AWN917604:AXT917604 AMR917604:ANX917604 ACV917604:AEB917604 SZ917604:UF917604 JD917604:KJ917604 B917604:AM917604 WVP852068:WWV852068 WLT852068:WMZ852068 WBX852068:WDD852068 VSB852068:VTH852068 VIF852068:VJL852068 UYJ852068:UZP852068 UON852068:UPT852068 UER852068:UFX852068 TUV852068:TWB852068 TKZ852068:TMF852068 TBD852068:TCJ852068 SRH852068:SSN852068 SHL852068:SIR852068 RXP852068:RYV852068 RNT852068:ROZ852068 RDX852068:RFD852068 QUB852068:QVH852068 QKF852068:QLL852068 QAJ852068:QBP852068 PQN852068:PRT852068 PGR852068:PHX852068 OWV852068:OYB852068 OMZ852068:OOF852068 ODD852068:OEJ852068 NTH852068:NUN852068 NJL852068:NKR852068 MZP852068:NAV852068 MPT852068:MQZ852068 MFX852068:MHD852068 LWB852068:LXH852068 LMF852068:LNL852068 LCJ852068:LDP852068 KSN852068:KTT852068 KIR852068:KJX852068 JYV852068:KAB852068 JOZ852068:JQF852068 JFD852068:JGJ852068 IVH852068:IWN852068 ILL852068:IMR852068 IBP852068:ICV852068 HRT852068:HSZ852068 HHX852068:HJD852068 GYB852068:GZH852068 GOF852068:GPL852068 GEJ852068:GFP852068 FUN852068:FVT852068 FKR852068:FLX852068 FAV852068:FCB852068 EQZ852068:ESF852068 EHD852068:EIJ852068 DXH852068:DYN852068 DNL852068:DOR852068 DDP852068:DEV852068 CTT852068:CUZ852068 CJX852068:CLD852068 CAB852068:CBH852068 BQF852068:BRL852068 BGJ852068:BHP852068 AWN852068:AXT852068 AMR852068:ANX852068 ACV852068:AEB852068 SZ852068:UF852068 JD852068:KJ852068 B852068:AM852068 WVP786532:WWV786532 WLT786532:WMZ786532 WBX786532:WDD786532 VSB786532:VTH786532 VIF786532:VJL786532 UYJ786532:UZP786532 UON786532:UPT786532 UER786532:UFX786532 TUV786532:TWB786532 TKZ786532:TMF786532 TBD786532:TCJ786532 SRH786532:SSN786532 SHL786532:SIR786532 RXP786532:RYV786532 RNT786532:ROZ786532 RDX786532:RFD786532 QUB786532:QVH786532 QKF786532:QLL786532 QAJ786532:QBP786532 PQN786532:PRT786532 PGR786532:PHX786532 OWV786532:OYB786532 OMZ786532:OOF786532 ODD786532:OEJ786532 NTH786532:NUN786532 NJL786532:NKR786532 MZP786532:NAV786532 MPT786532:MQZ786532 MFX786532:MHD786532 LWB786532:LXH786532 LMF786532:LNL786532 LCJ786532:LDP786532 KSN786532:KTT786532 KIR786532:KJX786532 JYV786532:KAB786532 JOZ786532:JQF786532 JFD786532:JGJ786532 IVH786532:IWN786532 ILL786532:IMR786532 IBP786532:ICV786532 HRT786532:HSZ786532 HHX786532:HJD786532 GYB786532:GZH786532 GOF786532:GPL786532 GEJ786532:GFP786532 FUN786532:FVT786532 FKR786532:FLX786532 FAV786532:FCB786532 EQZ786532:ESF786532 EHD786532:EIJ786532 DXH786532:DYN786532 DNL786532:DOR786532 DDP786532:DEV786532 CTT786532:CUZ786532 CJX786532:CLD786532 CAB786532:CBH786532 BQF786532:BRL786532 BGJ786532:BHP786532 AWN786532:AXT786532 AMR786532:ANX786532 ACV786532:AEB786532 SZ786532:UF786532 JD786532:KJ786532 B786532:AM786532 WVP720996:WWV720996 WLT720996:WMZ720996 WBX720996:WDD720996 VSB720996:VTH720996 VIF720996:VJL720996 UYJ720996:UZP720996 UON720996:UPT720996 UER720996:UFX720996 TUV720996:TWB720996 TKZ720996:TMF720996 TBD720996:TCJ720996 SRH720996:SSN720996 SHL720996:SIR720996 RXP720996:RYV720996 RNT720996:ROZ720996 RDX720996:RFD720996 QUB720996:QVH720996 QKF720996:QLL720996 QAJ720996:QBP720996 PQN720996:PRT720996 PGR720996:PHX720996 OWV720996:OYB720996 OMZ720996:OOF720996 ODD720996:OEJ720996 NTH720996:NUN720996 NJL720996:NKR720996 MZP720996:NAV720996 MPT720996:MQZ720996 MFX720996:MHD720996 LWB720996:LXH720996 LMF720996:LNL720996 LCJ720996:LDP720996 KSN720996:KTT720996 KIR720996:KJX720996 JYV720996:KAB720996 JOZ720996:JQF720996 JFD720996:JGJ720996 IVH720996:IWN720996 ILL720996:IMR720996 IBP720996:ICV720996 HRT720996:HSZ720996 HHX720996:HJD720996 GYB720996:GZH720996 GOF720996:GPL720996 GEJ720996:GFP720996 FUN720996:FVT720996 FKR720996:FLX720996 FAV720996:FCB720996 EQZ720996:ESF720996 EHD720996:EIJ720996 DXH720996:DYN720996 DNL720996:DOR720996 DDP720996:DEV720996 CTT720996:CUZ720996 CJX720996:CLD720996 CAB720996:CBH720996 BQF720996:BRL720996 BGJ720996:BHP720996 AWN720996:AXT720996 AMR720996:ANX720996 ACV720996:AEB720996 SZ720996:UF720996 JD720996:KJ720996 B720996:AM720996 WVP655460:WWV655460 WLT655460:WMZ655460 WBX655460:WDD655460 VSB655460:VTH655460 VIF655460:VJL655460 UYJ655460:UZP655460 UON655460:UPT655460 UER655460:UFX655460 TUV655460:TWB655460 TKZ655460:TMF655460 TBD655460:TCJ655460 SRH655460:SSN655460 SHL655460:SIR655460 RXP655460:RYV655460 RNT655460:ROZ655460 RDX655460:RFD655460 QUB655460:QVH655460 QKF655460:QLL655460 QAJ655460:QBP655460 PQN655460:PRT655460 PGR655460:PHX655460 OWV655460:OYB655460 OMZ655460:OOF655460 ODD655460:OEJ655460 NTH655460:NUN655460 NJL655460:NKR655460 MZP655460:NAV655460 MPT655460:MQZ655460 MFX655460:MHD655460 LWB655460:LXH655460 LMF655460:LNL655460 LCJ655460:LDP655460 KSN655460:KTT655460 KIR655460:KJX655460 JYV655460:KAB655460 JOZ655460:JQF655460 JFD655460:JGJ655460 IVH655460:IWN655460 ILL655460:IMR655460 IBP655460:ICV655460 HRT655460:HSZ655460 HHX655460:HJD655460 GYB655460:GZH655460 GOF655460:GPL655460 GEJ655460:GFP655460 FUN655460:FVT655460 FKR655460:FLX655460 FAV655460:FCB655460 EQZ655460:ESF655460 EHD655460:EIJ655460 DXH655460:DYN655460 DNL655460:DOR655460 DDP655460:DEV655460 CTT655460:CUZ655460 CJX655460:CLD655460 CAB655460:CBH655460 BQF655460:BRL655460 BGJ655460:BHP655460 AWN655460:AXT655460 AMR655460:ANX655460 ACV655460:AEB655460 SZ655460:UF655460 JD655460:KJ655460 B655460:AM655460 WVP589924:WWV589924 WLT589924:WMZ589924 WBX589924:WDD589924 VSB589924:VTH589924 VIF589924:VJL589924 UYJ589924:UZP589924 UON589924:UPT589924 UER589924:UFX589924 TUV589924:TWB589924 TKZ589924:TMF589924 TBD589924:TCJ589924 SRH589924:SSN589924 SHL589924:SIR589924 RXP589924:RYV589924 RNT589924:ROZ589924 RDX589924:RFD589924 QUB589924:QVH589924 QKF589924:QLL589924 QAJ589924:QBP589924 PQN589924:PRT589924 PGR589924:PHX589924 OWV589924:OYB589924 OMZ589924:OOF589924 ODD589924:OEJ589924 NTH589924:NUN589924 NJL589924:NKR589924 MZP589924:NAV589924 MPT589924:MQZ589924 MFX589924:MHD589924 LWB589924:LXH589924 LMF589924:LNL589924 LCJ589924:LDP589924 KSN589924:KTT589924 KIR589924:KJX589924 JYV589924:KAB589924 JOZ589924:JQF589924 JFD589924:JGJ589924 IVH589924:IWN589924 ILL589924:IMR589924 IBP589924:ICV589924 HRT589924:HSZ589924 HHX589924:HJD589924 GYB589924:GZH589924 GOF589924:GPL589924 GEJ589924:GFP589924 FUN589924:FVT589924 FKR589924:FLX589924 FAV589924:FCB589924 EQZ589924:ESF589924 EHD589924:EIJ589924 DXH589924:DYN589924 DNL589924:DOR589924 DDP589924:DEV589924 CTT589924:CUZ589924 CJX589924:CLD589924 CAB589924:CBH589924 BQF589924:BRL589924 BGJ589924:BHP589924 AWN589924:AXT589924 AMR589924:ANX589924 ACV589924:AEB589924 SZ589924:UF589924 JD589924:KJ589924 B589924:AM589924 WVP524388:WWV524388 WLT524388:WMZ524388 WBX524388:WDD524388 VSB524388:VTH524388 VIF524388:VJL524388 UYJ524388:UZP524388 UON524388:UPT524388 UER524388:UFX524388 TUV524388:TWB524388 TKZ524388:TMF524388 TBD524388:TCJ524388 SRH524388:SSN524388 SHL524388:SIR524388 RXP524388:RYV524388 RNT524388:ROZ524388 RDX524388:RFD524388 QUB524388:QVH524388 QKF524388:QLL524388 QAJ524388:QBP524388 PQN524388:PRT524388 PGR524388:PHX524388 OWV524388:OYB524388 OMZ524388:OOF524388 ODD524388:OEJ524388 NTH524388:NUN524388 NJL524388:NKR524388 MZP524388:NAV524388 MPT524388:MQZ524388 MFX524388:MHD524388 LWB524388:LXH524388 LMF524388:LNL524388 LCJ524388:LDP524388 KSN524388:KTT524388 KIR524388:KJX524388 JYV524388:KAB524388 JOZ524388:JQF524388 JFD524388:JGJ524388 IVH524388:IWN524388 ILL524388:IMR524388 IBP524388:ICV524388 HRT524388:HSZ524388 HHX524388:HJD524388 GYB524388:GZH524388 GOF524388:GPL524388 GEJ524388:GFP524388 FUN524388:FVT524388 FKR524388:FLX524388 FAV524388:FCB524388 EQZ524388:ESF524388 EHD524388:EIJ524388 DXH524388:DYN524388 DNL524388:DOR524388 DDP524388:DEV524388 CTT524388:CUZ524388 CJX524388:CLD524388 CAB524388:CBH524388 BQF524388:BRL524388 BGJ524388:BHP524388 AWN524388:AXT524388 AMR524388:ANX524388 ACV524388:AEB524388 SZ524388:UF524388 JD524388:KJ524388 B524388:AM524388 WVP458852:WWV458852 WLT458852:WMZ458852 WBX458852:WDD458852 VSB458852:VTH458852 VIF458852:VJL458852 UYJ458852:UZP458852 UON458852:UPT458852 UER458852:UFX458852 TUV458852:TWB458852 TKZ458852:TMF458852 TBD458852:TCJ458852 SRH458852:SSN458852 SHL458852:SIR458852 RXP458852:RYV458852 RNT458852:ROZ458852 RDX458852:RFD458852 QUB458852:QVH458852 QKF458852:QLL458852 QAJ458852:QBP458852 PQN458852:PRT458852 PGR458852:PHX458852 OWV458852:OYB458852 OMZ458852:OOF458852 ODD458852:OEJ458852 NTH458852:NUN458852 NJL458852:NKR458852 MZP458852:NAV458852 MPT458852:MQZ458852 MFX458852:MHD458852 LWB458852:LXH458852 LMF458852:LNL458852 LCJ458852:LDP458852 KSN458852:KTT458852 KIR458852:KJX458852 JYV458852:KAB458852 JOZ458852:JQF458852 JFD458852:JGJ458852 IVH458852:IWN458852 ILL458852:IMR458852 IBP458852:ICV458852 HRT458852:HSZ458852 HHX458852:HJD458852 GYB458852:GZH458852 GOF458852:GPL458852 GEJ458852:GFP458852 FUN458852:FVT458852 FKR458852:FLX458852 FAV458852:FCB458852 EQZ458852:ESF458852 EHD458852:EIJ458852 DXH458852:DYN458852 DNL458852:DOR458852 DDP458852:DEV458852 CTT458852:CUZ458852 CJX458852:CLD458852 CAB458852:CBH458852 BQF458852:BRL458852 BGJ458852:BHP458852 AWN458852:AXT458852 AMR458852:ANX458852 ACV458852:AEB458852 SZ458852:UF458852 JD458852:KJ458852 B458852:AM458852 WVP393316:WWV393316 WLT393316:WMZ393316 WBX393316:WDD393316 VSB393316:VTH393316 VIF393316:VJL393316 UYJ393316:UZP393316 UON393316:UPT393316 UER393316:UFX393316 TUV393316:TWB393316 TKZ393316:TMF393316 TBD393316:TCJ393316 SRH393316:SSN393316 SHL393316:SIR393316 RXP393316:RYV393316 RNT393316:ROZ393316 RDX393316:RFD393316 QUB393316:QVH393316 QKF393316:QLL393316 QAJ393316:QBP393316 PQN393316:PRT393316 PGR393316:PHX393316 OWV393316:OYB393316 OMZ393316:OOF393316 ODD393316:OEJ393316 NTH393316:NUN393316 NJL393316:NKR393316 MZP393316:NAV393316 MPT393316:MQZ393316 MFX393316:MHD393316 LWB393316:LXH393316 LMF393316:LNL393316 LCJ393316:LDP393316 KSN393316:KTT393316 KIR393316:KJX393316 JYV393316:KAB393316 JOZ393316:JQF393316 JFD393316:JGJ393316 IVH393316:IWN393316 ILL393316:IMR393316 IBP393316:ICV393316 HRT393316:HSZ393316 HHX393316:HJD393316 GYB393316:GZH393316 GOF393316:GPL393316 GEJ393316:GFP393316 FUN393316:FVT393316 FKR393316:FLX393316 FAV393316:FCB393316 EQZ393316:ESF393316 EHD393316:EIJ393316 DXH393316:DYN393316 DNL393316:DOR393316 DDP393316:DEV393316 CTT393316:CUZ393316 CJX393316:CLD393316 CAB393316:CBH393316 BQF393316:BRL393316 BGJ393316:BHP393316 AWN393316:AXT393316 AMR393316:ANX393316 ACV393316:AEB393316 SZ393316:UF393316 JD393316:KJ393316 B393316:AM393316 WVP327780:WWV327780 WLT327780:WMZ327780 WBX327780:WDD327780 VSB327780:VTH327780 VIF327780:VJL327780 UYJ327780:UZP327780 UON327780:UPT327780 UER327780:UFX327780 TUV327780:TWB327780 TKZ327780:TMF327780 TBD327780:TCJ327780 SRH327780:SSN327780 SHL327780:SIR327780 RXP327780:RYV327780 RNT327780:ROZ327780 RDX327780:RFD327780 QUB327780:QVH327780 QKF327780:QLL327780 QAJ327780:QBP327780 PQN327780:PRT327780 PGR327780:PHX327780 OWV327780:OYB327780 OMZ327780:OOF327780 ODD327780:OEJ327780 NTH327780:NUN327780 NJL327780:NKR327780 MZP327780:NAV327780 MPT327780:MQZ327780 MFX327780:MHD327780 LWB327780:LXH327780 LMF327780:LNL327780 LCJ327780:LDP327780 KSN327780:KTT327780 KIR327780:KJX327780 JYV327780:KAB327780 JOZ327780:JQF327780 JFD327780:JGJ327780 IVH327780:IWN327780 ILL327780:IMR327780 IBP327780:ICV327780 HRT327780:HSZ327780 HHX327780:HJD327780 GYB327780:GZH327780 GOF327780:GPL327780 GEJ327780:GFP327780 FUN327780:FVT327780 FKR327780:FLX327780 FAV327780:FCB327780 EQZ327780:ESF327780 EHD327780:EIJ327780 DXH327780:DYN327780 DNL327780:DOR327780 DDP327780:DEV327780 CTT327780:CUZ327780 CJX327780:CLD327780 CAB327780:CBH327780 BQF327780:BRL327780 BGJ327780:BHP327780 AWN327780:AXT327780 AMR327780:ANX327780 ACV327780:AEB327780 SZ327780:UF327780 JD327780:KJ327780 B327780:AM327780 WVP262244:WWV262244 WLT262244:WMZ262244 WBX262244:WDD262244 VSB262244:VTH262244 VIF262244:VJL262244 UYJ262244:UZP262244 UON262244:UPT262244 UER262244:UFX262244 TUV262244:TWB262244 TKZ262244:TMF262244 TBD262244:TCJ262244 SRH262244:SSN262244 SHL262244:SIR262244 RXP262244:RYV262244 RNT262244:ROZ262244 RDX262244:RFD262244 QUB262244:QVH262244 QKF262244:QLL262244 QAJ262244:QBP262244 PQN262244:PRT262244 PGR262244:PHX262244 OWV262244:OYB262244 OMZ262244:OOF262244 ODD262244:OEJ262244 NTH262244:NUN262244 NJL262244:NKR262244 MZP262244:NAV262244 MPT262244:MQZ262244 MFX262244:MHD262244 LWB262244:LXH262244 LMF262244:LNL262244 LCJ262244:LDP262244 KSN262244:KTT262244 KIR262244:KJX262244 JYV262244:KAB262244 JOZ262244:JQF262244 JFD262244:JGJ262244 IVH262244:IWN262244 ILL262244:IMR262244 IBP262244:ICV262244 HRT262244:HSZ262244 HHX262244:HJD262244 GYB262244:GZH262244 GOF262244:GPL262244 GEJ262244:GFP262244 FUN262244:FVT262244 FKR262244:FLX262244 FAV262244:FCB262244 EQZ262244:ESF262244 EHD262244:EIJ262244 DXH262244:DYN262244 DNL262244:DOR262244 DDP262244:DEV262244 CTT262244:CUZ262244 CJX262244:CLD262244 CAB262244:CBH262244 BQF262244:BRL262244 BGJ262244:BHP262244 AWN262244:AXT262244 AMR262244:ANX262244 ACV262244:AEB262244 SZ262244:UF262244 JD262244:KJ262244 B262244:AM262244 WVP196708:WWV196708 WLT196708:WMZ196708 WBX196708:WDD196708 VSB196708:VTH196708 VIF196708:VJL196708 UYJ196708:UZP196708 UON196708:UPT196708 UER196708:UFX196708 TUV196708:TWB196708 TKZ196708:TMF196708 TBD196708:TCJ196708 SRH196708:SSN196708 SHL196708:SIR196708 RXP196708:RYV196708 RNT196708:ROZ196708 RDX196708:RFD196708 QUB196708:QVH196708 QKF196708:QLL196708 QAJ196708:QBP196708 PQN196708:PRT196708 PGR196708:PHX196708 OWV196708:OYB196708 OMZ196708:OOF196708 ODD196708:OEJ196708 NTH196708:NUN196708 NJL196708:NKR196708 MZP196708:NAV196708 MPT196708:MQZ196708 MFX196708:MHD196708 LWB196708:LXH196708 LMF196708:LNL196708 LCJ196708:LDP196708 KSN196708:KTT196708 KIR196708:KJX196708 JYV196708:KAB196708 JOZ196708:JQF196708 JFD196708:JGJ196708 IVH196708:IWN196708 ILL196708:IMR196708 IBP196708:ICV196708 HRT196708:HSZ196708 HHX196708:HJD196708 GYB196708:GZH196708 GOF196708:GPL196708 GEJ196708:GFP196708 FUN196708:FVT196708 FKR196708:FLX196708 FAV196708:FCB196708 EQZ196708:ESF196708 EHD196708:EIJ196708 DXH196708:DYN196708 DNL196708:DOR196708 DDP196708:DEV196708 CTT196708:CUZ196708 CJX196708:CLD196708 CAB196708:CBH196708 BQF196708:BRL196708 BGJ196708:BHP196708 AWN196708:AXT196708 AMR196708:ANX196708 ACV196708:AEB196708 SZ196708:UF196708 JD196708:KJ196708 B196708:AM196708 WVP131172:WWV131172 WLT131172:WMZ131172 WBX131172:WDD131172 VSB131172:VTH131172 VIF131172:VJL131172 UYJ131172:UZP131172 UON131172:UPT131172 UER131172:UFX131172 TUV131172:TWB131172 TKZ131172:TMF131172 TBD131172:TCJ131172 SRH131172:SSN131172 SHL131172:SIR131172 RXP131172:RYV131172 RNT131172:ROZ131172 RDX131172:RFD131172 QUB131172:QVH131172 QKF131172:QLL131172 QAJ131172:QBP131172 PQN131172:PRT131172 PGR131172:PHX131172 OWV131172:OYB131172 OMZ131172:OOF131172 ODD131172:OEJ131172 NTH131172:NUN131172 NJL131172:NKR131172 MZP131172:NAV131172 MPT131172:MQZ131172 MFX131172:MHD131172 LWB131172:LXH131172 LMF131172:LNL131172 LCJ131172:LDP131172 KSN131172:KTT131172 KIR131172:KJX131172 JYV131172:KAB131172 JOZ131172:JQF131172 JFD131172:JGJ131172 IVH131172:IWN131172 ILL131172:IMR131172 IBP131172:ICV131172 HRT131172:HSZ131172 HHX131172:HJD131172 GYB131172:GZH131172 GOF131172:GPL131172 GEJ131172:GFP131172 FUN131172:FVT131172 FKR131172:FLX131172 FAV131172:FCB131172 EQZ131172:ESF131172 EHD131172:EIJ131172 DXH131172:DYN131172 DNL131172:DOR131172 DDP131172:DEV131172 CTT131172:CUZ131172 CJX131172:CLD131172 CAB131172:CBH131172 BQF131172:BRL131172 BGJ131172:BHP131172 AWN131172:AXT131172 AMR131172:ANX131172 ACV131172:AEB131172 SZ131172:UF131172 JD131172:KJ131172 B131172:AM131172 WVP65636:WWV65636 WLT65636:WMZ65636 WBX65636:WDD65636 VSB65636:VTH65636 VIF65636:VJL65636 UYJ65636:UZP65636 UON65636:UPT65636 UER65636:UFX65636 TUV65636:TWB65636 TKZ65636:TMF65636 TBD65636:TCJ65636 SRH65636:SSN65636 SHL65636:SIR65636 RXP65636:RYV65636 RNT65636:ROZ65636 RDX65636:RFD65636 QUB65636:QVH65636 QKF65636:QLL65636 QAJ65636:QBP65636 PQN65636:PRT65636 PGR65636:PHX65636 OWV65636:OYB65636 OMZ65636:OOF65636 ODD65636:OEJ65636 NTH65636:NUN65636 NJL65636:NKR65636 MZP65636:NAV65636 MPT65636:MQZ65636 MFX65636:MHD65636 LWB65636:LXH65636 LMF65636:LNL65636 LCJ65636:LDP65636 KSN65636:KTT65636 KIR65636:KJX65636 JYV65636:KAB65636 JOZ65636:JQF65636 JFD65636:JGJ65636 IVH65636:IWN65636 ILL65636:IMR65636 IBP65636:ICV65636 HRT65636:HSZ65636 HHX65636:HJD65636 GYB65636:GZH65636 GOF65636:GPL65636 GEJ65636:GFP65636 FUN65636:FVT65636 FKR65636:FLX65636 FAV65636:FCB65636 EQZ65636:ESF65636 EHD65636:EIJ65636 DXH65636:DYN65636 DNL65636:DOR65636 DDP65636:DEV65636 CTT65636:CUZ65636 CJX65636:CLD65636 CAB65636:CBH65636 BQF65636:BRL65636 BGJ65636:BHP65636 AWN65636:AXT65636 AMR65636:ANX65636 ACV65636:AEB65636 SZ65636:UF65636 JD65636:KJ65636 B65636:AM65636 WVP85:WWV85 WLT85:WMZ85 WBX85:WDD85 VSB85:VTH85 VIF85:VJL85 UYJ85:UZP85 UON85:UPT85 UER85:UFX85 TUV85:TWB85 TKZ85:TMF85 TBD85:TCJ85 SRH85:SSN85 SHL85:SIR85 RXP85:RYV85 RNT85:ROZ85 RDX85:RFD85 QUB85:QVH85 QKF85:QLL85 QAJ85:QBP85 PQN85:PRT85 PGR85:PHX85 OWV85:OYB85 OMZ85:OOF85 ODD85:OEJ85 NTH85:NUN85 NJL85:NKR85 MZP85:NAV85 MPT85:MQZ85 MFX85:MHD85 LWB85:LXH85 LMF85:LNL85 LCJ85:LDP85 KSN85:KTT85 KIR85:KJX85 JYV85:KAB85 JOZ85:JQF85 JFD85:JGJ85 IVH85:IWN85 ILL85:IMR85 IBP85:ICV85 HRT85:HSZ85 HHX85:HJD85 GYB85:GZH85 GOF85:GPL85 GEJ85:GFP85 FUN85:FVT85 FKR85:FLX85 FAV85:FCB85 EQZ85:ESF85 EHD85:EIJ85 DXH85:DYN85 DNL85:DOR85 DDP85:DEV85 CTT85:CUZ85 CJX85:CLD85 CAB85:CBH85 BQF85:BRL85 BGJ85:BHP85 AWN85:AXT85 AMR85:ANX85 ACV85:AEB85 SZ85:UF85 JD85:KJ85 WBX983138:WDD983138 WVP983142:WWV983142 WLT983142:WMZ983142 WBX983142:WDD983142 VSB983142:VTH983142 VIF983142:VJL983142 UYJ983142:UZP983142 UON983142:UPT983142 UER983142:UFX983142 TUV983142:TWB983142 TKZ983142:TMF983142 TBD983142:TCJ983142 SRH983142:SSN983142 SHL983142:SIR983142 RXP983142:RYV983142 RNT983142:ROZ983142 RDX983142:RFD983142 QUB983142:QVH983142 QKF983142:QLL983142 QAJ983142:QBP983142 PQN983142:PRT983142 PGR983142:PHX983142 OWV983142:OYB983142 OMZ983142:OOF983142 ODD983142:OEJ983142 NTH983142:NUN983142 NJL983142:NKR983142 MZP983142:NAV983142 MPT983142:MQZ983142 MFX983142:MHD983142 LWB983142:LXH983142 LMF983142:LNL983142 LCJ983142:LDP983142 KSN983142:KTT983142 KIR983142:KJX983142 JYV983142:KAB983142 JOZ983142:JQF983142 JFD983142:JGJ983142 IVH983142:IWN983142 ILL983142:IMR983142 IBP983142:ICV983142 HRT983142:HSZ983142 HHX983142:HJD983142 GYB983142:GZH983142 GOF983142:GPL983142 GEJ983142:GFP983142 FUN983142:FVT983142 FKR983142:FLX983142 FAV983142:FCB983142 EQZ983142:ESF983142 EHD983142:EIJ983142 DXH983142:DYN983142 DNL983142:DOR983142 DDP983142:DEV983142 CTT983142:CUZ983142 CJX983142:CLD983142 CAB983142:CBH983142 BQF983142:BRL983142 BGJ983142:BHP983142 AWN983142:AXT983142 AMR983142:ANX983142 ACV983142:AEB983142 SZ983142:UF983142 JD983142:KJ983142 B983142:AM983142 WVP917606:WWV917606 WLT917606:WMZ917606 WBX917606:WDD917606 VSB917606:VTH917606 VIF917606:VJL917606 UYJ917606:UZP917606 UON917606:UPT917606 UER917606:UFX917606 TUV917606:TWB917606 TKZ917606:TMF917606 TBD917606:TCJ917606 SRH917606:SSN917606 SHL917606:SIR917606 RXP917606:RYV917606 RNT917606:ROZ917606 RDX917606:RFD917606 QUB917606:QVH917606 QKF917606:QLL917606 QAJ917606:QBP917606 PQN917606:PRT917606 PGR917606:PHX917606 OWV917606:OYB917606 OMZ917606:OOF917606 ODD917606:OEJ917606 NTH917606:NUN917606 NJL917606:NKR917606 MZP917606:NAV917606 MPT917606:MQZ917606 MFX917606:MHD917606 LWB917606:LXH917606 LMF917606:LNL917606 LCJ917606:LDP917606 KSN917606:KTT917606 KIR917606:KJX917606 JYV917606:KAB917606 JOZ917606:JQF917606 JFD917606:JGJ917606 IVH917606:IWN917606 ILL917606:IMR917606 IBP917606:ICV917606 HRT917606:HSZ917606 HHX917606:HJD917606 GYB917606:GZH917606 GOF917606:GPL917606 GEJ917606:GFP917606 FUN917606:FVT917606 FKR917606:FLX917606 FAV917606:FCB917606 EQZ917606:ESF917606 EHD917606:EIJ917606 DXH917606:DYN917606 DNL917606:DOR917606 DDP917606:DEV917606 CTT917606:CUZ917606 CJX917606:CLD917606 CAB917606:CBH917606 BQF917606:BRL917606 BGJ917606:BHP917606 AWN917606:AXT917606 AMR917606:ANX917606 ACV917606:AEB917606 SZ917606:UF917606 JD917606:KJ917606 B917606:AM917606 WVP852070:WWV852070 WLT852070:WMZ852070 WBX852070:WDD852070 VSB852070:VTH852070 VIF852070:VJL852070 UYJ852070:UZP852070 UON852070:UPT852070 UER852070:UFX852070 TUV852070:TWB852070 TKZ852070:TMF852070 TBD852070:TCJ852070 SRH852070:SSN852070 SHL852070:SIR852070 RXP852070:RYV852070 RNT852070:ROZ852070 RDX852070:RFD852070 QUB852070:QVH852070 QKF852070:QLL852070 QAJ852070:QBP852070 PQN852070:PRT852070 PGR852070:PHX852070 OWV852070:OYB852070 OMZ852070:OOF852070 ODD852070:OEJ852070 NTH852070:NUN852070 NJL852070:NKR852070 MZP852070:NAV852070 MPT852070:MQZ852070 MFX852070:MHD852070 LWB852070:LXH852070 LMF852070:LNL852070 LCJ852070:LDP852070 KSN852070:KTT852070 KIR852070:KJX852070 JYV852070:KAB852070 JOZ852070:JQF852070 JFD852070:JGJ852070 IVH852070:IWN852070 ILL852070:IMR852070 IBP852070:ICV852070 HRT852070:HSZ852070 HHX852070:HJD852070 GYB852070:GZH852070 GOF852070:GPL852070 GEJ852070:GFP852070 FUN852070:FVT852070 FKR852070:FLX852070 FAV852070:FCB852070 EQZ852070:ESF852070 EHD852070:EIJ852070 DXH852070:DYN852070 DNL852070:DOR852070 DDP852070:DEV852070 CTT852070:CUZ852070 CJX852070:CLD852070 CAB852070:CBH852070 BQF852070:BRL852070 BGJ852070:BHP852070 AWN852070:AXT852070 AMR852070:ANX852070 ACV852070:AEB852070 SZ852070:UF852070 JD852070:KJ852070 B852070:AM852070 WVP786534:WWV786534 WLT786534:WMZ786534 WBX786534:WDD786534 VSB786534:VTH786534 VIF786534:VJL786534 UYJ786534:UZP786534 UON786534:UPT786534 UER786534:UFX786534 TUV786534:TWB786534 TKZ786534:TMF786534 TBD786534:TCJ786534 SRH786534:SSN786534 SHL786534:SIR786534 RXP786534:RYV786534 RNT786534:ROZ786534 RDX786534:RFD786534 QUB786534:QVH786534 QKF786534:QLL786534 QAJ786534:QBP786534 PQN786534:PRT786534 PGR786534:PHX786534 OWV786534:OYB786534 OMZ786534:OOF786534 ODD786534:OEJ786534 NTH786534:NUN786534 NJL786534:NKR786534 MZP786534:NAV786534 MPT786534:MQZ786534 MFX786534:MHD786534 LWB786534:LXH786534 LMF786534:LNL786534 LCJ786534:LDP786534 KSN786534:KTT786534 KIR786534:KJX786534 JYV786534:KAB786534 JOZ786534:JQF786534 JFD786534:JGJ786534 IVH786534:IWN786534 ILL786534:IMR786534 IBP786534:ICV786534 HRT786534:HSZ786534 HHX786534:HJD786534 GYB786534:GZH786534 GOF786534:GPL786534 GEJ786534:GFP786534 FUN786534:FVT786534 FKR786534:FLX786534 FAV786534:FCB786534 EQZ786534:ESF786534 EHD786534:EIJ786534 DXH786534:DYN786534 DNL786534:DOR786534 DDP786534:DEV786534 CTT786534:CUZ786534 CJX786534:CLD786534 CAB786534:CBH786534 BQF786534:BRL786534 BGJ786534:BHP786534 AWN786534:AXT786534 AMR786534:ANX786534 ACV786534:AEB786534 SZ786534:UF786534 JD786534:KJ786534 B786534:AM786534 WVP720998:WWV720998 WLT720998:WMZ720998 WBX720998:WDD720998 VSB720998:VTH720998 VIF720998:VJL720998 UYJ720998:UZP720998 UON720998:UPT720998 UER720998:UFX720998 TUV720998:TWB720998 TKZ720998:TMF720998 TBD720998:TCJ720998 SRH720998:SSN720998 SHL720998:SIR720998 RXP720998:RYV720998 RNT720998:ROZ720998 RDX720998:RFD720998 QUB720998:QVH720998 QKF720998:QLL720998 QAJ720998:QBP720998 PQN720998:PRT720998 PGR720998:PHX720998 OWV720998:OYB720998 OMZ720998:OOF720998 ODD720998:OEJ720998 NTH720998:NUN720998 NJL720998:NKR720998 MZP720998:NAV720998 MPT720998:MQZ720998 MFX720998:MHD720998 LWB720998:LXH720998 LMF720998:LNL720998 LCJ720998:LDP720998 KSN720998:KTT720998 KIR720998:KJX720998 JYV720998:KAB720998 JOZ720998:JQF720998 JFD720998:JGJ720998 IVH720998:IWN720998 ILL720998:IMR720998 IBP720998:ICV720998 HRT720998:HSZ720998 HHX720998:HJD720998 GYB720998:GZH720998 GOF720998:GPL720998 GEJ720998:GFP720998 FUN720998:FVT720998 FKR720998:FLX720998 FAV720998:FCB720998 EQZ720998:ESF720998 EHD720998:EIJ720998 DXH720998:DYN720998 DNL720998:DOR720998 DDP720998:DEV720998 CTT720998:CUZ720998 CJX720998:CLD720998 CAB720998:CBH720998 BQF720998:BRL720998 BGJ720998:BHP720998 AWN720998:AXT720998 AMR720998:ANX720998 ACV720998:AEB720998 SZ720998:UF720998 JD720998:KJ720998 B720998:AM720998 WVP655462:WWV655462 WLT655462:WMZ655462 WBX655462:WDD655462 VSB655462:VTH655462 VIF655462:VJL655462 UYJ655462:UZP655462 UON655462:UPT655462 UER655462:UFX655462 TUV655462:TWB655462 TKZ655462:TMF655462 TBD655462:TCJ655462 SRH655462:SSN655462 SHL655462:SIR655462 RXP655462:RYV655462 RNT655462:ROZ655462 RDX655462:RFD655462 QUB655462:QVH655462 QKF655462:QLL655462 QAJ655462:QBP655462 PQN655462:PRT655462 PGR655462:PHX655462 OWV655462:OYB655462 OMZ655462:OOF655462 ODD655462:OEJ655462 NTH655462:NUN655462 NJL655462:NKR655462 MZP655462:NAV655462 MPT655462:MQZ655462 MFX655462:MHD655462 LWB655462:LXH655462 LMF655462:LNL655462 LCJ655462:LDP655462 KSN655462:KTT655462 KIR655462:KJX655462 JYV655462:KAB655462 JOZ655462:JQF655462 JFD655462:JGJ655462 IVH655462:IWN655462 ILL655462:IMR655462 IBP655462:ICV655462 HRT655462:HSZ655462 HHX655462:HJD655462 GYB655462:GZH655462 GOF655462:GPL655462 GEJ655462:GFP655462 FUN655462:FVT655462 FKR655462:FLX655462 FAV655462:FCB655462 EQZ655462:ESF655462 EHD655462:EIJ655462 DXH655462:DYN655462 DNL655462:DOR655462 DDP655462:DEV655462 CTT655462:CUZ655462 CJX655462:CLD655462 CAB655462:CBH655462 BQF655462:BRL655462 BGJ655462:BHP655462 AWN655462:AXT655462 AMR655462:ANX655462 ACV655462:AEB655462 SZ655462:UF655462 JD655462:KJ655462 B655462:AM655462 WVP589926:WWV589926 WLT589926:WMZ589926 WBX589926:WDD589926 VSB589926:VTH589926 VIF589926:VJL589926 UYJ589926:UZP589926 UON589926:UPT589926 UER589926:UFX589926 TUV589926:TWB589926 TKZ589926:TMF589926 TBD589926:TCJ589926 SRH589926:SSN589926 SHL589926:SIR589926 RXP589926:RYV589926 RNT589926:ROZ589926 RDX589926:RFD589926 QUB589926:QVH589926 QKF589926:QLL589926 QAJ589926:QBP589926 PQN589926:PRT589926 PGR589926:PHX589926 OWV589926:OYB589926 OMZ589926:OOF589926 ODD589926:OEJ589926 NTH589926:NUN589926 NJL589926:NKR589926 MZP589926:NAV589926 MPT589926:MQZ589926 MFX589926:MHD589926 LWB589926:LXH589926 LMF589926:LNL589926 LCJ589926:LDP589926 KSN589926:KTT589926 KIR589926:KJX589926 JYV589926:KAB589926 JOZ589926:JQF589926 JFD589926:JGJ589926 IVH589926:IWN589926 ILL589926:IMR589926 IBP589926:ICV589926 HRT589926:HSZ589926 HHX589926:HJD589926 GYB589926:GZH589926 GOF589926:GPL589926 GEJ589926:GFP589926 FUN589926:FVT589926 FKR589926:FLX589926 FAV589926:FCB589926 EQZ589926:ESF589926 EHD589926:EIJ589926 DXH589926:DYN589926 DNL589926:DOR589926 DDP589926:DEV589926 CTT589926:CUZ589926 CJX589926:CLD589926 CAB589926:CBH589926 BQF589926:BRL589926 BGJ589926:BHP589926 AWN589926:AXT589926 AMR589926:ANX589926 ACV589926:AEB589926 SZ589926:UF589926 JD589926:KJ589926 B589926:AM589926 WVP524390:WWV524390 WLT524390:WMZ524390 WBX524390:WDD524390 VSB524390:VTH524390 VIF524390:VJL524390 UYJ524390:UZP524390 UON524390:UPT524390 UER524390:UFX524390 TUV524390:TWB524390 TKZ524390:TMF524390 TBD524390:TCJ524390 SRH524390:SSN524390 SHL524390:SIR524390 RXP524390:RYV524390 RNT524390:ROZ524390 RDX524390:RFD524390 QUB524390:QVH524390 QKF524390:QLL524390 QAJ524390:QBP524390 PQN524390:PRT524390 PGR524390:PHX524390 OWV524390:OYB524390 OMZ524390:OOF524390 ODD524390:OEJ524390 NTH524390:NUN524390 NJL524390:NKR524390 MZP524390:NAV524390 MPT524390:MQZ524390 MFX524390:MHD524390 LWB524390:LXH524390 LMF524390:LNL524390 LCJ524390:LDP524390 KSN524390:KTT524390 KIR524390:KJX524390 JYV524390:KAB524390 JOZ524390:JQF524390 JFD524390:JGJ524390 IVH524390:IWN524390 ILL524390:IMR524390 IBP524390:ICV524390 HRT524390:HSZ524390 HHX524390:HJD524390 GYB524390:GZH524390 GOF524390:GPL524390 GEJ524390:GFP524390 FUN524390:FVT524390 FKR524390:FLX524390 FAV524390:FCB524390 EQZ524390:ESF524390 EHD524390:EIJ524390 DXH524390:DYN524390 DNL524390:DOR524390 DDP524390:DEV524390 CTT524390:CUZ524390 CJX524390:CLD524390 CAB524390:CBH524390 BQF524390:BRL524390 BGJ524390:BHP524390 AWN524390:AXT524390 AMR524390:ANX524390 ACV524390:AEB524390 SZ524390:UF524390 JD524390:KJ524390 B524390:AM524390 WVP458854:WWV458854 WLT458854:WMZ458854 WBX458854:WDD458854 VSB458854:VTH458854 VIF458854:VJL458854 UYJ458854:UZP458854 UON458854:UPT458854 UER458854:UFX458854 TUV458854:TWB458854 TKZ458854:TMF458854 TBD458854:TCJ458854 SRH458854:SSN458854 SHL458854:SIR458854 RXP458854:RYV458854 RNT458854:ROZ458854 RDX458854:RFD458854 QUB458854:QVH458854 QKF458854:QLL458854 QAJ458854:QBP458854 PQN458854:PRT458854 PGR458854:PHX458854 OWV458854:OYB458854 OMZ458854:OOF458854 ODD458854:OEJ458854 NTH458854:NUN458854 NJL458854:NKR458854 MZP458854:NAV458854 MPT458854:MQZ458854 MFX458854:MHD458854 LWB458854:LXH458854 LMF458854:LNL458854 LCJ458854:LDP458854 KSN458854:KTT458854 KIR458854:KJX458854 JYV458854:KAB458854 JOZ458854:JQF458854 JFD458854:JGJ458854 IVH458854:IWN458854 ILL458854:IMR458854 IBP458854:ICV458854 HRT458854:HSZ458854 HHX458854:HJD458854 GYB458854:GZH458854 GOF458854:GPL458854 GEJ458854:GFP458854 FUN458854:FVT458854 FKR458854:FLX458854 FAV458854:FCB458854 EQZ458854:ESF458854 EHD458854:EIJ458854 DXH458854:DYN458854 DNL458854:DOR458854 DDP458854:DEV458854 CTT458854:CUZ458854 CJX458854:CLD458854 CAB458854:CBH458854 BQF458854:BRL458854 BGJ458854:BHP458854 AWN458854:AXT458854 AMR458854:ANX458854 ACV458854:AEB458854 SZ458854:UF458854 JD458854:KJ458854 B458854:AM458854 WVP393318:WWV393318 WLT393318:WMZ393318 WBX393318:WDD393318 VSB393318:VTH393318 VIF393318:VJL393318 UYJ393318:UZP393318 UON393318:UPT393318 UER393318:UFX393318 TUV393318:TWB393318 TKZ393318:TMF393318 TBD393318:TCJ393318 SRH393318:SSN393318 SHL393318:SIR393318 RXP393318:RYV393318 RNT393318:ROZ393318 RDX393318:RFD393318 QUB393318:QVH393318 QKF393318:QLL393318 QAJ393318:QBP393318 PQN393318:PRT393318 PGR393318:PHX393318 OWV393318:OYB393318 OMZ393318:OOF393318 ODD393318:OEJ393318 NTH393318:NUN393318 NJL393318:NKR393318 MZP393318:NAV393318 MPT393318:MQZ393318 MFX393318:MHD393318 LWB393318:LXH393318 LMF393318:LNL393318 LCJ393318:LDP393318 KSN393318:KTT393318 KIR393318:KJX393318 JYV393318:KAB393318 JOZ393318:JQF393318 JFD393318:JGJ393318 IVH393318:IWN393318 ILL393318:IMR393318 IBP393318:ICV393318 HRT393318:HSZ393318 HHX393318:HJD393318 GYB393318:GZH393318 GOF393318:GPL393318 GEJ393318:GFP393318 FUN393318:FVT393318 FKR393318:FLX393318 FAV393318:FCB393318 EQZ393318:ESF393318 EHD393318:EIJ393318 DXH393318:DYN393318 DNL393318:DOR393318 DDP393318:DEV393318 CTT393318:CUZ393318 CJX393318:CLD393318 CAB393318:CBH393318 BQF393318:BRL393318 BGJ393318:BHP393318 AWN393318:AXT393318 AMR393318:ANX393318 ACV393318:AEB393318 SZ393318:UF393318 JD393318:KJ393318 B393318:AM393318 WVP327782:WWV327782 WLT327782:WMZ327782 WBX327782:WDD327782 VSB327782:VTH327782 VIF327782:VJL327782 UYJ327782:UZP327782 UON327782:UPT327782 UER327782:UFX327782 TUV327782:TWB327782 TKZ327782:TMF327782 TBD327782:TCJ327782 SRH327782:SSN327782 SHL327782:SIR327782 RXP327782:RYV327782 RNT327782:ROZ327782 RDX327782:RFD327782 QUB327782:QVH327782 QKF327782:QLL327782 QAJ327782:QBP327782 PQN327782:PRT327782 PGR327782:PHX327782 OWV327782:OYB327782 OMZ327782:OOF327782 ODD327782:OEJ327782 NTH327782:NUN327782 NJL327782:NKR327782 MZP327782:NAV327782 MPT327782:MQZ327782 MFX327782:MHD327782 LWB327782:LXH327782 LMF327782:LNL327782 LCJ327782:LDP327782 KSN327782:KTT327782 KIR327782:KJX327782 JYV327782:KAB327782 JOZ327782:JQF327782 JFD327782:JGJ327782 IVH327782:IWN327782 ILL327782:IMR327782 IBP327782:ICV327782 HRT327782:HSZ327782 HHX327782:HJD327782 GYB327782:GZH327782 GOF327782:GPL327782 GEJ327782:GFP327782 FUN327782:FVT327782 FKR327782:FLX327782 FAV327782:FCB327782 EQZ327782:ESF327782 EHD327782:EIJ327782 DXH327782:DYN327782 DNL327782:DOR327782 DDP327782:DEV327782 CTT327782:CUZ327782 CJX327782:CLD327782 CAB327782:CBH327782 BQF327782:BRL327782 BGJ327782:BHP327782 AWN327782:AXT327782 AMR327782:ANX327782 ACV327782:AEB327782 SZ327782:UF327782 JD327782:KJ327782 B327782:AM327782 WVP262246:WWV262246 WLT262246:WMZ262246 WBX262246:WDD262246 VSB262246:VTH262246 VIF262246:VJL262246 UYJ262246:UZP262246 UON262246:UPT262246 UER262246:UFX262246 TUV262246:TWB262246 TKZ262246:TMF262246 TBD262246:TCJ262246 SRH262246:SSN262246 SHL262246:SIR262246 RXP262246:RYV262246 RNT262246:ROZ262246 RDX262246:RFD262246 QUB262246:QVH262246 QKF262246:QLL262246 QAJ262246:QBP262246 PQN262246:PRT262246 PGR262246:PHX262246 OWV262246:OYB262246 OMZ262246:OOF262246 ODD262246:OEJ262246 NTH262246:NUN262246 NJL262246:NKR262246 MZP262246:NAV262246 MPT262246:MQZ262246 MFX262246:MHD262246 LWB262246:LXH262246 LMF262246:LNL262246 LCJ262246:LDP262246 KSN262246:KTT262246 KIR262246:KJX262246 JYV262246:KAB262246 JOZ262246:JQF262246 JFD262246:JGJ262246 IVH262246:IWN262246 ILL262246:IMR262246 IBP262246:ICV262246 HRT262246:HSZ262246 HHX262246:HJD262246 GYB262246:GZH262246 GOF262246:GPL262246 GEJ262246:GFP262246 FUN262246:FVT262246 FKR262246:FLX262246 FAV262246:FCB262246 EQZ262246:ESF262246 EHD262246:EIJ262246 DXH262246:DYN262246 DNL262246:DOR262246 DDP262246:DEV262246 CTT262246:CUZ262246 CJX262246:CLD262246 CAB262246:CBH262246 BQF262246:BRL262246 BGJ262246:BHP262246 AWN262246:AXT262246 AMR262246:ANX262246 ACV262246:AEB262246 SZ262246:UF262246 JD262246:KJ262246 B262246:AM262246 WVP196710:WWV196710 WLT196710:WMZ196710 WBX196710:WDD196710 VSB196710:VTH196710 VIF196710:VJL196710 UYJ196710:UZP196710 UON196710:UPT196710 UER196710:UFX196710 TUV196710:TWB196710 TKZ196710:TMF196710 TBD196710:TCJ196710 SRH196710:SSN196710 SHL196710:SIR196710 RXP196710:RYV196710 RNT196710:ROZ196710 RDX196710:RFD196710 QUB196710:QVH196710 QKF196710:QLL196710 QAJ196710:QBP196710 PQN196710:PRT196710 PGR196710:PHX196710 OWV196710:OYB196710 OMZ196710:OOF196710 ODD196710:OEJ196710 NTH196710:NUN196710 NJL196710:NKR196710 MZP196710:NAV196710 MPT196710:MQZ196710 MFX196710:MHD196710 LWB196710:LXH196710 LMF196710:LNL196710 LCJ196710:LDP196710 KSN196710:KTT196710 KIR196710:KJX196710 JYV196710:KAB196710 JOZ196710:JQF196710 JFD196710:JGJ196710 IVH196710:IWN196710 ILL196710:IMR196710 IBP196710:ICV196710 HRT196710:HSZ196710 HHX196710:HJD196710 GYB196710:GZH196710 GOF196710:GPL196710 GEJ196710:GFP196710 FUN196710:FVT196710 FKR196710:FLX196710 FAV196710:FCB196710 EQZ196710:ESF196710 EHD196710:EIJ196710 DXH196710:DYN196710 DNL196710:DOR196710 DDP196710:DEV196710 CTT196710:CUZ196710 CJX196710:CLD196710 CAB196710:CBH196710 BQF196710:BRL196710 BGJ196710:BHP196710 AWN196710:AXT196710 AMR196710:ANX196710 ACV196710:AEB196710 SZ196710:UF196710 JD196710:KJ196710 B196710:AM196710 WVP131174:WWV131174 WLT131174:WMZ131174 WBX131174:WDD131174 VSB131174:VTH131174 VIF131174:VJL131174 UYJ131174:UZP131174 UON131174:UPT131174 UER131174:UFX131174 TUV131174:TWB131174 TKZ131174:TMF131174 TBD131174:TCJ131174 SRH131174:SSN131174 SHL131174:SIR131174 RXP131174:RYV131174 RNT131174:ROZ131174 RDX131174:RFD131174 QUB131174:QVH131174 QKF131174:QLL131174 QAJ131174:QBP131174 PQN131174:PRT131174 PGR131174:PHX131174 OWV131174:OYB131174 OMZ131174:OOF131174 ODD131174:OEJ131174 NTH131174:NUN131174 NJL131174:NKR131174 MZP131174:NAV131174 MPT131174:MQZ131174 MFX131174:MHD131174 LWB131174:LXH131174 LMF131174:LNL131174 LCJ131174:LDP131174 KSN131174:KTT131174 KIR131174:KJX131174 JYV131174:KAB131174 JOZ131174:JQF131174 JFD131174:JGJ131174 IVH131174:IWN131174 ILL131174:IMR131174 IBP131174:ICV131174 HRT131174:HSZ131174 HHX131174:HJD131174 GYB131174:GZH131174 GOF131174:GPL131174 GEJ131174:GFP131174 FUN131174:FVT131174 FKR131174:FLX131174 FAV131174:FCB131174 EQZ131174:ESF131174 EHD131174:EIJ131174 DXH131174:DYN131174 DNL131174:DOR131174 DDP131174:DEV131174 CTT131174:CUZ131174 CJX131174:CLD131174 CAB131174:CBH131174 BQF131174:BRL131174 BGJ131174:BHP131174 AWN131174:AXT131174 AMR131174:ANX131174 ACV131174:AEB131174 SZ131174:UF131174 JD131174:KJ131174 B131174:AM131174 WVP65638:WWV65638 WLT65638:WMZ65638 WBX65638:WDD65638 VSB65638:VTH65638 VIF65638:VJL65638 UYJ65638:UZP65638 UON65638:UPT65638 UER65638:UFX65638 TUV65638:TWB65638 TKZ65638:TMF65638 TBD65638:TCJ65638 SRH65638:SSN65638 SHL65638:SIR65638 RXP65638:RYV65638 RNT65638:ROZ65638 RDX65638:RFD65638 QUB65638:QVH65638 QKF65638:QLL65638 QAJ65638:QBP65638 PQN65638:PRT65638 PGR65638:PHX65638 OWV65638:OYB65638 OMZ65638:OOF65638 ODD65638:OEJ65638 NTH65638:NUN65638 NJL65638:NKR65638 MZP65638:NAV65638 MPT65638:MQZ65638 MFX65638:MHD65638 LWB65638:LXH65638 LMF65638:LNL65638 LCJ65638:LDP65638 KSN65638:KTT65638 KIR65638:KJX65638 JYV65638:KAB65638 JOZ65638:JQF65638 JFD65638:JGJ65638 IVH65638:IWN65638 ILL65638:IMR65638 IBP65638:ICV65638 HRT65638:HSZ65638 HHX65638:HJD65638 GYB65638:GZH65638 GOF65638:GPL65638 GEJ65638:GFP65638 FUN65638:FVT65638 FKR65638:FLX65638 FAV65638:FCB65638 EQZ65638:ESF65638 EHD65638:EIJ65638 DXH65638:DYN65638 DNL65638:DOR65638 DDP65638:DEV65638 CTT65638:CUZ65638 CJX65638:CLD65638 CAB65638:CBH65638 BQF65638:BRL65638 BGJ65638:BHP65638 AWN65638:AXT65638 AMR65638:ANX65638 ACV65638:AEB65638 SZ65638:UF65638 JD65638:KJ65638 B65638:AM65638 WVP87:WWV87 WLT87:WMZ87 WBX87:WDD87 VSB87:VTH87 VIF87:VJL87 UYJ87:UZP87 UON87:UPT87 UER87:UFX87 TUV87:TWB87 TKZ87:TMF87 TBD87:TCJ87 SRH87:SSN87 SHL87:SIR87 RXP87:RYV87 RNT87:ROZ87 RDX87:RFD87 QUB87:QVH87 QKF87:QLL87 QAJ87:QBP87 PQN87:PRT87 PGR87:PHX87 OWV87:OYB87 OMZ87:OOF87 ODD87:OEJ87 NTH87:NUN87 NJL87:NKR87 MZP87:NAV87 MPT87:MQZ87 MFX87:MHD87 LWB87:LXH87 LMF87:LNL87 LCJ87:LDP87 KSN87:KTT87 KIR87:KJX87 JYV87:KAB87 JOZ87:JQF87 JFD87:JGJ87 IVH87:IWN87 ILL87:IMR87 IBP87:ICV87 HRT87:HSZ87 HHX87:HJD87 GYB87:GZH87 GOF87:GPL87 GEJ87:GFP87 FUN87:FVT87 FKR87:FLX87 FAV87:FCB87 EQZ87:ESF87 EHD87:EIJ87 DXH87:DYN87 DNL87:DOR87 DDP87:DEV87 CTT87:CUZ87 CJX87:CLD87 CAB87:CBH87 BQF87:BRL87 BGJ87:BHP87 AWN87:AXT87 AMR87:ANX87 ACV87:AEB87 SZ87:UF87 JD87:KJ87 VSB983138:VTH983138 WVP983144:WWV983144 WLT983144:WMZ983144 WBX983144:WDD983144 VSB983144:VTH983144 VIF983144:VJL983144 UYJ983144:UZP983144 UON983144:UPT983144 UER983144:UFX983144 TUV983144:TWB983144 TKZ983144:TMF983144 TBD983144:TCJ983144 SRH983144:SSN983144 SHL983144:SIR983144 RXP983144:RYV983144 RNT983144:ROZ983144 RDX983144:RFD983144 QUB983144:QVH983144 QKF983144:QLL983144 QAJ983144:QBP983144 PQN983144:PRT983144 PGR983144:PHX983144 OWV983144:OYB983144 OMZ983144:OOF983144 ODD983144:OEJ983144 NTH983144:NUN983144 NJL983144:NKR983144 MZP983144:NAV983144 MPT983144:MQZ983144 MFX983144:MHD983144 LWB983144:LXH983144 LMF983144:LNL983144 LCJ983144:LDP983144 KSN983144:KTT983144 KIR983144:KJX983144 JYV983144:KAB983144 JOZ983144:JQF983144 JFD983144:JGJ983144 IVH983144:IWN983144 ILL983144:IMR983144 IBP983144:ICV983144 HRT983144:HSZ983144 HHX983144:HJD983144 GYB983144:GZH983144 GOF983144:GPL983144 GEJ983144:GFP983144 FUN983144:FVT983144 FKR983144:FLX983144 FAV983144:FCB983144 EQZ983144:ESF983144 EHD983144:EIJ983144 DXH983144:DYN983144 DNL983144:DOR983144 DDP983144:DEV983144 CTT983144:CUZ983144 CJX983144:CLD983144 CAB983144:CBH983144 BQF983144:BRL983144 BGJ983144:BHP983144 AWN983144:AXT983144 AMR983144:ANX983144 ACV983144:AEB983144 SZ983144:UF983144 JD983144:KJ983144 B983144:AM983144 WVP917608:WWV917608 WLT917608:WMZ917608 WBX917608:WDD917608 VSB917608:VTH917608 VIF917608:VJL917608 UYJ917608:UZP917608 UON917608:UPT917608 UER917608:UFX917608 TUV917608:TWB917608 TKZ917608:TMF917608 TBD917608:TCJ917608 SRH917608:SSN917608 SHL917608:SIR917608 RXP917608:RYV917608 RNT917608:ROZ917608 RDX917608:RFD917608 QUB917608:QVH917608 QKF917608:QLL917608 QAJ917608:QBP917608 PQN917608:PRT917608 PGR917608:PHX917608 OWV917608:OYB917608 OMZ917608:OOF917608 ODD917608:OEJ917608 NTH917608:NUN917608 NJL917608:NKR917608 MZP917608:NAV917608 MPT917608:MQZ917608 MFX917608:MHD917608 LWB917608:LXH917608 LMF917608:LNL917608 LCJ917608:LDP917608 KSN917608:KTT917608 KIR917608:KJX917608 JYV917608:KAB917608 JOZ917608:JQF917608 JFD917608:JGJ917608 IVH917608:IWN917608 ILL917608:IMR917608 IBP917608:ICV917608 HRT917608:HSZ917608 HHX917608:HJD917608 GYB917608:GZH917608 GOF917608:GPL917608 GEJ917608:GFP917608 FUN917608:FVT917608 FKR917608:FLX917608 FAV917608:FCB917608 EQZ917608:ESF917608 EHD917608:EIJ917608 DXH917608:DYN917608 DNL917608:DOR917608 DDP917608:DEV917608 CTT917608:CUZ917608 CJX917608:CLD917608 CAB917608:CBH917608 BQF917608:BRL917608 BGJ917608:BHP917608 AWN917608:AXT917608 AMR917608:ANX917608 ACV917608:AEB917608 SZ917608:UF917608 JD917608:KJ917608 B917608:AM917608 WVP852072:WWV852072 WLT852072:WMZ852072 WBX852072:WDD852072 VSB852072:VTH852072 VIF852072:VJL852072 UYJ852072:UZP852072 UON852072:UPT852072 UER852072:UFX852072 TUV852072:TWB852072 TKZ852072:TMF852072 TBD852072:TCJ852072 SRH852072:SSN852072 SHL852072:SIR852072 RXP852072:RYV852072 RNT852072:ROZ852072 RDX852072:RFD852072 QUB852072:QVH852072 QKF852072:QLL852072 QAJ852072:QBP852072 PQN852072:PRT852072 PGR852072:PHX852072 OWV852072:OYB852072 OMZ852072:OOF852072 ODD852072:OEJ852072 NTH852072:NUN852072 NJL852072:NKR852072 MZP852072:NAV852072 MPT852072:MQZ852072 MFX852072:MHD852072 LWB852072:LXH852072 LMF852072:LNL852072 LCJ852072:LDP852072 KSN852072:KTT852072 KIR852072:KJX852072 JYV852072:KAB852072 JOZ852072:JQF852072 JFD852072:JGJ852072 IVH852072:IWN852072 ILL852072:IMR852072 IBP852072:ICV852072 HRT852072:HSZ852072 HHX852072:HJD852072 GYB852072:GZH852072 GOF852072:GPL852072 GEJ852072:GFP852072 FUN852072:FVT852072 FKR852072:FLX852072 FAV852072:FCB852072 EQZ852072:ESF852072 EHD852072:EIJ852072 DXH852072:DYN852072 DNL852072:DOR852072 DDP852072:DEV852072 CTT852072:CUZ852072 CJX852072:CLD852072 CAB852072:CBH852072 BQF852072:BRL852072 BGJ852072:BHP852072 AWN852072:AXT852072 AMR852072:ANX852072 ACV852072:AEB852072 SZ852072:UF852072 JD852072:KJ852072 B852072:AM852072 WVP786536:WWV786536 WLT786536:WMZ786536 WBX786536:WDD786536 VSB786536:VTH786536 VIF786536:VJL786536 UYJ786536:UZP786536 UON786536:UPT786536 UER786536:UFX786536 TUV786536:TWB786536 TKZ786536:TMF786536 TBD786536:TCJ786536 SRH786536:SSN786536 SHL786536:SIR786536 RXP786536:RYV786536 RNT786536:ROZ786536 RDX786536:RFD786536 QUB786536:QVH786536 QKF786536:QLL786536 QAJ786536:QBP786536 PQN786536:PRT786536 PGR786536:PHX786536 OWV786536:OYB786536 OMZ786536:OOF786536 ODD786536:OEJ786536 NTH786536:NUN786536 NJL786536:NKR786536 MZP786536:NAV786536 MPT786536:MQZ786536 MFX786536:MHD786536 LWB786536:LXH786536 LMF786536:LNL786536 LCJ786536:LDP786536 KSN786536:KTT786536 KIR786536:KJX786536 JYV786536:KAB786536 JOZ786536:JQF786536 JFD786536:JGJ786536 IVH786536:IWN786536 ILL786536:IMR786536 IBP786536:ICV786536 HRT786536:HSZ786536 HHX786536:HJD786536 GYB786536:GZH786536 GOF786536:GPL786536 GEJ786536:GFP786536 FUN786536:FVT786536 FKR786536:FLX786536 FAV786536:FCB786536 EQZ786536:ESF786536 EHD786536:EIJ786536 DXH786536:DYN786536 DNL786536:DOR786536 DDP786536:DEV786536 CTT786536:CUZ786536 CJX786536:CLD786536 CAB786536:CBH786536 BQF786536:BRL786536 BGJ786536:BHP786536 AWN786536:AXT786536 AMR786536:ANX786536 ACV786536:AEB786536 SZ786536:UF786536 JD786536:KJ786536 B786536:AM786536 WVP721000:WWV721000 WLT721000:WMZ721000 WBX721000:WDD721000 VSB721000:VTH721000 VIF721000:VJL721000 UYJ721000:UZP721000 UON721000:UPT721000 UER721000:UFX721000 TUV721000:TWB721000 TKZ721000:TMF721000 TBD721000:TCJ721000 SRH721000:SSN721000 SHL721000:SIR721000 RXP721000:RYV721000 RNT721000:ROZ721000 RDX721000:RFD721000 QUB721000:QVH721000 QKF721000:QLL721000 QAJ721000:QBP721000 PQN721000:PRT721000 PGR721000:PHX721000 OWV721000:OYB721000 OMZ721000:OOF721000 ODD721000:OEJ721000 NTH721000:NUN721000 NJL721000:NKR721000 MZP721000:NAV721000 MPT721000:MQZ721000 MFX721000:MHD721000 LWB721000:LXH721000 LMF721000:LNL721000 LCJ721000:LDP721000 KSN721000:KTT721000 KIR721000:KJX721000 JYV721000:KAB721000 JOZ721000:JQF721000 JFD721000:JGJ721000 IVH721000:IWN721000 ILL721000:IMR721000 IBP721000:ICV721000 HRT721000:HSZ721000 HHX721000:HJD721000 GYB721000:GZH721000 GOF721000:GPL721000 GEJ721000:GFP721000 FUN721000:FVT721000 FKR721000:FLX721000 FAV721000:FCB721000 EQZ721000:ESF721000 EHD721000:EIJ721000 DXH721000:DYN721000 DNL721000:DOR721000 DDP721000:DEV721000 CTT721000:CUZ721000 CJX721000:CLD721000 CAB721000:CBH721000 BQF721000:BRL721000 BGJ721000:BHP721000 AWN721000:AXT721000 AMR721000:ANX721000 ACV721000:AEB721000 SZ721000:UF721000 JD721000:KJ721000 B721000:AM721000 WVP655464:WWV655464 WLT655464:WMZ655464 WBX655464:WDD655464 VSB655464:VTH655464 VIF655464:VJL655464 UYJ655464:UZP655464 UON655464:UPT655464 UER655464:UFX655464 TUV655464:TWB655464 TKZ655464:TMF655464 TBD655464:TCJ655464 SRH655464:SSN655464 SHL655464:SIR655464 RXP655464:RYV655464 RNT655464:ROZ655464 RDX655464:RFD655464 QUB655464:QVH655464 QKF655464:QLL655464 QAJ655464:QBP655464 PQN655464:PRT655464 PGR655464:PHX655464 OWV655464:OYB655464 OMZ655464:OOF655464 ODD655464:OEJ655464 NTH655464:NUN655464 NJL655464:NKR655464 MZP655464:NAV655464 MPT655464:MQZ655464 MFX655464:MHD655464 LWB655464:LXH655464 LMF655464:LNL655464 LCJ655464:LDP655464 KSN655464:KTT655464 KIR655464:KJX655464 JYV655464:KAB655464 JOZ655464:JQF655464 JFD655464:JGJ655464 IVH655464:IWN655464 ILL655464:IMR655464 IBP655464:ICV655464 HRT655464:HSZ655464 HHX655464:HJD655464 GYB655464:GZH655464 GOF655464:GPL655464 GEJ655464:GFP655464 FUN655464:FVT655464 FKR655464:FLX655464 FAV655464:FCB655464 EQZ655464:ESF655464 EHD655464:EIJ655464 DXH655464:DYN655464 DNL655464:DOR655464 DDP655464:DEV655464 CTT655464:CUZ655464 CJX655464:CLD655464 CAB655464:CBH655464 BQF655464:BRL655464 BGJ655464:BHP655464 AWN655464:AXT655464 AMR655464:ANX655464 ACV655464:AEB655464 SZ655464:UF655464 JD655464:KJ655464 B655464:AM655464 WVP589928:WWV589928 WLT589928:WMZ589928 WBX589928:WDD589928 VSB589928:VTH589928 VIF589928:VJL589928 UYJ589928:UZP589928 UON589928:UPT589928 UER589928:UFX589928 TUV589928:TWB589928 TKZ589928:TMF589928 TBD589928:TCJ589928 SRH589928:SSN589928 SHL589928:SIR589928 RXP589928:RYV589928 RNT589928:ROZ589928 RDX589928:RFD589928 QUB589928:QVH589928 QKF589928:QLL589928 QAJ589928:QBP589928 PQN589928:PRT589928 PGR589928:PHX589928 OWV589928:OYB589928 OMZ589928:OOF589928 ODD589928:OEJ589928 NTH589928:NUN589928 NJL589928:NKR589928 MZP589928:NAV589928 MPT589928:MQZ589928 MFX589928:MHD589928 LWB589928:LXH589928 LMF589928:LNL589928 LCJ589928:LDP589928 KSN589928:KTT589928 KIR589928:KJX589928 JYV589928:KAB589928 JOZ589928:JQF589928 JFD589928:JGJ589928 IVH589928:IWN589928 ILL589928:IMR589928 IBP589928:ICV589928 HRT589928:HSZ589928 HHX589928:HJD589928 GYB589928:GZH589928 GOF589928:GPL589928 GEJ589928:GFP589928 FUN589928:FVT589928 FKR589928:FLX589928 FAV589928:FCB589928 EQZ589928:ESF589928 EHD589928:EIJ589928 DXH589928:DYN589928 DNL589928:DOR589928 DDP589928:DEV589928 CTT589928:CUZ589928 CJX589928:CLD589928 CAB589928:CBH589928 BQF589928:BRL589928 BGJ589928:BHP589928 AWN589928:AXT589928 AMR589928:ANX589928 ACV589928:AEB589928 SZ589928:UF589928 JD589928:KJ589928 B589928:AM589928 WVP524392:WWV524392 WLT524392:WMZ524392 WBX524392:WDD524392 VSB524392:VTH524392 VIF524392:VJL524392 UYJ524392:UZP524392 UON524392:UPT524392 UER524392:UFX524392 TUV524392:TWB524392 TKZ524392:TMF524392 TBD524392:TCJ524392 SRH524392:SSN524392 SHL524392:SIR524392 RXP524392:RYV524392 RNT524392:ROZ524392 RDX524392:RFD524392 QUB524392:QVH524392 QKF524392:QLL524392 QAJ524392:QBP524392 PQN524392:PRT524392 PGR524392:PHX524392 OWV524392:OYB524392 OMZ524392:OOF524392 ODD524392:OEJ524392 NTH524392:NUN524392 NJL524392:NKR524392 MZP524392:NAV524392 MPT524392:MQZ524392 MFX524392:MHD524392 LWB524392:LXH524392 LMF524392:LNL524392 LCJ524392:LDP524392 KSN524392:KTT524392 KIR524392:KJX524392 JYV524392:KAB524392 JOZ524392:JQF524392 JFD524392:JGJ524392 IVH524392:IWN524392 ILL524392:IMR524392 IBP524392:ICV524392 HRT524392:HSZ524392 HHX524392:HJD524392 GYB524392:GZH524392 GOF524392:GPL524392 GEJ524392:GFP524392 FUN524392:FVT524392 FKR524392:FLX524392 FAV524392:FCB524392 EQZ524392:ESF524392 EHD524392:EIJ524392 DXH524392:DYN524392 DNL524392:DOR524392 DDP524392:DEV524392 CTT524392:CUZ524392 CJX524392:CLD524392 CAB524392:CBH524392 BQF524392:BRL524392 BGJ524392:BHP524392 AWN524392:AXT524392 AMR524392:ANX524392 ACV524392:AEB524392 SZ524392:UF524392 JD524392:KJ524392 B524392:AM524392 WVP458856:WWV458856 WLT458856:WMZ458856 WBX458856:WDD458856 VSB458856:VTH458856 VIF458856:VJL458856 UYJ458856:UZP458856 UON458856:UPT458856 UER458856:UFX458856 TUV458856:TWB458856 TKZ458856:TMF458856 TBD458856:TCJ458856 SRH458856:SSN458856 SHL458856:SIR458856 RXP458856:RYV458856 RNT458856:ROZ458856 RDX458856:RFD458856 QUB458856:QVH458856 QKF458856:QLL458856 QAJ458856:QBP458856 PQN458856:PRT458856 PGR458856:PHX458856 OWV458856:OYB458856 OMZ458856:OOF458856 ODD458856:OEJ458856 NTH458856:NUN458856 NJL458856:NKR458856 MZP458856:NAV458856 MPT458856:MQZ458856 MFX458856:MHD458856 LWB458856:LXH458856 LMF458856:LNL458856 LCJ458856:LDP458856 KSN458856:KTT458856 KIR458856:KJX458856 JYV458856:KAB458856 JOZ458856:JQF458856 JFD458856:JGJ458856 IVH458856:IWN458856 ILL458856:IMR458856 IBP458856:ICV458856 HRT458856:HSZ458856 HHX458856:HJD458856 GYB458856:GZH458856 GOF458856:GPL458856 GEJ458856:GFP458856 FUN458856:FVT458856 FKR458856:FLX458856 FAV458856:FCB458856 EQZ458856:ESF458856 EHD458856:EIJ458856 DXH458856:DYN458856 DNL458856:DOR458856 DDP458856:DEV458856 CTT458856:CUZ458856 CJX458856:CLD458856 CAB458856:CBH458856 BQF458856:BRL458856 BGJ458856:BHP458856 AWN458856:AXT458856 AMR458856:ANX458856 ACV458856:AEB458856 SZ458856:UF458856 JD458856:KJ458856 B458856:AM458856 WVP393320:WWV393320 WLT393320:WMZ393320 WBX393320:WDD393320 VSB393320:VTH393320 VIF393320:VJL393320 UYJ393320:UZP393320 UON393320:UPT393320 UER393320:UFX393320 TUV393320:TWB393320 TKZ393320:TMF393320 TBD393320:TCJ393320 SRH393320:SSN393320 SHL393320:SIR393320 RXP393320:RYV393320 RNT393320:ROZ393320 RDX393320:RFD393320 QUB393320:QVH393320 QKF393320:QLL393320 QAJ393320:QBP393320 PQN393320:PRT393320 PGR393320:PHX393320 OWV393320:OYB393320 OMZ393320:OOF393320 ODD393320:OEJ393320 NTH393320:NUN393320 NJL393320:NKR393320 MZP393320:NAV393320 MPT393320:MQZ393320 MFX393320:MHD393320 LWB393320:LXH393320 LMF393320:LNL393320 LCJ393320:LDP393320 KSN393320:KTT393320 KIR393320:KJX393320 JYV393320:KAB393320 JOZ393320:JQF393320 JFD393320:JGJ393320 IVH393320:IWN393320 ILL393320:IMR393320 IBP393320:ICV393320 HRT393320:HSZ393320 HHX393320:HJD393320 GYB393320:GZH393320 GOF393320:GPL393320 GEJ393320:GFP393320 FUN393320:FVT393320 FKR393320:FLX393320 FAV393320:FCB393320 EQZ393320:ESF393320 EHD393320:EIJ393320 DXH393320:DYN393320 DNL393320:DOR393320 DDP393320:DEV393320 CTT393320:CUZ393320 CJX393320:CLD393320 CAB393320:CBH393320 BQF393320:BRL393320 BGJ393320:BHP393320 AWN393320:AXT393320 AMR393320:ANX393320 ACV393320:AEB393320 SZ393320:UF393320 JD393320:KJ393320 B393320:AM393320 WVP327784:WWV327784 WLT327784:WMZ327784 WBX327784:WDD327784 VSB327784:VTH327784 VIF327784:VJL327784 UYJ327784:UZP327784 UON327784:UPT327784 UER327784:UFX327784 TUV327784:TWB327784 TKZ327784:TMF327784 TBD327784:TCJ327784 SRH327784:SSN327784 SHL327784:SIR327784 RXP327784:RYV327784 RNT327784:ROZ327784 RDX327784:RFD327784 QUB327784:QVH327784 QKF327784:QLL327784 QAJ327784:QBP327784 PQN327784:PRT327784 PGR327784:PHX327784 OWV327784:OYB327784 OMZ327784:OOF327784 ODD327784:OEJ327784 NTH327784:NUN327784 NJL327784:NKR327784 MZP327784:NAV327784 MPT327784:MQZ327784 MFX327784:MHD327784 LWB327784:LXH327784 LMF327784:LNL327784 LCJ327784:LDP327784 KSN327784:KTT327784 KIR327784:KJX327784 JYV327784:KAB327784 JOZ327784:JQF327784 JFD327784:JGJ327784 IVH327784:IWN327784 ILL327784:IMR327784 IBP327784:ICV327784 HRT327784:HSZ327784 HHX327784:HJD327784 GYB327784:GZH327784 GOF327784:GPL327784 GEJ327784:GFP327784 FUN327784:FVT327784 FKR327784:FLX327784 FAV327784:FCB327784 EQZ327784:ESF327784 EHD327784:EIJ327784 DXH327784:DYN327784 DNL327784:DOR327784 DDP327784:DEV327784 CTT327784:CUZ327784 CJX327784:CLD327784 CAB327784:CBH327784 BQF327784:BRL327784 BGJ327784:BHP327784 AWN327784:AXT327784 AMR327784:ANX327784 ACV327784:AEB327784 SZ327784:UF327784 JD327784:KJ327784 B327784:AM327784 WVP262248:WWV262248 WLT262248:WMZ262248 WBX262248:WDD262248 VSB262248:VTH262248 VIF262248:VJL262248 UYJ262248:UZP262248 UON262248:UPT262248 UER262248:UFX262248 TUV262248:TWB262248 TKZ262248:TMF262248 TBD262248:TCJ262248 SRH262248:SSN262248 SHL262248:SIR262248 RXP262248:RYV262248 RNT262248:ROZ262248 RDX262248:RFD262248 QUB262248:QVH262248 QKF262248:QLL262248 QAJ262248:QBP262248 PQN262248:PRT262248 PGR262248:PHX262248 OWV262248:OYB262248 OMZ262248:OOF262248 ODD262248:OEJ262248 NTH262248:NUN262248 NJL262248:NKR262248 MZP262248:NAV262248 MPT262248:MQZ262248 MFX262248:MHD262248 LWB262248:LXH262248 LMF262248:LNL262248 LCJ262248:LDP262248 KSN262248:KTT262248 KIR262248:KJX262248 JYV262248:KAB262248 JOZ262248:JQF262248 JFD262248:JGJ262248 IVH262248:IWN262248 ILL262248:IMR262248 IBP262248:ICV262248 HRT262248:HSZ262248 HHX262248:HJD262248 GYB262248:GZH262248 GOF262248:GPL262248 GEJ262248:GFP262248 FUN262248:FVT262248 FKR262248:FLX262248 FAV262248:FCB262248 EQZ262248:ESF262248 EHD262248:EIJ262248 DXH262248:DYN262248 DNL262248:DOR262248 DDP262248:DEV262248 CTT262248:CUZ262248 CJX262248:CLD262248 CAB262248:CBH262248 BQF262248:BRL262248 BGJ262248:BHP262248 AWN262248:AXT262248 AMR262248:ANX262248 ACV262248:AEB262248 SZ262248:UF262248 JD262248:KJ262248 B262248:AM262248 WVP196712:WWV196712 WLT196712:WMZ196712 WBX196712:WDD196712 VSB196712:VTH196712 VIF196712:VJL196712 UYJ196712:UZP196712 UON196712:UPT196712 UER196712:UFX196712 TUV196712:TWB196712 TKZ196712:TMF196712 TBD196712:TCJ196712 SRH196712:SSN196712 SHL196712:SIR196712 RXP196712:RYV196712 RNT196712:ROZ196712 RDX196712:RFD196712 QUB196712:QVH196712 QKF196712:QLL196712 QAJ196712:QBP196712 PQN196712:PRT196712 PGR196712:PHX196712 OWV196712:OYB196712 OMZ196712:OOF196712 ODD196712:OEJ196712 NTH196712:NUN196712 NJL196712:NKR196712 MZP196712:NAV196712 MPT196712:MQZ196712 MFX196712:MHD196712 LWB196712:LXH196712 LMF196712:LNL196712 LCJ196712:LDP196712 KSN196712:KTT196712 KIR196712:KJX196712 JYV196712:KAB196712 JOZ196712:JQF196712 JFD196712:JGJ196712 IVH196712:IWN196712 ILL196712:IMR196712 IBP196712:ICV196712 HRT196712:HSZ196712 HHX196712:HJD196712 GYB196712:GZH196712 GOF196712:GPL196712 GEJ196712:GFP196712 FUN196712:FVT196712 FKR196712:FLX196712 FAV196712:FCB196712 EQZ196712:ESF196712 EHD196712:EIJ196712 DXH196712:DYN196712 DNL196712:DOR196712 DDP196712:DEV196712 CTT196712:CUZ196712 CJX196712:CLD196712 CAB196712:CBH196712 BQF196712:BRL196712 BGJ196712:BHP196712 AWN196712:AXT196712 AMR196712:ANX196712 ACV196712:AEB196712 SZ196712:UF196712 JD196712:KJ196712 B196712:AM196712 WVP131176:WWV131176 WLT131176:WMZ131176 WBX131176:WDD131176 VSB131176:VTH131176 VIF131176:VJL131176 UYJ131176:UZP131176 UON131176:UPT131176 UER131176:UFX131176 TUV131176:TWB131176 TKZ131176:TMF131176 TBD131176:TCJ131176 SRH131176:SSN131176 SHL131176:SIR131176 RXP131176:RYV131176 RNT131176:ROZ131176 RDX131176:RFD131176 QUB131176:QVH131176 QKF131176:QLL131176 QAJ131176:QBP131176 PQN131176:PRT131176 PGR131176:PHX131176 OWV131176:OYB131176 OMZ131176:OOF131176 ODD131176:OEJ131176 NTH131176:NUN131176 NJL131176:NKR131176 MZP131176:NAV131176 MPT131176:MQZ131176 MFX131176:MHD131176 LWB131176:LXH131176 LMF131176:LNL131176 LCJ131176:LDP131176 KSN131176:KTT131176 KIR131176:KJX131176 JYV131176:KAB131176 JOZ131176:JQF131176 JFD131176:JGJ131176 IVH131176:IWN131176 ILL131176:IMR131176 IBP131176:ICV131176 HRT131176:HSZ131176 HHX131176:HJD131176 GYB131176:GZH131176 GOF131176:GPL131176 GEJ131176:GFP131176 FUN131176:FVT131176 FKR131176:FLX131176 FAV131176:FCB131176 EQZ131176:ESF131176 EHD131176:EIJ131176 DXH131176:DYN131176 DNL131176:DOR131176 DDP131176:DEV131176 CTT131176:CUZ131176 CJX131176:CLD131176 CAB131176:CBH131176 BQF131176:BRL131176 BGJ131176:BHP131176 AWN131176:AXT131176 AMR131176:ANX131176 ACV131176:AEB131176 SZ131176:UF131176 JD131176:KJ131176 B131176:AM131176 WVP65640:WWV65640 WLT65640:WMZ65640 WBX65640:WDD65640 VSB65640:VTH65640 VIF65640:VJL65640 UYJ65640:UZP65640 UON65640:UPT65640 UER65640:UFX65640 TUV65640:TWB65640 TKZ65640:TMF65640 TBD65640:TCJ65640 SRH65640:SSN65640 SHL65640:SIR65640 RXP65640:RYV65640 RNT65640:ROZ65640 RDX65640:RFD65640 QUB65640:QVH65640 QKF65640:QLL65640 QAJ65640:QBP65640 PQN65640:PRT65640 PGR65640:PHX65640 OWV65640:OYB65640 OMZ65640:OOF65640 ODD65640:OEJ65640 NTH65640:NUN65640 NJL65640:NKR65640 MZP65640:NAV65640 MPT65640:MQZ65640 MFX65640:MHD65640 LWB65640:LXH65640 LMF65640:LNL65640 LCJ65640:LDP65640 KSN65640:KTT65640 KIR65640:KJX65640 JYV65640:KAB65640 JOZ65640:JQF65640 JFD65640:JGJ65640 IVH65640:IWN65640 ILL65640:IMR65640 IBP65640:ICV65640 HRT65640:HSZ65640 HHX65640:HJD65640 GYB65640:GZH65640 GOF65640:GPL65640 GEJ65640:GFP65640 FUN65640:FVT65640 FKR65640:FLX65640 FAV65640:FCB65640 EQZ65640:ESF65640 EHD65640:EIJ65640 DXH65640:DYN65640 DNL65640:DOR65640 DDP65640:DEV65640 CTT65640:CUZ65640 CJX65640:CLD65640 CAB65640:CBH65640 BQF65640:BRL65640 BGJ65640:BHP65640 AWN65640:AXT65640 AMR65640:ANX65640 ACV65640:AEB65640 SZ65640:UF65640 JD65640:KJ65640 B65640:AM65640 WVP89:WWV89 WLT89:WMZ89 WBX89:WDD89 VSB89:VTH89 VIF89:VJL89 UYJ89:UZP89 UON89:UPT89 UER89:UFX89 TUV89:TWB89 TKZ89:TMF89 TBD89:TCJ89 SRH89:SSN89 SHL89:SIR89 RXP89:RYV89 RNT89:ROZ89 RDX89:RFD89 QUB89:QVH89 QKF89:QLL89 QAJ89:QBP89 PQN89:PRT89 PGR89:PHX89 OWV89:OYB89 OMZ89:OOF89 ODD89:OEJ89 NTH89:NUN89 NJL89:NKR89 MZP89:NAV89 MPT89:MQZ89 MFX89:MHD89 LWB89:LXH89 LMF89:LNL89 LCJ89:LDP89 KSN89:KTT89 KIR89:KJX89 JYV89:KAB89 JOZ89:JQF89 JFD89:JGJ89 IVH89:IWN89 ILL89:IMR89 IBP89:ICV89 HRT89:HSZ89 HHX89:HJD89 GYB89:GZH89 GOF89:GPL89 GEJ89:GFP89 FUN89:FVT89 FKR89:FLX89 FAV89:FCB89 EQZ89:ESF89 EHD89:EIJ89 DXH89:DYN89 DNL89:DOR89 DDP89:DEV89 CTT89:CUZ89 CJX89:CLD89 CAB89:CBH89 BQF89:BRL89 BGJ89:BHP89 AWN89:AXT89 AMR89:ANX89 ACV89:AEB89 SZ89:UF89 JD89:KJ89 VIF983138:VJL983138 WVP983146:WWV983146 WLT983146:WMZ983146 WBX983146:WDD983146 VSB983146:VTH983146 VIF983146:VJL983146 UYJ983146:UZP983146 UON983146:UPT983146 UER983146:UFX983146 TUV983146:TWB983146 TKZ983146:TMF983146 TBD983146:TCJ983146 SRH983146:SSN983146 SHL983146:SIR983146 RXP983146:RYV983146 RNT983146:ROZ983146 RDX983146:RFD983146 QUB983146:QVH983146 QKF983146:QLL983146 QAJ983146:QBP983146 PQN983146:PRT983146 PGR983146:PHX983146 OWV983146:OYB983146 OMZ983146:OOF983146 ODD983146:OEJ983146 NTH983146:NUN983146 NJL983146:NKR983146 MZP983146:NAV983146 MPT983146:MQZ983146 MFX983146:MHD983146 LWB983146:LXH983146 LMF983146:LNL983146 LCJ983146:LDP983146 KSN983146:KTT983146 KIR983146:KJX983146 JYV983146:KAB983146 JOZ983146:JQF983146 JFD983146:JGJ983146 IVH983146:IWN983146 ILL983146:IMR983146 IBP983146:ICV983146 HRT983146:HSZ983146 HHX983146:HJD983146 GYB983146:GZH983146 GOF983146:GPL983146 GEJ983146:GFP983146 FUN983146:FVT983146 FKR983146:FLX983146 FAV983146:FCB983146 EQZ983146:ESF983146 EHD983146:EIJ983146 DXH983146:DYN983146 DNL983146:DOR983146 DDP983146:DEV983146 CTT983146:CUZ983146 CJX983146:CLD983146 CAB983146:CBH983146 BQF983146:BRL983146 BGJ983146:BHP983146 AWN983146:AXT983146 AMR983146:ANX983146 ACV983146:AEB983146 SZ983146:UF983146 JD983146:KJ983146 B983146:AM983146 WVP917610:WWV917610 WLT917610:WMZ917610 WBX917610:WDD917610 VSB917610:VTH917610 VIF917610:VJL917610 UYJ917610:UZP917610 UON917610:UPT917610 UER917610:UFX917610 TUV917610:TWB917610 TKZ917610:TMF917610 TBD917610:TCJ917610 SRH917610:SSN917610 SHL917610:SIR917610 RXP917610:RYV917610 RNT917610:ROZ917610 RDX917610:RFD917610 QUB917610:QVH917610 QKF917610:QLL917610 QAJ917610:QBP917610 PQN917610:PRT917610 PGR917610:PHX917610 OWV917610:OYB917610 OMZ917610:OOF917610 ODD917610:OEJ917610 NTH917610:NUN917610 NJL917610:NKR917610 MZP917610:NAV917610 MPT917610:MQZ917610 MFX917610:MHD917610 LWB917610:LXH917610 LMF917610:LNL917610 LCJ917610:LDP917610 KSN917610:KTT917610 KIR917610:KJX917610 JYV917610:KAB917610 JOZ917610:JQF917610 JFD917610:JGJ917610 IVH917610:IWN917610 ILL917610:IMR917610 IBP917610:ICV917610 HRT917610:HSZ917610 HHX917610:HJD917610 GYB917610:GZH917610 GOF917610:GPL917610 GEJ917610:GFP917610 FUN917610:FVT917610 FKR917610:FLX917610 FAV917610:FCB917610 EQZ917610:ESF917610 EHD917610:EIJ917610 DXH917610:DYN917610 DNL917610:DOR917610 DDP917610:DEV917610 CTT917610:CUZ917610 CJX917610:CLD917610 CAB917610:CBH917610 BQF917610:BRL917610 BGJ917610:BHP917610 AWN917610:AXT917610 AMR917610:ANX917610 ACV917610:AEB917610 SZ917610:UF917610 JD917610:KJ917610 B917610:AM917610 WVP852074:WWV852074 WLT852074:WMZ852074 WBX852074:WDD852074 VSB852074:VTH852074 VIF852074:VJL852074 UYJ852074:UZP852074 UON852074:UPT852074 UER852074:UFX852074 TUV852074:TWB852074 TKZ852074:TMF852074 TBD852074:TCJ852074 SRH852074:SSN852074 SHL852074:SIR852074 RXP852074:RYV852074 RNT852074:ROZ852074 RDX852074:RFD852074 QUB852074:QVH852074 QKF852074:QLL852074 QAJ852074:QBP852074 PQN852074:PRT852074 PGR852074:PHX852074 OWV852074:OYB852074 OMZ852074:OOF852074 ODD852074:OEJ852074 NTH852074:NUN852074 NJL852074:NKR852074 MZP852074:NAV852074 MPT852074:MQZ852074 MFX852074:MHD852074 LWB852074:LXH852074 LMF852074:LNL852074 LCJ852074:LDP852074 KSN852074:KTT852074 KIR852074:KJX852074 JYV852074:KAB852074 JOZ852074:JQF852074 JFD852074:JGJ852074 IVH852074:IWN852074 ILL852074:IMR852074 IBP852074:ICV852074 HRT852074:HSZ852074 HHX852074:HJD852074 GYB852074:GZH852074 GOF852074:GPL852074 GEJ852074:GFP852074 FUN852074:FVT852074 FKR852074:FLX852074 FAV852074:FCB852074 EQZ852074:ESF852074 EHD852074:EIJ852074 DXH852074:DYN852074 DNL852074:DOR852074 DDP852074:DEV852074 CTT852074:CUZ852074 CJX852074:CLD852074 CAB852074:CBH852074 BQF852074:BRL852074 BGJ852074:BHP852074 AWN852074:AXT852074 AMR852074:ANX852074 ACV852074:AEB852074 SZ852074:UF852074 JD852074:KJ852074 B852074:AM852074 WVP786538:WWV786538 WLT786538:WMZ786538 WBX786538:WDD786538 VSB786538:VTH786538 VIF786538:VJL786538 UYJ786538:UZP786538 UON786538:UPT786538 UER786538:UFX786538 TUV786538:TWB786538 TKZ786538:TMF786538 TBD786538:TCJ786538 SRH786538:SSN786538 SHL786538:SIR786538 RXP786538:RYV786538 RNT786538:ROZ786538 RDX786538:RFD786538 QUB786538:QVH786538 QKF786538:QLL786538 QAJ786538:QBP786538 PQN786538:PRT786538 PGR786538:PHX786538 OWV786538:OYB786538 OMZ786538:OOF786538 ODD786538:OEJ786538 NTH786538:NUN786538 NJL786538:NKR786538 MZP786538:NAV786538 MPT786538:MQZ786538 MFX786538:MHD786538 LWB786538:LXH786538 LMF786538:LNL786538 LCJ786538:LDP786538 KSN786538:KTT786538 KIR786538:KJX786538 JYV786538:KAB786538 JOZ786538:JQF786538 JFD786538:JGJ786538 IVH786538:IWN786538 ILL786538:IMR786538 IBP786538:ICV786538 HRT786538:HSZ786538 HHX786538:HJD786538 GYB786538:GZH786538 GOF786538:GPL786538 GEJ786538:GFP786538 FUN786538:FVT786538 FKR786538:FLX786538 FAV786538:FCB786538 EQZ786538:ESF786538 EHD786538:EIJ786538 DXH786538:DYN786538 DNL786538:DOR786538 DDP786538:DEV786538 CTT786538:CUZ786538 CJX786538:CLD786538 CAB786538:CBH786538 BQF786538:BRL786538 BGJ786538:BHP786538 AWN786538:AXT786538 AMR786538:ANX786538 ACV786538:AEB786538 SZ786538:UF786538 JD786538:KJ786538 B786538:AM786538 WVP721002:WWV721002 WLT721002:WMZ721002 WBX721002:WDD721002 VSB721002:VTH721002 VIF721002:VJL721002 UYJ721002:UZP721002 UON721002:UPT721002 UER721002:UFX721002 TUV721002:TWB721002 TKZ721002:TMF721002 TBD721002:TCJ721002 SRH721002:SSN721002 SHL721002:SIR721002 RXP721002:RYV721002 RNT721002:ROZ721002 RDX721002:RFD721002 QUB721002:QVH721002 QKF721002:QLL721002 QAJ721002:QBP721002 PQN721002:PRT721002 PGR721002:PHX721002 OWV721002:OYB721002 OMZ721002:OOF721002 ODD721002:OEJ721002 NTH721002:NUN721002 NJL721002:NKR721002 MZP721002:NAV721002 MPT721002:MQZ721002 MFX721002:MHD721002 LWB721002:LXH721002 LMF721002:LNL721002 LCJ721002:LDP721002 KSN721002:KTT721002 KIR721002:KJX721002 JYV721002:KAB721002 JOZ721002:JQF721002 JFD721002:JGJ721002 IVH721002:IWN721002 ILL721002:IMR721002 IBP721002:ICV721002 HRT721002:HSZ721002 HHX721002:HJD721002 GYB721002:GZH721002 GOF721002:GPL721002 GEJ721002:GFP721002 FUN721002:FVT721002 FKR721002:FLX721002 FAV721002:FCB721002 EQZ721002:ESF721002 EHD721002:EIJ721002 DXH721002:DYN721002 DNL721002:DOR721002 DDP721002:DEV721002 CTT721002:CUZ721002 CJX721002:CLD721002 CAB721002:CBH721002 BQF721002:BRL721002 BGJ721002:BHP721002 AWN721002:AXT721002 AMR721002:ANX721002 ACV721002:AEB721002 SZ721002:UF721002 JD721002:KJ721002 B721002:AM721002 WVP655466:WWV655466 WLT655466:WMZ655466 WBX655466:WDD655466 VSB655466:VTH655466 VIF655466:VJL655466 UYJ655466:UZP655466 UON655466:UPT655466 UER655466:UFX655466 TUV655466:TWB655466 TKZ655466:TMF655466 TBD655466:TCJ655466 SRH655466:SSN655466 SHL655466:SIR655466 RXP655466:RYV655466 RNT655466:ROZ655466 RDX655466:RFD655466 QUB655466:QVH655466 QKF655466:QLL655466 QAJ655466:QBP655466 PQN655466:PRT655466 PGR655466:PHX655466 OWV655466:OYB655466 OMZ655466:OOF655466 ODD655466:OEJ655466 NTH655466:NUN655466 NJL655466:NKR655466 MZP655466:NAV655466 MPT655466:MQZ655466 MFX655466:MHD655466 LWB655466:LXH655466 LMF655466:LNL655466 LCJ655466:LDP655466 KSN655466:KTT655466 KIR655466:KJX655466 JYV655466:KAB655466 JOZ655466:JQF655466 JFD655466:JGJ655466 IVH655466:IWN655466 ILL655466:IMR655466 IBP655466:ICV655466 HRT655466:HSZ655466 HHX655466:HJD655466 GYB655466:GZH655466 GOF655466:GPL655466 GEJ655466:GFP655466 FUN655466:FVT655466 FKR655466:FLX655466 FAV655466:FCB655466 EQZ655466:ESF655466 EHD655466:EIJ655466 DXH655466:DYN655466 DNL655466:DOR655466 DDP655466:DEV655466 CTT655466:CUZ655466 CJX655466:CLD655466 CAB655466:CBH655466 BQF655466:BRL655466 BGJ655466:BHP655466 AWN655466:AXT655466 AMR655466:ANX655466 ACV655466:AEB655466 SZ655466:UF655466 JD655466:KJ655466 B655466:AM655466 WVP589930:WWV589930 WLT589930:WMZ589930 WBX589930:WDD589930 VSB589930:VTH589930 VIF589930:VJL589930 UYJ589930:UZP589930 UON589930:UPT589930 UER589930:UFX589930 TUV589930:TWB589930 TKZ589930:TMF589930 TBD589930:TCJ589930 SRH589930:SSN589930 SHL589930:SIR589930 RXP589930:RYV589930 RNT589930:ROZ589930 RDX589930:RFD589930 QUB589930:QVH589930 QKF589930:QLL589930 QAJ589930:QBP589930 PQN589930:PRT589930 PGR589930:PHX589930 OWV589930:OYB589930 OMZ589930:OOF589930 ODD589930:OEJ589930 NTH589930:NUN589930 NJL589930:NKR589930 MZP589930:NAV589930 MPT589930:MQZ589930 MFX589930:MHD589930 LWB589930:LXH589930 LMF589930:LNL589930 LCJ589930:LDP589930 KSN589930:KTT589930 KIR589930:KJX589930 JYV589930:KAB589930 JOZ589930:JQF589930 JFD589930:JGJ589930 IVH589930:IWN589930 ILL589930:IMR589930 IBP589930:ICV589930 HRT589930:HSZ589930 HHX589930:HJD589930 GYB589930:GZH589930 GOF589930:GPL589930 GEJ589930:GFP589930 FUN589930:FVT589930 FKR589930:FLX589930 FAV589930:FCB589930 EQZ589930:ESF589930 EHD589930:EIJ589930 DXH589930:DYN589930 DNL589930:DOR589930 DDP589930:DEV589930 CTT589930:CUZ589930 CJX589930:CLD589930 CAB589930:CBH589930 BQF589930:BRL589930 BGJ589930:BHP589930 AWN589930:AXT589930 AMR589930:ANX589930 ACV589930:AEB589930 SZ589930:UF589930 JD589930:KJ589930 B589930:AM589930 WVP524394:WWV524394 WLT524394:WMZ524394 WBX524394:WDD524394 VSB524394:VTH524394 VIF524394:VJL524394 UYJ524394:UZP524394 UON524394:UPT524394 UER524394:UFX524394 TUV524394:TWB524394 TKZ524394:TMF524394 TBD524394:TCJ524394 SRH524394:SSN524394 SHL524394:SIR524394 RXP524394:RYV524394 RNT524394:ROZ524394 RDX524394:RFD524394 QUB524394:QVH524394 QKF524394:QLL524394 QAJ524394:QBP524394 PQN524394:PRT524394 PGR524394:PHX524394 OWV524394:OYB524394 OMZ524394:OOF524394 ODD524394:OEJ524394 NTH524394:NUN524394 NJL524394:NKR524394 MZP524394:NAV524394 MPT524394:MQZ524394 MFX524394:MHD524394 LWB524394:LXH524394 LMF524394:LNL524394 LCJ524394:LDP524394 KSN524394:KTT524394 KIR524394:KJX524394 JYV524394:KAB524394 JOZ524394:JQF524394 JFD524394:JGJ524394 IVH524394:IWN524394 ILL524394:IMR524394 IBP524394:ICV524394 HRT524394:HSZ524394 HHX524394:HJD524394 GYB524394:GZH524394 GOF524394:GPL524394 GEJ524394:GFP524394 FUN524394:FVT524394 FKR524394:FLX524394 FAV524394:FCB524394 EQZ524394:ESF524394 EHD524394:EIJ524394 DXH524394:DYN524394 DNL524394:DOR524394 DDP524394:DEV524394 CTT524394:CUZ524394 CJX524394:CLD524394 CAB524394:CBH524394 BQF524394:BRL524394 BGJ524394:BHP524394 AWN524394:AXT524394 AMR524394:ANX524394 ACV524394:AEB524394 SZ524394:UF524394 JD524394:KJ524394 B524394:AM524394 WVP458858:WWV458858 WLT458858:WMZ458858 WBX458858:WDD458858 VSB458858:VTH458858 VIF458858:VJL458858 UYJ458858:UZP458858 UON458858:UPT458858 UER458858:UFX458858 TUV458858:TWB458858 TKZ458858:TMF458858 TBD458858:TCJ458858 SRH458858:SSN458858 SHL458858:SIR458858 RXP458858:RYV458858 RNT458858:ROZ458858 RDX458858:RFD458858 QUB458858:QVH458858 QKF458858:QLL458858 QAJ458858:QBP458858 PQN458858:PRT458858 PGR458858:PHX458858 OWV458858:OYB458858 OMZ458858:OOF458858 ODD458858:OEJ458858 NTH458858:NUN458858 NJL458858:NKR458858 MZP458858:NAV458858 MPT458858:MQZ458858 MFX458858:MHD458858 LWB458858:LXH458858 LMF458858:LNL458858 LCJ458858:LDP458858 KSN458858:KTT458858 KIR458858:KJX458858 JYV458858:KAB458858 JOZ458858:JQF458858 JFD458858:JGJ458858 IVH458858:IWN458858 ILL458858:IMR458858 IBP458858:ICV458858 HRT458858:HSZ458858 HHX458858:HJD458858 GYB458858:GZH458858 GOF458858:GPL458858 GEJ458858:GFP458858 FUN458858:FVT458858 FKR458858:FLX458858 FAV458858:FCB458858 EQZ458858:ESF458858 EHD458858:EIJ458858 DXH458858:DYN458858 DNL458858:DOR458858 DDP458858:DEV458858 CTT458858:CUZ458858 CJX458858:CLD458858 CAB458858:CBH458858 BQF458858:BRL458858 BGJ458858:BHP458858 AWN458858:AXT458858 AMR458858:ANX458858 ACV458858:AEB458858 SZ458858:UF458858 JD458858:KJ458858 B458858:AM458858 WVP393322:WWV393322 WLT393322:WMZ393322 WBX393322:WDD393322 VSB393322:VTH393322 VIF393322:VJL393322 UYJ393322:UZP393322 UON393322:UPT393322 UER393322:UFX393322 TUV393322:TWB393322 TKZ393322:TMF393322 TBD393322:TCJ393322 SRH393322:SSN393322 SHL393322:SIR393322 RXP393322:RYV393322 RNT393322:ROZ393322 RDX393322:RFD393322 QUB393322:QVH393322 QKF393322:QLL393322 QAJ393322:QBP393322 PQN393322:PRT393322 PGR393322:PHX393322 OWV393322:OYB393322 OMZ393322:OOF393322 ODD393322:OEJ393322 NTH393322:NUN393322 NJL393322:NKR393322 MZP393322:NAV393322 MPT393322:MQZ393322 MFX393322:MHD393322 LWB393322:LXH393322 LMF393322:LNL393322 LCJ393322:LDP393322 KSN393322:KTT393322 KIR393322:KJX393322 JYV393322:KAB393322 JOZ393322:JQF393322 JFD393322:JGJ393322 IVH393322:IWN393322 ILL393322:IMR393322 IBP393322:ICV393322 HRT393322:HSZ393322 HHX393322:HJD393322 GYB393322:GZH393322 GOF393322:GPL393322 GEJ393322:GFP393322 FUN393322:FVT393322 FKR393322:FLX393322 FAV393322:FCB393322 EQZ393322:ESF393322 EHD393322:EIJ393322 DXH393322:DYN393322 DNL393322:DOR393322 DDP393322:DEV393322 CTT393322:CUZ393322 CJX393322:CLD393322 CAB393322:CBH393322 BQF393322:BRL393322 BGJ393322:BHP393322 AWN393322:AXT393322 AMR393322:ANX393322 ACV393322:AEB393322 SZ393322:UF393322 JD393322:KJ393322 B393322:AM393322 WVP327786:WWV327786 WLT327786:WMZ327786 WBX327786:WDD327786 VSB327786:VTH327786 VIF327786:VJL327786 UYJ327786:UZP327786 UON327786:UPT327786 UER327786:UFX327786 TUV327786:TWB327786 TKZ327786:TMF327786 TBD327786:TCJ327786 SRH327786:SSN327786 SHL327786:SIR327786 RXP327786:RYV327786 RNT327786:ROZ327786 RDX327786:RFD327786 QUB327786:QVH327786 QKF327786:QLL327786 QAJ327786:QBP327786 PQN327786:PRT327786 PGR327786:PHX327786 OWV327786:OYB327786 OMZ327786:OOF327786 ODD327786:OEJ327786 NTH327786:NUN327786 NJL327786:NKR327786 MZP327786:NAV327786 MPT327786:MQZ327786 MFX327786:MHD327786 LWB327786:LXH327786 LMF327786:LNL327786 LCJ327786:LDP327786 KSN327786:KTT327786 KIR327786:KJX327786 JYV327786:KAB327786 JOZ327786:JQF327786 JFD327786:JGJ327786 IVH327786:IWN327786 ILL327786:IMR327786 IBP327786:ICV327786 HRT327786:HSZ327786 HHX327786:HJD327786 GYB327786:GZH327786 GOF327786:GPL327786 GEJ327786:GFP327786 FUN327786:FVT327786 FKR327786:FLX327786 FAV327786:FCB327786 EQZ327786:ESF327786 EHD327786:EIJ327786 DXH327786:DYN327786 DNL327786:DOR327786 DDP327786:DEV327786 CTT327786:CUZ327786 CJX327786:CLD327786 CAB327786:CBH327786 BQF327786:BRL327786 BGJ327786:BHP327786 AWN327786:AXT327786 AMR327786:ANX327786 ACV327786:AEB327786 SZ327786:UF327786 JD327786:KJ327786 B327786:AM327786 WVP262250:WWV262250 WLT262250:WMZ262250 WBX262250:WDD262250 VSB262250:VTH262250 VIF262250:VJL262250 UYJ262250:UZP262250 UON262250:UPT262250 UER262250:UFX262250 TUV262250:TWB262250 TKZ262250:TMF262250 TBD262250:TCJ262250 SRH262250:SSN262250 SHL262250:SIR262250 RXP262250:RYV262250 RNT262250:ROZ262250 RDX262250:RFD262250 QUB262250:QVH262250 QKF262250:QLL262250 QAJ262250:QBP262250 PQN262250:PRT262250 PGR262250:PHX262250 OWV262250:OYB262250 OMZ262250:OOF262250 ODD262250:OEJ262250 NTH262250:NUN262250 NJL262250:NKR262250 MZP262250:NAV262250 MPT262250:MQZ262250 MFX262250:MHD262250 LWB262250:LXH262250 LMF262250:LNL262250 LCJ262250:LDP262250 KSN262250:KTT262250 KIR262250:KJX262250 JYV262250:KAB262250 JOZ262250:JQF262250 JFD262250:JGJ262250 IVH262250:IWN262250 ILL262250:IMR262250 IBP262250:ICV262250 HRT262250:HSZ262250 HHX262250:HJD262250 GYB262250:GZH262250 GOF262250:GPL262250 GEJ262250:GFP262250 FUN262250:FVT262250 FKR262250:FLX262250 FAV262250:FCB262250 EQZ262250:ESF262250 EHD262250:EIJ262250 DXH262250:DYN262250 DNL262250:DOR262250 DDP262250:DEV262250 CTT262250:CUZ262250 CJX262250:CLD262250 CAB262250:CBH262250 BQF262250:BRL262250 BGJ262250:BHP262250 AWN262250:AXT262250 AMR262250:ANX262250 ACV262250:AEB262250 SZ262250:UF262250 JD262250:KJ262250 B262250:AM262250 WVP196714:WWV196714 WLT196714:WMZ196714 WBX196714:WDD196714 VSB196714:VTH196714 VIF196714:VJL196714 UYJ196714:UZP196714 UON196714:UPT196714 UER196714:UFX196714 TUV196714:TWB196714 TKZ196714:TMF196714 TBD196714:TCJ196714 SRH196714:SSN196714 SHL196714:SIR196714 RXP196714:RYV196714 RNT196714:ROZ196714 RDX196714:RFD196714 QUB196714:QVH196714 QKF196714:QLL196714 QAJ196714:QBP196714 PQN196714:PRT196714 PGR196714:PHX196714 OWV196714:OYB196714 OMZ196714:OOF196714 ODD196714:OEJ196714 NTH196714:NUN196714 NJL196714:NKR196714 MZP196714:NAV196714 MPT196714:MQZ196714 MFX196714:MHD196714 LWB196714:LXH196714 LMF196714:LNL196714 LCJ196714:LDP196714 KSN196714:KTT196714 KIR196714:KJX196714 JYV196714:KAB196714 JOZ196714:JQF196714 JFD196714:JGJ196714 IVH196714:IWN196714 ILL196714:IMR196714 IBP196714:ICV196714 HRT196714:HSZ196714 HHX196714:HJD196714 GYB196714:GZH196714 GOF196714:GPL196714 GEJ196714:GFP196714 FUN196714:FVT196714 FKR196714:FLX196714 FAV196714:FCB196714 EQZ196714:ESF196714 EHD196714:EIJ196714 DXH196714:DYN196714 DNL196714:DOR196714 DDP196714:DEV196714 CTT196714:CUZ196714 CJX196714:CLD196714 CAB196714:CBH196714 BQF196714:BRL196714 BGJ196714:BHP196714 AWN196714:AXT196714 AMR196714:ANX196714 ACV196714:AEB196714 SZ196714:UF196714 JD196714:KJ196714 B196714:AM196714 WVP131178:WWV131178 WLT131178:WMZ131178 WBX131178:WDD131178 VSB131178:VTH131178 VIF131178:VJL131178 UYJ131178:UZP131178 UON131178:UPT131178 UER131178:UFX131178 TUV131178:TWB131178 TKZ131178:TMF131178 TBD131178:TCJ131178 SRH131178:SSN131178 SHL131178:SIR131178 RXP131178:RYV131178 RNT131178:ROZ131178 RDX131178:RFD131178 QUB131178:QVH131178 QKF131178:QLL131178 QAJ131178:QBP131178 PQN131178:PRT131178 PGR131178:PHX131178 OWV131178:OYB131178 OMZ131178:OOF131178 ODD131178:OEJ131178 NTH131178:NUN131178 NJL131178:NKR131178 MZP131178:NAV131178 MPT131178:MQZ131178 MFX131178:MHD131178 LWB131178:LXH131178 LMF131178:LNL131178 LCJ131178:LDP131178 KSN131178:KTT131178 KIR131178:KJX131178 JYV131178:KAB131178 JOZ131178:JQF131178 JFD131178:JGJ131178 IVH131178:IWN131178 ILL131178:IMR131178 IBP131178:ICV131178 HRT131178:HSZ131178 HHX131178:HJD131178 GYB131178:GZH131178 GOF131178:GPL131178 GEJ131178:GFP131178 FUN131178:FVT131178 FKR131178:FLX131178 FAV131178:FCB131178 EQZ131178:ESF131178 EHD131178:EIJ131178 DXH131178:DYN131178 DNL131178:DOR131178 DDP131178:DEV131178 CTT131178:CUZ131178 CJX131178:CLD131178 CAB131178:CBH131178 BQF131178:BRL131178 BGJ131178:BHP131178 AWN131178:AXT131178 AMR131178:ANX131178 ACV131178:AEB131178 SZ131178:UF131178 JD131178:KJ131178 B131178:AM131178 WVP65642:WWV65642 WLT65642:WMZ65642 WBX65642:WDD65642 VSB65642:VTH65642 VIF65642:VJL65642 UYJ65642:UZP65642 UON65642:UPT65642 UER65642:UFX65642 TUV65642:TWB65642 TKZ65642:TMF65642 TBD65642:TCJ65642 SRH65642:SSN65642 SHL65642:SIR65642 RXP65642:RYV65642 RNT65642:ROZ65642 RDX65642:RFD65642 QUB65642:QVH65642 QKF65642:QLL65642 QAJ65642:QBP65642 PQN65642:PRT65642 PGR65642:PHX65642 OWV65642:OYB65642 OMZ65642:OOF65642 ODD65642:OEJ65642 NTH65642:NUN65642 NJL65642:NKR65642 MZP65642:NAV65642 MPT65642:MQZ65642 MFX65642:MHD65642 LWB65642:LXH65642 LMF65642:LNL65642 LCJ65642:LDP65642 KSN65642:KTT65642 KIR65642:KJX65642 JYV65642:KAB65642 JOZ65642:JQF65642 JFD65642:JGJ65642 IVH65642:IWN65642 ILL65642:IMR65642 IBP65642:ICV65642 HRT65642:HSZ65642 HHX65642:HJD65642 GYB65642:GZH65642 GOF65642:GPL65642 GEJ65642:GFP65642 FUN65642:FVT65642 FKR65642:FLX65642 FAV65642:FCB65642 EQZ65642:ESF65642 EHD65642:EIJ65642 DXH65642:DYN65642 DNL65642:DOR65642 DDP65642:DEV65642 CTT65642:CUZ65642 CJX65642:CLD65642 CAB65642:CBH65642 BQF65642:BRL65642 BGJ65642:BHP65642 AWN65642:AXT65642 AMR65642:ANX65642 ACV65642:AEB65642 SZ65642:UF65642 JD65642:KJ65642 B65642:AM65642 WVP91:WWV91 WLT91:WMZ91 WBX91:WDD91 VSB91:VTH91 VIF91:VJL91 UYJ91:UZP91 UON91:UPT91 UER91:UFX91 TUV91:TWB91 TKZ91:TMF91 TBD91:TCJ91 SRH91:SSN91 SHL91:SIR91 RXP91:RYV91 RNT91:ROZ91 RDX91:RFD91 QUB91:QVH91 QKF91:QLL91 QAJ91:QBP91 PQN91:PRT91 PGR91:PHX91 OWV91:OYB91 OMZ91:OOF91 ODD91:OEJ91 NTH91:NUN91 NJL91:NKR91 MZP91:NAV91 MPT91:MQZ91 MFX91:MHD91 LWB91:LXH91 LMF91:LNL91 LCJ91:LDP91 KSN91:KTT91 KIR91:KJX91 JYV91:KAB91 JOZ91:JQF91 JFD91:JGJ91 IVH91:IWN91 ILL91:IMR91 IBP91:ICV91 HRT91:HSZ91 HHX91:HJD91 GYB91:GZH91 GOF91:GPL91 GEJ91:GFP91 FUN91:FVT91 FKR91:FLX91 FAV91:FCB91 EQZ91:ESF91 EHD91:EIJ91 DXH91:DYN91 DNL91:DOR91 DDP91:DEV91 CTT91:CUZ91 CJX91:CLD91 CAB91:CBH91 BQF91:BRL91 BGJ91:BHP91 AWN91:AXT91 AMR91:ANX91 ACV91:AEB91 SZ91:UF91 JD91:KJ91 UYJ983138:UZP983138 WVP983148:WWV983148 WLT983148:WMZ983148 WBX983148:WDD983148 VSB983148:VTH983148 VIF983148:VJL983148 UYJ983148:UZP983148 UON983148:UPT983148 UER983148:UFX983148 TUV983148:TWB983148 TKZ983148:TMF983148 TBD983148:TCJ983148 SRH983148:SSN983148 SHL983148:SIR983148 RXP983148:RYV983148 RNT983148:ROZ983148 RDX983148:RFD983148 QUB983148:QVH983148 QKF983148:QLL983148 QAJ983148:QBP983148 PQN983148:PRT983148 PGR983148:PHX983148 OWV983148:OYB983148 OMZ983148:OOF983148 ODD983148:OEJ983148 NTH983148:NUN983148 NJL983148:NKR983148 MZP983148:NAV983148 MPT983148:MQZ983148 MFX983148:MHD983148 LWB983148:LXH983148 LMF983148:LNL983148 LCJ983148:LDP983148 KSN983148:KTT983148 KIR983148:KJX983148 JYV983148:KAB983148 JOZ983148:JQF983148 JFD983148:JGJ983148 IVH983148:IWN983148 ILL983148:IMR983148 IBP983148:ICV983148 HRT983148:HSZ983148 HHX983148:HJD983148 GYB983148:GZH983148 GOF983148:GPL983148 GEJ983148:GFP983148 FUN983148:FVT983148 FKR983148:FLX983148 FAV983148:FCB983148 EQZ983148:ESF983148 EHD983148:EIJ983148 DXH983148:DYN983148 DNL983148:DOR983148 DDP983148:DEV983148 CTT983148:CUZ983148 CJX983148:CLD983148 CAB983148:CBH983148 BQF983148:BRL983148 BGJ983148:BHP983148 AWN983148:AXT983148 AMR983148:ANX983148 ACV983148:AEB983148 SZ983148:UF983148 JD983148:KJ983148 B983148:AM983148 WVP917612:WWV917612 WLT917612:WMZ917612 WBX917612:WDD917612 VSB917612:VTH917612 VIF917612:VJL917612 UYJ917612:UZP917612 UON917612:UPT917612 UER917612:UFX917612 TUV917612:TWB917612 TKZ917612:TMF917612 TBD917612:TCJ917612 SRH917612:SSN917612 SHL917612:SIR917612 RXP917612:RYV917612 RNT917612:ROZ917612 RDX917612:RFD917612 QUB917612:QVH917612 QKF917612:QLL917612 QAJ917612:QBP917612 PQN917612:PRT917612 PGR917612:PHX917612 OWV917612:OYB917612 OMZ917612:OOF917612 ODD917612:OEJ917612 NTH917612:NUN917612 NJL917612:NKR917612 MZP917612:NAV917612 MPT917612:MQZ917612 MFX917612:MHD917612 LWB917612:LXH917612 LMF917612:LNL917612 LCJ917612:LDP917612 KSN917612:KTT917612 KIR917612:KJX917612 JYV917612:KAB917612 JOZ917612:JQF917612 JFD917612:JGJ917612 IVH917612:IWN917612 ILL917612:IMR917612 IBP917612:ICV917612 HRT917612:HSZ917612 HHX917612:HJD917612 GYB917612:GZH917612 GOF917612:GPL917612 GEJ917612:GFP917612 FUN917612:FVT917612 FKR917612:FLX917612 FAV917612:FCB917612 EQZ917612:ESF917612 EHD917612:EIJ917612 DXH917612:DYN917612 DNL917612:DOR917612 DDP917612:DEV917612 CTT917612:CUZ917612 CJX917612:CLD917612 CAB917612:CBH917612 BQF917612:BRL917612 BGJ917612:BHP917612 AWN917612:AXT917612 AMR917612:ANX917612 ACV917612:AEB917612 SZ917612:UF917612 JD917612:KJ917612 B917612:AM917612 WVP852076:WWV852076 WLT852076:WMZ852076 WBX852076:WDD852076 VSB852076:VTH852076 VIF852076:VJL852076 UYJ852076:UZP852076 UON852076:UPT852076 UER852076:UFX852076 TUV852076:TWB852076 TKZ852076:TMF852076 TBD852076:TCJ852076 SRH852076:SSN852076 SHL852076:SIR852076 RXP852076:RYV852076 RNT852076:ROZ852076 RDX852076:RFD852076 QUB852076:QVH852076 QKF852076:QLL852076 QAJ852076:QBP852076 PQN852076:PRT852076 PGR852076:PHX852076 OWV852076:OYB852076 OMZ852076:OOF852076 ODD852076:OEJ852076 NTH852076:NUN852076 NJL852076:NKR852076 MZP852076:NAV852076 MPT852076:MQZ852076 MFX852076:MHD852076 LWB852076:LXH852076 LMF852076:LNL852076 LCJ852076:LDP852076 KSN852076:KTT852076 KIR852076:KJX852076 JYV852076:KAB852076 JOZ852076:JQF852076 JFD852076:JGJ852076 IVH852076:IWN852076 ILL852076:IMR852076 IBP852076:ICV852076 HRT852076:HSZ852076 HHX852076:HJD852076 GYB852076:GZH852076 GOF852076:GPL852076 GEJ852076:GFP852076 FUN852076:FVT852076 FKR852076:FLX852076 FAV852076:FCB852076 EQZ852076:ESF852076 EHD852076:EIJ852076 DXH852076:DYN852076 DNL852076:DOR852076 DDP852076:DEV852076 CTT852076:CUZ852076 CJX852076:CLD852076 CAB852076:CBH852076 BQF852076:BRL852076 BGJ852076:BHP852076 AWN852076:AXT852076 AMR852076:ANX852076 ACV852076:AEB852076 SZ852076:UF852076 JD852076:KJ852076 B852076:AM852076 WVP786540:WWV786540 WLT786540:WMZ786540 WBX786540:WDD786540 VSB786540:VTH786540 VIF786540:VJL786540 UYJ786540:UZP786540 UON786540:UPT786540 UER786540:UFX786540 TUV786540:TWB786540 TKZ786540:TMF786540 TBD786540:TCJ786540 SRH786540:SSN786540 SHL786540:SIR786540 RXP786540:RYV786540 RNT786540:ROZ786540 RDX786540:RFD786540 QUB786540:QVH786540 QKF786540:QLL786540 QAJ786540:QBP786540 PQN786540:PRT786540 PGR786540:PHX786540 OWV786540:OYB786540 OMZ786540:OOF786540 ODD786540:OEJ786540 NTH786540:NUN786540 NJL786540:NKR786540 MZP786540:NAV786540 MPT786540:MQZ786540 MFX786540:MHD786540 LWB786540:LXH786540 LMF786540:LNL786540 LCJ786540:LDP786540 KSN786540:KTT786540 KIR786540:KJX786540 JYV786540:KAB786540 JOZ786540:JQF786540 JFD786540:JGJ786540 IVH786540:IWN786540 ILL786540:IMR786540 IBP786540:ICV786540 HRT786540:HSZ786540 HHX786540:HJD786540 GYB786540:GZH786540 GOF786540:GPL786540 GEJ786540:GFP786540 FUN786540:FVT786540 FKR786540:FLX786540 FAV786540:FCB786540 EQZ786540:ESF786540 EHD786540:EIJ786540 DXH786540:DYN786540 DNL786540:DOR786540 DDP786540:DEV786540 CTT786540:CUZ786540 CJX786540:CLD786540 CAB786540:CBH786540 BQF786540:BRL786540 BGJ786540:BHP786540 AWN786540:AXT786540 AMR786540:ANX786540 ACV786540:AEB786540 SZ786540:UF786540 JD786540:KJ786540 B786540:AM786540 WVP721004:WWV721004 WLT721004:WMZ721004 WBX721004:WDD721004 VSB721004:VTH721004 VIF721004:VJL721004 UYJ721004:UZP721004 UON721004:UPT721004 UER721004:UFX721004 TUV721004:TWB721004 TKZ721004:TMF721004 TBD721004:TCJ721004 SRH721004:SSN721004 SHL721004:SIR721004 RXP721004:RYV721004 RNT721004:ROZ721004 RDX721004:RFD721004 QUB721004:QVH721004 QKF721004:QLL721004 QAJ721004:QBP721004 PQN721004:PRT721004 PGR721004:PHX721004 OWV721004:OYB721004 OMZ721004:OOF721004 ODD721004:OEJ721004 NTH721004:NUN721004 NJL721004:NKR721004 MZP721004:NAV721004 MPT721004:MQZ721004 MFX721004:MHD721004 LWB721004:LXH721004 LMF721004:LNL721004 LCJ721004:LDP721004 KSN721004:KTT721004 KIR721004:KJX721004 JYV721004:KAB721004 JOZ721004:JQF721004 JFD721004:JGJ721004 IVH721004:IWN721004 ILL721004:IMR721004 IBP721004:ICV721004 HRT721004:HSZ721004 HHX721004:HJD721004 GYB721004:GZH721004 GOF721004:GPL721004 GEJ721004:GFP721004 FUN721004:FVT721004 FKR721004:FLX721004 FAV721004:FCB721004 EQZ721004:ESF721004 EHD721004:EIJ721004 DXH721004:DYN721004 DNL721004:DOR721004 DDP721004:DEV721004 CTT721004:CUZ721004 CJX721004:CLD721004 CAB721004:CBH721004 BQF721004:BRL721004 BGJ721004:BHP721004 AWN721004:AXT721004 AMR721004:ANX721004 ACV721004:AEB721004 SZ721004:UF721004 JD721004:KJ721004 B721004:AM721004 WVP655468:WWV655468 WLT655468:WMZ655468 WBX655468:WDD655468 VSB655468:VTH655468 VIF655468:VJL655468 UYJ655468:UZP655468 UON655468:UPT655468 UER655468:UFX655468 TUV655468:TWB655468 TKZ655468:TMF655468 TBD655468:TCJ655468 SRH655468:SSN655468 SHL655468:SIR655468 RXP655468:RYV655468 RNT655468:ROZ655468 RDX655468:RFD655468 QUB655468:QVH655468 QKF655468:QLL655468 QAJ655468:QBP655468 PQN655468:PRT655468 PGR655468:PHX655468 OWV655468:OYB655468 OMZ655468:OOF655468 ODD655468:OEJ655468 NTH655468:NUN655468 NJL655468:NKR655468 MZP655468:NAV655468 MPT655468:MQZ655468 MFX655468:MHD655468 LWB655468:LXH655468 LMF655468:LNL655468 LCJ655468:LDP655468 KSN655468:KTT655468 KIR655468:KJX655468 JYV655468:KAB655468 JOZ655468:JQF655468 JFD655468:JGJ655468 IVH655468:IWN655468 ILL655468:IMR655468 IBP655468:ICV655468 HRT655468:HSZ655468 HHX655468:HJD655468 GYB655468:GZH655468 GOF655468:GPL655468 GEJ655468:GFP655468 FUN655468:FVT655468 FKR655468:FLX655468 FAV655468:FCB655468 EQZ655468:ESF655468 EHD655468:EIJ655468 DXH655468:DYN655468 DNL655468:DOR655468 DDP655468:DEV655468 CTT655468:CUZ655468 CJX655468:CLD655468 CAB655468:CBH655468 BQF655468:BRL655468 BGJ655468:BHP655468 AWN655468:AXT655468 AMR655468:ANX655468 ACV655468:AEB655468 SZ655468:UF655468 JD655468:KJ655468 B655468:AM655468 WVP589932:WWV589932 WLT589932:WMZ589932 WBX589932:WDD589932 VSB589932:VTH589932 VIF589932:VJL589932 UYJ589932:UZP589932 UON589932:UPT589932 UER589932:UFX589932 TUV589932:TWB589932 TKZ589932:TMF589932 TBD589932:TCJ589932 SRH589932:SSN589932 SHL589932:SIR589932 RXP589932:RYV589932 RNT589932:ROZ589932 RDX589932:RFD589932 QUB589932:QVH589932 QKF589932:QLL589932 QAJ589932:QBP589932 PQN589932:PRT589932 PGR589932:PHX589932 OWV589932:OYB589932 OMZ589932:OOF589932 ODD589932:OEJ589932 NTH589932:NUN589932 NJL589932:NKR589932 MZP589932:NAV589932 MPT589932:MQZ589932 MFX589932:MHD589932 LWB589932:LXH589932 LMF589932:LNL589932 LCJ589932:LDP589932 KSN589932:KTT589932 KIR589932:KJX589932 JYV589932:KAB589932 JOZ589932:JQF589932 JFD589932:JGJ589932 IVH589932:IWN589932 ILL589932:IMR589932 IBP589932:ICV589932 HRT589932:HSZ589932 HHX589932:HJD589932 GYB589932:GZH589932 GOF589932:GPL589932 GEJ589932:GFP589932 FUN589932:FVT589932 FKR589932:FLX589932 FAV589932:FCB589932 EQZ589932:ESF589932 EHD589932:EIJ589932 DXH589932:DYN589932 DNL589932:DOR589932 DDP589932:DEV589932 CTT589932:CUZ589932 CJX589932:CLD589932 CAB589932:CBH589932 BQF589932:BRL589932 BGJ589932:BHP589932 AWN589932:AXT589932 AMR589932:ANX589932 ACV589932:AEB589932 SZ589932:UF589932 JD589932:KJ589932 B589932:AM589932 WVP524396:WWV524396 WLT524396:WMZ524396 WBX524396:WDD524396 VSB524396:VTH524396 VIF524396:VJL524396 UYJ524396:UZP524396 UON524396:UPT524396 UER524396:UFX524396 TUV524396:TWB524396 TKZ524396:TMF524396 TBD524396:TCJ524396 SRH524396:SSN524396 SHL524396:SIR524396 RXP524396:RYV524396 RNT524396:ROZ524396 RDX524396:RFD524396 QUB524396:QVH524396 QKF524396:QLL524396 QAJ524396:QBP524396 PQN524396:PRT524396 PGR524396:PHX524396 OWV524396:OYB524396 OMZ524396:OOF524396 ODD524396:OEJ524396 NTH524396:NUN524396 NJL524396:NKR524396 MZP524396:NAV524396 MPT524396:MQZ524396 MFX524396:MHD524396 LWB524396:LXH524396 LMF524396:LNL524396 LCJ524396:LDP524396 KSN524396:KTT524396 KIR524396:KJX524396 JYV524396:KAB524396 JOZ524396:JQF524396 JFD524396:JGJ524396 IVH524396:IWN524396 ILL524396:IMR524396 IBP524396:ICV524396 HRT524396:HSZ524396 HHX524396:HJD524396 GYB524396:GZH524396 GOF524396:GPL524396 GEJ524396:GFP524396 FUN524396:FVT524396 FKR524396:FLX524396 FAV524396:FCB524396 EQZ524396:ESF524396 EHD524396:EIJ524396 DXH524396:DYN524396 DNL524396:DOR524396 DDP524396:DEV524396 CTT524396:CUZ524396 CJX524396:CLD524396 CAB524396:CBH524396 BQF524396:BRL524396 BGJ524396:BHP524396 AWN524396:AXT524396 AMR524396:ANX524396 ACV524396:AEB524396 SZ524396:UF524396 JD524396:KJ524396 B524396:AM524396 WVP458860:WWV458860 WLT458860:WMZ458860 WBX458860:WDD458860 VSB458860:VTH458860 VIF458860:VJL458860 UYJ458860:UZP458860 UON458860:UPT458860 UER458860:UFX458860 TUV458860:TWB458860 TKZ458860:TMF458860 TBD458860:TCJ458860 SRH458860:SSN458860 SHL458860:SIR458860 RXP458860:RYV458860 RNT458860:ROZ458860 RDX458860:RFD458860 QUB458860:QVH458860 QKF458860:QLL458860 QAJ458860:QBP458860 PQN458860:PRT458860 PGR458860:PHX458860 OWV458860:OYB458860 OMZ458860:OOF458860 ODD458860:OEJ458860 NTH458860:NUN458860 NJL458860:NKR458860 MZP458860:NAV458860 MPT458860:MQZ458860 MFX458860:MHD458860 LWB458860:LXH458860 LMF458860:LNL458860 LCJ458860:LDP458860 KSN458860:KTT458860 KIR458860:KJX458860 JYV458860:KAB458860 JOZ458860:JQF458860 JFD458860:JGJ458860 IVH458860:IWN458860 ILL458860:IMR458860 IBP458860:ICV458860 HRT458860:HSZ458860 HHX458860:HJD458860 GYB458860:GZH458860 GOF458860:GPL458860 GEJ458860:GFP458860 FUN458860:FVT458860 FKR458860:FLX458860 FAV458860:FCB458860 EQZ458860:ESF458860 EHD458860:EIJ458860 DXH458860:DYN458860 DNL458860:DOR458860 DDP458860:DEV458860 CTT458860:CUZ458860 CJX458860:CLD458860 CAB458860:CBH458860 BQF458860:BRL458860 BGJ458860:BHP458860 AWN458860:AXT458860 AMR458860:ANX458860 ACV458860:AEB458860 SZ458860:UF458860 JD458860:KJ458860 B458860:AM458860 WVP393324:WWV393324 WLT393324:WMZ393324 WBX393324:WDD393324 VSB393324:VTH393324 VIF393324:VJL393324 UYJ393324:UZP393324 UON393324:UPT393324 UER393324:UFX393324 TUV393324:TWB393324 TKZ393324:TMF393324 TBD393324:TCJ393324 SRH393324:SSN393324 SHL393324:SIR393324 RXP393324:RYV393324 RNT393324:ROZ393324 RDX393324:RFD393324 QUB393324:QVH393324 QKF393324:QLL393324 QAJ393324:QBP393324 PQN393324:PRT393324 PGR393324:PHX393324 OWV393324:OYB393324 OMZ393324:OOF393324 ODD393324:OEJ393324 NTH393324:NUN393324 NJL393324:NKR393324 MZP393324:NAV393324 MPT393324:MQZ393324 MFX393324:MHD393324 LWB393324:LXH393324 LMF393324:LNL393324 LCJ393324:LDP393324 KSN393324:KTT393324 KIR393324:KJX393324 JYV393324:KAB393324 JOZ393324:JQF393324 JFD393324:JGJ393324 IVH393324:IWN393324 ILL393324:IMR393324 IBP393324:ICV393324 HRT393324:HSZ393324 HHX393324:HJD393324 GYB393324:GZH393324 GOF393324:GPL393324 GEJ393324:GFP393324 FUN393324:FVT393324 FKR393324:FLX393324 FAV393324:FCB393324 EQZ393324:ESF393324 EHD393324:EIJ393324 DXH393324:DYN393324 DNL393324:DOR393324 DDP393324:DEV393324 CTT393324:CUZ393324 CJX393324:CLD393324 CAB393324:CBH393324 BQF393324:BRL393324 BGJ393324:BHP393324 AWN393324:AXT393324 AMR393324:ANX393324 ACV393324:AEB393324 SZ393324:UF393324 JD393324:KJ393324 B393324:AM393324 WVP327788:WWV327788 WLT327788:WMZ327788 WBX327788:WDD327788 VSB327788:VTH327788 VIF327788:VJL327788 UYJ327788:UZP327788 UON327788:UPT327788 UER327788:UFX327788 TUV327788:TWB327788 TKZ327788:TMF327788 TBD327788:TCJ327788 SRH327788:SSN327788 SHL327788:SIR327788 RXP327788:RYV327788 RNT327788:ROZ327788 RDX327788:RFD327788 QUB327788:QVH327788 QKF327788:QLL327788 QAJ327788:QBP327788 PQN327788:PRT327788 PGR327788:PHX327788 OWV327788:OYB327788 OMZ327788:OOF327788 ODD327788:OEJ327788 NTH327788:NUN327788 NJL327788:NKR327788 MZP327788:NAV327788 MPT327788:MQZ327788 MFX327788:MHD327788 LWB327788:LXH327788 LMF327788:LNL327788 LCJ327788:LDP327788 KSN327788:KTT327788 KIR327788:KJX327788 JYV327788:KAB327788 JOZ327788:JQF327788 JFD327788:JGJ327788 IVH327788:IWN327788 ILL327788:IMR327788 IBP327788:ICV327788 HRT327788:HSZ327788 HHX327788:HJD327788 GYB327788:GZH327788 GOF327788:GPL327788 GEJ327788:GFP327788 FUN327788:FVT327788 FKR327788:FLX327788 FAV327788:FCB327788 EQZ327788:ESF327788 EHD327788:EIJ327788 DXH327788:DYN327788 DNL327788:DOR327788 DDP327788:DEV327788 CTT327788:CUZ327788 CJX327788:CLD327788 CAB327788:CBH327788 BQF327788:BRL327788 BGJ327788:BHP327788 AWN327788:AXT327788 AMR327788:ANX327788 ACV327788:AEB327788 SZ327788:UF327788 JD327788:KJ327788 B327788:AM327788 WVP262252:WWV262252 WLT262252:WMZ262252 WBX262252:WDD262252 VSB262252:VTH262252 VIF262252:VJL262252 UYJ262252:UZP262252 UON262252:UPT262252 UER262252:UFX262252 TUV262252:TWB262252 TKZ262252:TMF262252 TBD262252:TCJ262252 SRH262252:SSN262252 SHL262252:SIR262252 RXP262252:RYV262252 RNT262252:ROZ262252 RDX262252:RFD262252 QUB262252:QVH262252 QKF262252:QLL262252 QAJ262252:QBP262252 PQN262252:PRT262252 PGR262252:PHX262252 OWV262252:OYB262252 OMZ262252:OOF262252 ODD262252:OEJ262252 NTH262252:NUN262252 NJL262252:NKR262252 MZP262252:NAV262252 MPT262252:MQZ262252 MFX262252:MHD262252 LWB262252:LXH262252 LMF262252:LNL262252 LCJ262252:LDP262252 KSN262252:KTT262252 KIR262252:KJX262252 JYV262252:KAB262252 JOZ262252:JQF262252 JFD262252:JGJ262252 IVH262252:IWN262252 ILL262252:IMR262252 IBP262252:ICV262252 HRT262252:HSZ262252 HHX262252:HJD262252 GYB262252:GZH262252 GOF262252:GPL262252 GEJ262252:GFP262252 FUN262252:FVT262252 FKR262252:FLX262252 FAV262252:FCB262252 EQZ262252:ESF262252 EHD262252:EIJ262252 DXH262252:DYN262252 DNL262252:DOR262252 DDP262252:DEV262252 CTT262252:CUZ262252 CJX262252:CLD262252 CAB262252:CBH262252 BQF262252:BRL262252 BGJ262252:BHP262252 AWN262252:AXT262252 AMR262252:ANX262252 ACV262252:AEB262252 SZ262252:UF262252 JD262252:KJ262252 B262252:AM262252 WVP196716:WWV196716 WLT196716:WMZ196716 WBX196716:WDD196716 VSB196716:VTH196716 VIF196716:VJL196716 UYJ196716:UZP196716 UON196716:UPT196716 UER196716:UFX196716 TUV196716:TWB196716 TKZ196716:TMF196716 TBD196716:TCJ196716 SRH196716:SSN196716 SHL196716:SIR196716 RXP196716:RYV196716 RNT196716:ROZ196716 RDX196716:RFD196716 QUB196716:QVH196716 QKF196716:QLL196716 QAJ196716:QBP196716 PQN196716:PRT196716 PGR196716:PHX196716 OWV196716:OYB196716 OMZ196716:OOF196716 ODD196716:OEJ196716 NTH196716:NUN196716 NJL196716:NKR196716 MZP196716:NAV196716 MPT196716:MQZ196716 MFX196716:MHD196716 LWB196716:LXH196716 LMF196716:LNL196716 LCJ196716:LDP196716 KSN196716:KTT196716 KIR196716:KJX196716 JYV196716:KAB196716 JOZ196716:JQF196716 JFD196716:JGJ196716 IVH196716:IWN196716 ILL196716:IMR196716 IBP196716:ICV196716 HRT196716:HSZ196716 HHX196716:HJD196716 GYB196716:GZH196716 GOF196716:GPL196716 GEJ196716:GFP196716 FUN196716:FVT196716 FKR196716:FLX196716 FAV196716:FCB196716 EQZ196716:ESF196716 EHD196716:EIJ196716 DXH196716:DYN196716 DNL196716:DOR196716 DDP196716:DEV196716 CTT196716:CUZ196716 CJX196716:CLD196716 CAB196716:CBH196716 BQF196716:BRL196716 BGJ196716:BHP196716 AWN196716:AXT196716 AMR196716:ANX196716 ACV196716:AEB196716 SZ196716:UF196716 JD196716:KJ196716 B196716:AM196716 WVP131180:WWV131180 WLT131180:WMZ131180 WBX131180:WDD131180 VSB131180:VTH131180 VIF131180:VJL131180 UYJ131180:UZP131180 UON131180:UPT131180 UER131180:UFX131180 TUV131180:TWB131180 TKZ131180:TMF131180 TBD131180:TCJ131180 SRH131180:SSN131180 SHL131180:SIR131180 RXP131180:RYV131180 RNT131180:ROZ131180 RDX131180:RFD131180 QUB131180:QVH131180 QKF131180:QLL131180 QAJ131180:QBP131180 PQN131180:PRT131180 PGR131180:PHX131180 OWV131180:OYB131180 OMZ131180:OOF131180 ODD131180:OEJ131180 NTH131180:NUN131180 NJL131180:NKR131180 MZP131180:NAV131180 MPT131180:MQZ131180 MFX131180:MHD131180 LWB131180:LXH131180 LMF131180:LNL131180 LCJ131180:LDP131180 KSN131180:KTT131180 KIR131180:KJX131180 JYV131180:KAB131180 JOZ131180:JQF131180 JFD131180:JGJ131180 IVH131180:IWN131180 ILL131180:IMR131180 IBP131180:ICV131180 HRT131180:HSZ131180 HHX131180:HJD131180 GYB131180:GZH131180 GOF131180:GPL131180 GEJ131180:GFP131180 FUN131180:FVT131180 FKR131180:FLX131180 FAV131180:FCB131180 EQZ131180:ESF131180 EHD131180:EIJ131180 DXH131180:DYN131180 DNL131180:DOR131180 DDP131180:DEV131180 CTT131180:CUZ131180 CJX131180:CLD131180 CAB131180:CBH131180 BQF131180:BRL131180 BGJ131180:BHP131180 AWN131180:AXT131180 AMR131180:ANX131180 ACV131180:AEB131180 SZ131180:UF131180 JD131180:KJ131180 B131180:AM131180 WVP65644:WWV65644 WLT65644:WMZ65644 WBX65644:WDD65644 VSB65644:VTH65644 VIF65644:VJL65644 UYJ65644:UZP65644 UON65644:UPT65644 UER65644:UFX65644 TUV65644:TWB65644 TKZ65644:TMF65644 TBD65644:TCJ65644 SRH65644:SSN65644 SHL65644:SIR65644 RXP65644:RYV65644 RNT65644:ROZ65644 RDX65644:RFD65644 QUB65644:QVH65644 QKF65644:QLL65644 QAJ65644:QBP65644 PQN65644:PRT65644 PGR65644:PHX65644 OWV65644:OYB65644 OMZ65644:OOF65644 ODD65644:OEJ65644 NTH65644:NUN65644 NJL65644:NKR65644 MZP65644:NAV65644 MPT65644:MQZ65644 MFX65644:MHD65644 LWB65644:LXH65644 LMF65644:LNL65644 LCJ65644:LDP65644 KSN65644:KTT65644 KIR65644:KJX65644 JYV65644:KAB65644 JOZ65644:JQF65644 JFD65644:JGJ65644 IVH65644:IWN65644 ILL65644:IMR65644 IBP65644:ICV65644 HRT65644:HSZ65644 HHX65644:HJD65644 GYB65644:GZH65644 GOF65644:GPL65644 GEJ65644:GFP65644 FUN65644:FVT65644 FKR65644:FLX65644 FAV65644:FCB65644 EQZ65644:ESF65644 EHD65644:EIJ65644 DXH65644:DYN65644 DNL65644:DOR65644 DDP65644:DEV65644 CTT65644:CUZ65644 CJX65644:CLD65644 CAB65644:CBH65644 BQF65644:BRL65644 BGJ65644:BHP65644 AWN65644:AXT65644 AMR65644:ANX65644 ACV65644:AEB65644 SZ65644:UF65644 JD65644:KJ65644 B65644:AM65644 WVP93:WWV93 WLT93:WMZ93 WBX93:WDD93 VSB93:VTH93 VIF93:VJL93 UYJ93:UZP93 UON93:UPT93 UER93:UFX93 TUV93:TWB93 TKZ93:TMF93 TBD93:TCJ93 SRH93:SSN93 SHL93:SIR93 RXP93:RYV93 RNT93:ROZ93 RDX93:RFD93 QUB93:QVH93 QKF93:QLL93 QAJ93:QBP93 PQN93:PRT93 PGR93:PHX93 OWV93:OYB93 OMZ93:OOF93 ODD93:OEJ93 NTH93:NUN93 NJL93:NKR93 MZP93:NAV93 MPT93:MQZ93 MFX93:MHD93 LWB93:LXH93 LMF93:LNL93 LCJ93:LDP93 KSN93:KTT93 KIR93:KJX93 JYV93:KAB93 JOZ93:JQF93 JFD93:JGJ93 IVH93:IWN93 ILL93:IMR93 IBP93:ICV93 HRT93:HSZ93 HHX93:HJD93 GYB93:GZH93 GOF93:GPL93 GEJ93:GFP93 FUN93:FVT93 FKR93:FLX93 FAV93:FCB93 EQZ93:ESF93 EHD93:EIJ93 DXH93:DYN93 DNL93:DOR93 DDP93:DEV93 CTT93:CUZ93 CJX93:CLD93 CAB93:CBH93 BQF93:BRL93 BGJ93:BHP93 AWN93:AXT93 AMR93:ANX93 ACV93:AEB93 SZ93:UF93 JD93:KJ93 UON983138:UPT983138 WVP983136:WWV983136 WLT983136:WMZ983136 WBX983136:WDD983136 VSB983136:VTH983136 VIF983136:VJL983136 UYJ983136:UZP983136 UON983136:UPT983136 UER983136:UFX983136 TUV983136:TWB983136 TKZ983136:TMF983136 TBD983136:TCJ983136 SRH983136:SSN983136 SHL983136:SIR983136 RXP983136:RYV983136 RNT983136:ROZ983136 RDX983136:RFD983136 QUB983136:QVH983136 QKF983136:QLL983136 QAJ983136:QBP983136 PQN983136:PRT983136 PGR983136:PHX983136 OWV983136:OYB983136 OMZ983136:OOF983136 ODD983136:OEJ983136 NTH983136:NUN983136 NJL983136:NKR983136 MZP983136:NAV983136 MPT983136:MQZ983136 MFX983136:MHD983136 LWB983136:LXH983136 LMF983136:LNL983136 LCJ983136:LDP983136 KSN983136:KTT983136 KIR983136:KJX983136 JYV983136:KAB983136 JOZ983136:JQF983136 JFD983136:JGJ983136 IVH983136:IWN983136 ILL983136:IMR983136 IBP983136:ICV983136 HRT983136:HSZ983136 HHX983136:HJD983136 GYB983136:GZH983136 GOF983136:GPL983136 GEJ983136:GFP983136 FUN983136:FVT983136 FKR983136:FLX983136 FAV983136:FCB983136 EQZ983136:ESF983136 EHD983136:EIJ983136 DXH983136:DYN983136 DNL983136:DOR983136 DDP983136:DEV983136 CTT983136:CUZ983136 CJX983136:CLD983136 CAB983136:CBH983136 BQF983136:BRL983136 BGJ983136:BHP983136 AWN983136:AXT983136 AMR983136:ANX983136 ACV983136:AEB983136 SZ983136:UF983136 JD983136:KJ983136 B983136:AM983136 WVP917600:WWV917600 WLT917600:WMZ917600 WBX917600:WDD917600 VSB917600:VTH917600 VIF917600:VJL917600 UYJ917600:UZP917600 UON917600:UPT917600 UER917600:UFX917600 TUV917600:TWB917600 TKZ917600:TMF917600 TBD917600:TCJ917600 SRH917600:SSN917600 SHL917600:SIR917600 RXP917600:RYV917600 RNT917600:ROZ917600 RDX917600:RFD917600 QUB917600:QVH917600 QKF917600:QLL917600 QAJ917600:QBP917600 PQN917600:PRT917600 PGR917600:PHX917600 OWV917600:OYB917600 OMZ917600:OOF917600 ODD917600:OEJ917600 NTH917600:NUN917600 NJL917600:NKR917600 MZP917600:NAV917600 MPT917600:MQZ917600 MFX917600:MHD917600 LWB917600:LXH917600 LMF917600:LNL917600 LCJ917600:LDP917600 KSN917600:KTT917600 KIR917600:KJX917600 JYV917600:KAB917600 JOZ917600:JQF917600 JFD917600:JGJ917600 IVH917600:IWN917600 ILL917600:IMR917600 IBP917600:ICV917600 HRT917600:HSZ917600 HHX917600:HJD917600 GYB917600:GZH917600 GOF917600:GPL917600 GEJ917600:GFP917600 FUN917600:FVT917600 FKR917600:FLX917600 FAV917600:FCB917600 EQZ917600:ESF917600 EHD917600:EIJ917600 DXH917600:DYN917600 DNL917600:DOR917600 DDP917600:DEV917600 CTT917600:CUZ917600 CJX917600:CLD917600 CAB917600:CBH917600 BQF917600:BRL917600 BGJ917600:BHP917600 AWN917600:AXT917600 AMR917600:ANX917600 ACV917600:AEB917600 SZ917600:UF917600 JD917600:KJ917600 B917600:AM917600 WVP852064:WWV852064 WLT852064:WMZ852064 WBX852064:WDD852064 VSB852064:VTH852064 VIF852064:VJL852064 UYJ852064:UZP852064 UON852064:UPT852064 UER852064:UFX852064 TUV852064:TWB852064 TKZ852064:TMF852064 TBD852064:TCJ852064 SRH852064:SSN852064 SHL852064:SIR852064 RXP852064:RYV852064 RNT852064:ROZ852064 RDX852064:RFD852064 QUB852064:QVH852064 QKF852064:QLL852064 QAJ852064:QBP852064 PQN852064:PRT852064 PGR852064:PHX852064 OWV852064:OYB852064 OMZ852064:OOF852064 ODD852064:OEJ852064 NTH852064:NUN852064 NJL852064:NKR852064 MZP852064:NAV852064 MPT852064:MQZ852064 MFX852064:MHD852064 LWB852064:LXH852064 LMF852064:LNL852064 LCJ852064:LDP852064 KSN852064:KTT852064 KIR852064:KJX852064 JYV852064:KAB852064 JOZ852064:JQF852064 JFD852064:JGJ852064 IVH852064:IWN852064 ILL852064:IMR852064 IBP852064:ICV852064 HRT852064:HSZ852064 HHX852064:HJD852064 GYB852064:GZH852064 GOF852064:GPL852064 GEJ852064:GFP852064 FUN852064:FVT852064 FKR852064:FLX852064 FAV852064:FCB852064 EQZ852064:ESF852064 EHD852064:EIJ852064 DXH852064:DYN852064 DNL852064:DOR852064 DDP852064:DEV852064 CTT852064:CUZ852064 CJX852064:CLD852064 CAB852064:CBH852064 BQF852064:BRL852064 BGJ852064:BHP852064 AWN852064:AXT852064 AMR852064:ANX852064 ACV852064:AEB852064 SZ852064:UF852064 JD852064:KJ852064 B852064:AM852064 WVP786528:WWV786528 WLT786528:WMZ786528 WBX786528:WDD786528 VSB786528:VTH786528 VIF786528:VJL786528 UYJ786528:UZP786528 UON786528:UPT786528 UER786528:UFX786528 TUV786528:TWB786528 TKZ786528:TMF786528 TBD786528:TCJ786528 SRH786528:SSN786528 SHL786528:SIR786528 RXP786528:RYV786528 RNT786528:ROZ786528 RDX786528:RFD786528 QUB786528:QVH786528 QKF786528:QLL786528 QAJ786528:QBP786528 PQN786528:PRT786528 PGR786528:PHX786528 OWV786528:OYB786528 OMZ786528:OOF786528 ODD786528:OEJ786528 NTH786528:NUN786528 NJL786528:NKR786528 MZP786528:NAV786528 MPT786528:MQZ786528 MFX786528:MHD786528 LWB786528:LXH786528 LMF786528:LNL786528 LCJ786528:LDP786528 KSN786528:KTT786528 KIR786528:KJX786528 JYV786528:KAB786528 JOZ786528:JQF786528 JFD786528:JGJ786528 IVH786528:IWN786528 ILL786528:IMR786528 IBP786528:ICV786528 HRT786528:HSZ786528 HHX786528:HJD786528 GYB786528:GZH786528 GOF786528:GPL786528 GEJ786528:GFP786528 FUN786528:FVT786528 FKR786528:FLX786528 FAV786528:FCB786528 EQZ786528:ESF786528 EHD786528:EIJ786528 DXH786528:DYN786528 DNL786528:DOR786528 DDP786528:DEV786528 CTT786528:CUZ786528 CJX786528:CLD786528 CAB786528:CBH786528 BQF786528:BRL786528 BGJ786528:BHP786528 AWN786528:AXT786528 AMR786528:ANX786528 ACV786528:AEB786528 SZ786528:UF786528 JD786528:KJ786528 B786528:AM786528 WVP720992:WWV720992 WLT720992:WMZ720992 WBX720992:WDD720992 VSB720992:VTH720992 VIF720992:VJL720992 UYJ720992:UZP720992 UON720992:UPT720992 UER720992:UFX720992 TUV720992:TWB720992 TKZ720992:TMF720992 TBD720992:TCJ720992 SRH720992:SSN720992 SHL720992:SIR720992 RXP720992:RYV720992 RNT720992:ROZ720992 RDX720992:RFD720992 QUB720992:QVH720992 QKF720992:QLL720992 QAJ720992:QBP720992 PQN720992:PRT720992 PGR720992:PHX720992 OWV720992:OYB720992 OMZ720992:OOF720992 ODD720992:OEJ720992 NTH720992:NUN720992 NJL720992:NKR720992 MZP720992:NAV720992 MPT720992:MQZ720992 MFX720992:MHD720992 LWB720992:LXH720992 LMF720992:LNL720992 LCJ720992:LDP720992 KSN720992:KTT720992 KIR720992:KJX720992 JYV720992:KAB720992 JOZ720992:JQF720992 JFD720992:JGJ720992 IVH720992:IWN720992 ILL720992:IMR720992 IBP720992:ICV720992 HRT720992:HSZ720992 HHX720992:HJD720992 GYB720992:GZH720992 GOF720992:GPL720992 GEJ720992:GFP720992 FUN720992:FVT720992 FKR720992:FLX720992 FAV720992:FCB720992 EQZ720992:ESF720992 EHD720992:EIJ720992 DXH720992:DYN720992 DNL720992:DOR720992 DDP720992:DEV720992 CTT720992:CUZ720992 CJX720992:CLD720992 CAB720992:CBH720992 BQF720992:BRL720992 BGJ720992:BHP720992 AWN720992:AXT720992 AMR720992:ANX720992 ACV720992:AEB720992 SZ720992:UF720992 JD720992:KJ720992 B720992:AM720992 WVP655456:WWV655456 WLT655456:WMZ655456 WBX655456:WDD655456 VSB655456:VTH655456 VIF655456:VJL655456 UYJ655456:UZP655456 UON655456:UPT655456 UER655456:UFX655456 TUV655456:TWB655456 TKZ655456:TMF655456 TBD655456:TCJ655456 SRH655456:SSN655456 SHL655456:SIR655456 RXP655456:RYV655456 RNT655456:ROZ655456 RDX655456:RFD655456 QUB655456:QVH655456 QKF655456:QLL655456 QAJ655456:QBP655456 PQN655456:PRT655456 PGR655456:PHX655456 OWV655456:OYB655456 OMZ655456:OOF655456 ODD655456:OEJ655456 NTH655456:NUN655456 NJL655456:NKR655456 MZP655456:NAV655456 MPT655456:MQZ655456 MFX655456:MHD655456 LWB655456:LXH655456 LMF655456:LNL655456 LCJ655456:LDP655456 KSN655456:KTT655456 KIR655456:KJX655456 JYV655456:KAB655456 JOZ655456:JQF655456 JFD655456:JGJ655456 IVH655456:IWN655456 ILL655456:IMR655456 IBP655456:ICV655456 HRT655456:HSZ655456 HHX655456:HJD655456 GYB655456:GZH655456 GOF655456:GPL655456 GEJ655456:GFP655456 FUN655456:FVT655456 FKR655456:FLX655456 FAV655456:FCB655456 EQZ655456:ESF655456 EHD655456:EIJ655456 DXH655456:DYN655456 DNL655456:DOR655456 DDP655456:DEV655456 CTT655456:CUZ655456 CJX655456:CLD655456 CAB655456:CBH655456 BQF655456:BRL655456 BGJ655456:BHP655456 AWN655456:AXT655456 AMR655456:ANX655456 ACV655456:AEB655456 SZ655456:UF655456 JD655456:KJ655456 B655456:AM655456 WVP589920:WWV589920 WLT589920:WMZ589920 WBX589920:WDD589920 VSB589920:VTH589920 VIF589920:VJL589920 UYJ589920:UZP589920 UON589920:UPT589920 UER589920:UFX589920 TUV589920:TWB589920 TKZ589920:TMF589920 TBD589920:TCJ589920 SRH589920:SSN589920 SHL589920:SIR589920 RXP589920:RYV589920 RNT589920:ROZ589920 RDX589920:RFD589920 QUB589920:QVH589920 QKF589920:QLL589920 QAJ589920:QBP589920 PQN589920:PRT589920 PGR589920:PHX589920 OWV589920:OYB589920 OMZ589920:OOF589920 ODD589920:OEJ589920 NTH589920:NUN589920 NJL589920:NKR589920 MZP589920:NAV589920 MPT589920:MQZ589920 MFX589920:MHD589920 LWB589920:LXH589920 LMF589920:LNL589920 LCJ589920:LDP589920 KSN589920:KTT589920 KIR589920:KJX589920 JYV589920:KAB589920 JOZ589920:JQF589920 JFD589920:JGJ589920 IVH589920:IWN589920 ILL589920:IMR589920 IBP589920:ICV589920 HRT589920:HSZ589920 HHX589920:HJD589920 GYB589920:GZH589920 GOF589920:GPL589920 GEJ589920:GFP589920 FUN589920:FVT589920 FKR589920:FLX589920 FAV589920:FCB589920 EQZ589920:ESF589920 EHD589920:EIJ589920 DXH589920:DYN589920 DNL589920:DOR589920 DDP589920:DEV589920 CTT589920:CUZ589920 CJX589920:CLD589920 CAB589920:CBH589920 BQF589920:BRL589920 BGJ589920:BHP589920 AWN589920:AXT589920 AMR589920:ANX589920 ACV589920:AEB589920 SZ589920:UF589920 JD589920:KJ589920 B589920:AM589920 WVP524384:WWV524384 WLT524384:WMZ524384 WBX524384:WDD524384 VSB524384:VTH524384 VIF524384:VJL524384 UYJ524384:UZP524384 UON524384:UPT524384 UER524384:UFX524384 TUV524384:TWB524384 TKZ524384:TMF524384 TBD524384:TCJ524384 SRH524384:SSN524384 SHL524384:SIR524384 RXP524384:RYV524384 RNT524384:ROZ524384 RDX524384:RFD524384 QUB524384:QVH524384 QKF524384:QLL524384 QAJ524384:QBP524384 PQN524384:PRT524384 PGR524384:PHX524384 OWV524384:OYB524384 OMZ524384:OOF524384 ODD524384:OEJ524384 NTH524384:NUN524384 NJL524384:NKR524384 MZP524384:NAV524384 MPT524384:MQZ524384 MFX524384:MHD524384 LWB524384:LXH524384 LMF524384:LNL524384 LCJ524384:LDP524384 KSN524384:KTT524384 KIR524384:KJX524384 JYV524384:KAB524384 JOZ524384:JQF524384 JFD524384:JGJ524384 IVH524384:IWN524384 ILL524384:IMR524384 IBP524384:ICV524384 HRT524384:HSZ524384 HHX524384:HJD524384 GYB524384:GZH524384 GOF524384:GPL524384 GEJ524384:GFP524384 FUN524384:FVT524384 FKR524384:FLX524384 FAV524384:FCB524384 EQZ524384:ESF524384 EHD524384:EIJ524384 DXH524384:DYN524384 DNL524384:DOR524384 DDP524384:DEV524384 CTT524384:CUZ524384 CJX524384:CLD524384 CAB524384:CBH524384 BQF524384:BRL524384 BGJ524384:BHP524384 AWN524384:AXT524384 AMR524384:ANX524384 ACV524384:AEB524384 SZ524384:UF524384 JD524384:KJ524384 B524384:AM524384 WVP458848:WWV458848 WLT458848:WMZ458848 WBX458848:WDD458848 VSB458848:VTH458848 VIF458848:VJL458848 UYJ458848:UZP458848 UON458848:UPT458848 UER458848:UFX458848 TUV458848:TWB458848 TKZ458848:TMF458848 TBD458848:TCJ458848 SRH458848:SSN458848 SHL458848:SIR458848 RXP458848:RYV458848 RNT458848:ROZ458848 RDX458848:RFD458848 QUB458848:QVH458848 QKF458848:QLL458848 QAJ458848:QBP458848 PQN458848:PRT458848 PGR458848:PHX458848 OWV458848:OYB458848 OMZ458848:OOF458848 ODD458848:OEJ458848 NTH458848:NUN458848 NJL458848:NKR458848 MZP458848:NAV458848 MPT458848:MQZ458848 MFX458848:MHD458848 LWB458848:LXH458848 LMF458848:LNL458848 LCJ458848:LDP458848 KSN458848:KTT458848 KIR458848:KJX458848 JYV458848:KAB458848 JOZ458848:JQF458848 JFD458848:JGJ458848 IVH458848:IWN458848 ILL458848:IMR458848 IBP458848:ICV458848 HRT458848:HSZ458848 HHX458848:HJD458848 GYB458848:GZH458848 GOF458848:GPL458848 GEJ458848:GFP458848 FUN458848:FVT458848 FKR458848:FLX458848 FAV458848:FCB458848 EQZ458848:ESF458848 EHD458848:EIJ458848 DXH458848:DYN458848 DNL458848:DOR458848 DDP458848:DEV458848 CTT458848:CUZ458848 CJX458848:CLD458848 CAB458848:CBH458848 BQF458848:BRL458848 BGJ458848:BHP458848 AWN458848:AXT458848 AMR458848:ANX458848 ACV458848:AEB458848 SZ458848:UF458848 JD458848:KJ458848 B458848:AM458848 WVP393312:WWV393312 WLT393312:WMZ393312 WBX393312:WDD393312 VSB393312:VTH393312 VIF393312:VJL393312 UYJ393312:UZP393312 UON393312:UPT393312 UER393312:UFX393312 TUV393312:TWB393312 TKZ393312:TMF393312 TBD393312:TCJ393312 SRH393312:SSN393312 SHL393312:SIR393312 RXP393312:RYV393312 RNT393312:ROZ393312 RDX393312:RFD393312 QUB393312:QVH393312 QKF393312:QLL393312 QAJ393312:QBP393312 PQN393312:PRT393312 PGR393312:PHX393312 OWV393312:OYB393312 OMZ393312:OOF393312 ODD393312:OEJ393312 NTH393312:NUN393312 NJL393312:NKR393312 MZP393312:NAV393312 MPT393312:MQZ393312 MFX393312:MHD393312 LWB393312:LXH393312 LMF393312:LNL393312 LCJ393312:LDP393312 KSN393312:KTT393312 KIR393312:KJX393312 JYV393312:KAB393312 JOZ393312:JQF393312 JFD393312:JGJ393312 IVH393312:IWN393312 ILL393312:IMR393312 IBP393312:ICV393312 HRT393312:HSZ393312 HHX393312:HJD393312 GYB393312:GZH393312 GOF393312:GPL393312 GEJ393312:GFP393312 FUN393312:FVT393312 FKR393312:FLX393312 FAV393312:FCB393312 EQZ393312:ESF393312 EHD393312:EIJ393312 DXH393312:DYN393312 DNL393312:DOR393312 DDP393312:DEV393312 CTT393312:CUZ393312 CJX393312:CLD393312 CAB393312:CBH393312 BQF393312:BRL393312 BGJ393312:BHP393312 AWN393312:AXT393312 AMR393312:ANX393312 ACV393312:AEB393312 SZ393312:UF393312 JD393312:KJ393312 B393312:AM393312 WVP327776:WWV327776 WLT327776:WMZ327776 WBX327776:WDD327776 VSB327776:VTH327776 VIF327776:VJL327776 UYJ327776:UZP327776 UON327776:UPT327776 UER327776:UFX327776 TUV327776:TWB327776 TKZ327776:TMF327776 TBD327776:TCJ327776 SRH327776:SSN327776 SHL327776:SIR327776 RXP327776:RYV327776 RNT327776:ROZ327776 RDX327776:RFD327776 QUB327776:QVH327776 QKF327776:QLL327776 QAJ327776:QBP327776 PQN327776:PRT327776 PGR327776:PHX327776 OWV327776:OYB327776 OMZ327776:OOF327776 ODD327776:OEJ327776 NTH327776:NUN327776 NJL327776:NKR327776 MZP327776:NAV327776 MPT327776:MQZ327776 MFX327776:MHD327776 LWB327776:LXH327776 LMF327776:LNL327776 LCJ327776:LDP327776 KSN327776:KTT327776 KIR327776:KJX327776 JYV327776:KAB327776 JOZ327776:JQF327776 JFD327776:JGJ327776 IVH327776:IWN327776 ILL327776:IMR327776 IBP327776:ICV327776 HRT327776:HSZ327776 HHX327776:HJD327776 GYB327776:GZH327776 GOF327776:GPL327776 GEJ327776:GFP327776 FUN327776:FVT327776 FKR327776:FLX327776 FAV327776:FCB327776 EQZ327776:ESF327776 EHD327776:EIJ327776 DXH327776:DYN327776 DNL327776:DOR327776 DDP327776:DEV327776 CTT327776:CUZ327776 CJX327776:CLD327776 CAB327776:CBH327776 BQF327776:BRL327776 BGJ327776:BHP327776 AWN327776:AXT327776 AMR327776:ANX327776 ACV327776:AEB327776 SZ327776:UF327776 JD327776:KJ327776 B327776:AM327776 WVP262240:WWV262240 WLT262240:WMZ262240 WBX262240:WDD262240 VSB262240:VTH262240 VIF262240:VJL262240 UYJ262240:UZP262240 UON262240:UPT262240 UER262240:UFX262240 TUV262240:TWB262240 TKZ262240:TMF262240 TBD262240:TCJ262240 SRH262240:SSN262240 SHL262240:SIR262240 RXP262240:RYV262240 RNT262240:ROZ262240 RDX262240:RFD262240 QUB262240:QVH262240 QKF262240:QLL262240 QAJ262240:QBP262240 PQN262240:PRT262240 PGR262240:PHX262240 OWV262240:OYB262240 OMZ262240:OOF262240 ODD262240:OEJ262240 NTH262240:NUN262240 NJL262240:NKR262240 MZP262240:NAV262240 MPT262240:MQZ262240 MFX262240:MHD262240 LWB262240:LXH262240 LMF262240:LNL262240 LCJ262240:LDP262240 KSN262240:KTT262240 KIR262240:KJX262240 JYV262240:KAB262240 JOZ262240:JQF262240 JFD262240:JGJ262240 IVH262240:IWN262240 ILL262240:IMR262240 IBP262240:ICV262240 HRT262240:HSZ262240 HHX262240:HJD262240 GYB262240:GZH262240 GOF262240:GPL262240 GEJ262240:GFP262240 FUN262240:FVT262240 FKR262240:FLX262240 FAV262240:FCB262240 EQZ262240:ESF262240 EHD262240:EIJ262240 DXH262240:DYN262240 DNL262240:DOR262240 DDP262240:DEV262240 CTT262240:CUZ262240 CJX262240:CLD262240 CAB262240:CBH262240 BQF262240:BRL262240 BGJ262240:BHP262240 AWN262240:AXT262240 AMR262240:ANX262240 ACV262240:AEB262240 SZ262240:UF262240 JD262240:KJ262240 B262240:AM262240 WVP196704:WWV196704 WLT196704:WMZ196704 WBX196704:WDD196704 VSB196704:VTH196704 VIF196704:VJL196704 UYJ196704:UZP196704 UON196704:UPT196704 UER196704:UFX196704 TUV196704:TWB196704 TKZ196704:TMF196704 TBD196704:TCJ196704 SRH196704:SSN196704 SHL196704:SIR196704 RXP196704:RYV196704 RNT196704:ROZ196704 RDX196704:RFD196704 QUB196704:QVH196704 QKF196704:QLL196704 QAJ196704:QBP196704 PQN196704:PRT196704 PGR196704:PHX196704 OWV196704:OYB196704 OMZ196704:OOF196704 ODD196704:OEJ196704 NTH196704:NUN196704 NJL196704:NKR196704 MZP196704:NAV196704 MPT196704:MQZ196704 MFX196704:MHD196704 LWB196704:LXH196704 LMF196704:LNL196704 LCJ196704:LDP196704 KSN196704:KTT196704 KIR196704:KJX196704 JYV196704:KAB196704 JOZ196704:JQF196704 JFD196704:JGJ196704 IVH196704:IWN196704 ILL196704:IMR196704 IBP196704:ICV196704 HRT196704:HSZ196704 HHX196704:HJD196704 GYB196704:GZH196704 GOF196704:GPL196704 GEJ196704:GFP196704 FUN196704:FVT196704 FKR196704:FLX196704 FAV196704:FCB196704 EQZ196704:ESF196704 EHD196704:EIJ196704 DXH196704:DYN196704 DNL196704:DOR196704 DDP196704:DEV196704 CTT196704:CUZ196704 CJX196704:CLD196704 CAB196704:CBH196704 BQF196704:BRL196704 BGJ196704:BHP196704 AWN196704:AXT196704 AMR196704:ANX196704 ACV196704:AEB196704 SZ196704:UF196704 JD196704:KJ196704 B196704:AM196704 WVP131168:WWV131168 WLT131168:WMZ131168 WBX131168:WDD131168 VSB131168:VTH131168 VIF131168:VJL131168 UYJ131168:UZP131168 UON131168:UPT131168 UER131168:UFX131168 TUV131168:TWB131168 TKZ131168:TMF131168 TBD131168:TCJ131168 SRH131168:SSN131168 SHL131168:SIR131168 RXP131168:RYV131168 RNT131168:ROZ131168 RDX131168:RFD131168 QUB131168:QVH131168 QKF131168:QLL131168 QAJ131168:QBP131168 PQN131168:PRT131168 PGR131168:PHX131168 OWV131168:OYB131168 OMZ131168:OOF131168 ODD131168:OEJ131168 NTH131168:NUN131168 NJL131168:NKR131168 MZP131168:NAV131168 MPT131168:MQZ131168 MFX131168:MHD131168 LWB131168:LXH131168 LMF131168:LNL131168 LCJ131168:LDP131168 KSN131168:KTT131168 KIR131168:KJX131168 JYV131168:KAB131168 JOZ131168:JQF131168 JFD131168:JGJ131168 IVH131168:IWN131168 ILL131168:IMR131168 IBP131168:ICV131168 HRT131168:HSZ131168 HHX131168:HJD131168 GYB131168:GZH131168 GOF131168:GPL131168 GEJ131168:GFP131168 FUN131168:FVT131168 FKR131168:FLX131168 FAV131168:FCB131168 EQZ131168:ESF131168 EHD131168:EIJ131168 DXH131168:DYN131168 DNL131168:DOR131168 DDP131168:DEV131168 CTT131168:CUZ131168 CJX131168:CLD131168 CAB131168:CBH131168 BQF131168:BRL131168 BGJ131168:BHP131168 AWN131168:AXT131168 AMR131168:ANX131168 ACV131168:AEB131168 SZ131168:UF131168 JD131168:KJ131168 B131168:AM131168 WVP65632:WWV65632 WLT65632:WMZ65632 WBX65632:WDD65632 VSB65632:VTH65632 VIF65632:VJL65632 UYJ65632:UZP65632 UON65632:UPT65632 UER65632:UFX65632 TUV65632:TWB65632 TKZ65632:TMF65632 TBD65632:TCJ65632 SRH65632:SSN65632 SHL65632:SIR65632 RXP65632:RYV65632 RNT65632:ROZ65632 RDX65632:RFD65632 QUB65632:QVH65632 QKF65632:QLL65632 QAJ65632:QBP65632 PQN65632:PRT65632 PGR65632:PHX65632 OWV65632:OYB65632 OMZ65632:OOF65632 ODD65632:OEJ65632 NTH65632:NUN65632 NJL65632:NKR65632 MZP65632:NAV65632 MPT65632:MQZ65632 MFX65632:MHD65632 LWB65632:LXH65632 LMF65632:LNL65632 LCJ65632:LDP65632 KSN65632:KTT65632 KIR65632:KJX65632 JYV65632:KAB65632 JOZ65632:JQF65632 JFD65632:JGJ65632 IVH65632:IWN65632 ILL65632:IMR65632 IBP65632:ICV65632 HRT65632:HSZ65632 HHX65632:HJD65632 GYB65632:GZH65632 GOF65632:GPL65632 GEJ65632:GFP65632 FUN65632:FVT65632 FKR65632:FLX65632 FAV65632:FCB65632 EQZ65632:ESF65632 EHD65632:EIJ65632 DXH65632:DYN65632 DNL65632:DOR65632 DDP65632:DEV65632 CTT65632:CUZ65632 CJX65632:CLD65632 CAB65632:CBH65632 BQF65632:BRL65632 BGJ65632:BHP65632 AWN65632:AXT65632 AMR65632:ANX65632 ACV65632:AEB65632 SZ65632:UF65632 JD65632:KJ65632 B65632:AM65632 WVP81:WWV81 WLT81:WMZ81 WBX81:WDD81 VSB81:VTH81 VIF81:VJL81 UYJ81:UZP81 UON81:UPT81 UER81:UFX81 TUV81:TWB81 TKZ81:TMF81 TBD81:TCJ81 SRH81:SSN81 SHL81:SIR81 RXP81:RYV81 RNT81:ROZ81 RDX81:RFD81 QUB81:QVH81 QKF81:QLL81 QAJ81:QBP81 PQN81:PRT81 PGR81:PHX81 OWV81:OYB81 OMZ81:OOF81 ODD81:OEJ81 NTH81:NUN81 NJL81:NKR81 MZP81:NAV81 MPT81:MQZ81 MFX81:MHD81 LWB81:LXH81 LMF81:LNL81 LCJ81:LDP81 KSN81:KTT81 KIR81:KJX81 JYV81:KAB81 JOZ81:JQF81 JFD81:JGJ81 IVH81:IWN81 ILL81:IMR81 IBP81:ICV81 HRT81:HSZ81 HHX81:HJD81 GYB81:GZH81 GOF81:GPL81 GEJ81:GFP81 FUN81:FVT81 FKR81:FLX81 FAV81:FCB81 EQZ81:ESF81 EHD81:EIJ81 DXH81:DYN81 DNL81:DOR81 DDP81:DEV81 CTT81:CUZ81 CJX81:CLD81 CAB81:CBH81 BQF81:BRL81 BGJ81:BHP81 AWN81:AXT81 AMR81:ANX81 ACV81:AEB81 SZ81:UF81 JD81:KJ81" xr:uid="{00000000-0002-0000-0100-000006000000}">
      <formula1>$AZ$26:$AZ$35</formula1>
    </dataValidation>
    <dataValidation type="list" allowBlank="1" showDropDown="1" showInputMessage="1" sqref="B121 B123 B125 B82 B127 B129 B111 B113 B115 B117 B119 B84 B86 B88 B90 B92" xr:uid="{00000000-0002-0000-0100-000007000000}">
      <formula1>$AZ$26:$AZ$35</formula1>
    </dataValidation>
    <dataValidation type="list" allowBlank="1" showInputMessage="1" showErrorMessage="1" sqref="B44 B42 B32 B34 B30 B36 B40 B38" xr:uid="{00000000-0002-0000-0100-000008000000}">
      <formula1>$AZ$31:$AZ$34</formula1>
    </dataValidation>
    <dataValidation type="list" allowBlank="1" showInputMessage="1" showErrorMessage="1" sqref="B112:F112 B114:F114 B116:F116 B118:F118 B120:F120 B122:F122 B124:F124 B126:F126 B128:F128 B130:F130" xr:uid="{00000000-0002-0000-0100-000009000000}">
      <formula1>$AZ$35:$AZ$36</formula1>
    </dataValidation>
    <dataValidation type="list" allowBlank="1" showInputMessage="1" showErrorMessage="1" sqref="B81:F81 B83:F83 B85:F85 B87:F87 B89:F89 B91:F91 B93:F93" xr:uid="{00000000-0002-0000-0100-00000A000000}">
      <formula1>$AZ$28:$AZ$34</formula1>
    </dataValidation>
    <dataValidation type="list" allowBlank="1" showInputMessage="1" showErrorMessage="1" sqref="H111 H113 H115 H117 H119 H121 H123 H125 H127 H129" xr:uid="{00000000-0002-0000-0100-00000B000000}">
      <formula1>$BA$27:$BA$35</formula1>
    </dataValidation>
    <dataValidation type="list" allowBlank="1" showInputMessage="1" showErrorMessage="1" sqref="I159:R298" xr:uid="{00000000-0002-0000-0100-00000C000000}">
      <formula1>$BC$24:$BC$35</formula1>
    </dataValidation>
    <dataValidation type="list" allowBlank="1" showDropDown="1" showInputMessage="1" showErrorMessage="1" sqref="H159:H298" xr:uid="{00000000-0002-0000-0100-00000D000000}">
      <formula1>$AR$158:$AS$158</formula1>
    </dataValidation>
    <dataValidation type="list" allowBlank="1" showInputMessage="1" showErrorMessage="1" sqref="D17" xr:uid="{00000000-0002-0000-0100-00000E000000}">
      <formula1>$BB$23:$BB$31</formula1>
    </dataValidation>
  </dataValidations>
  <printOptions horizontalCentered="1"/>
  <pageMargins left="0.31496062992125984" right="0.31496062992125984" top="0.35433070866141736" bottom="0.35433070866141736" header="0.31496062992125984" footer="0.31496062992125984"/>
  <pageSetup paperSize="9" scale="84" fitToHeight="0" orientation="landscape" horizontalDpi="4294967295" verticalDpi="4294967295" r:id="rId1"/>
  <colBreaks count="1" manualBreakCount="1">
    <brk id="27" max="1048575" man="1"/>
  </colBreaks>
  <legacyDrawing r:id="rId2"/>
  <extLst>
    <ext xmlns:x14="http://schemas.microsoft.com/office/spreadsheetml/2009/9/main" uri="{78C0D931-6437-407d-A8EE-F0AAD7539E65}">
      <x14:conditionalFormattings>
        <x14:conditionalFormatting xmlns:xm="http://schemas.microsoft.com/office/excel/2006/main">
          <x14:cfRule type="dataBar" id="{273CDBD4-509C-4EEB-8A98-1495C049295E}">
            <x14:dataBar minLength="0" maxLength="100" gradient="0">
              <x14:cfvo type="autoMin"/>
              <x14:cfvo type="autoMax"/>
              <x14:negativeFillColor rgb="FFFF0000"/>
              <x14:axisColor rgb="FF000000"/>
            </x14:dataBar>
          </x14:cfRule>
          <xm:sqref>Y159:Y298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F000000}">
          <x14:formula1>
            <xm:f>$AZ$28:$AZ$33</xm:f>
          </x14:formula1>
          <xm:sqref>SSL983094 JD23 SZ23 ACV23 AMR23 AWN23 BGJ23 BQF23 CAB23 CJX23 CTT23 DDP23 DNL23 DXH23 EHD23 EQZ23 FAV23 FKR23 FUN23 GEJ23 GOF23 GYB23 HHX23 HRT23 IBP23 ILL23 IVH23 JFD23 JOZ23 JYV23 KIR23 KSN23 LCJ23 LMF23 LWB23 MFX23 MPT23 MZP23 NJL23 NTH23 ODD23 OMZ23 OWV23 PGR23 PQN23 QAJ23 QKF23 QUB23 RDX23 RNT23 RXP23 SHL23 SRH23 TBD23 TKZ23 TUV23 UER23 UON23 UYJ23 VIF23 VSB23 WBX23 WLT23 WVP23 B65586 JD65586 SZ65586 ACV65586 AMR65586 AWN65586 BGJ65586 BQF65586 CAB65586 CJX65586 CTT65586 DDP65586 DNL65586 DXH65586 EHD65586 EQZ65586 FAV65586 FKR65586 FUN65586 GEJ65586 GOF65586 GYB65586 HHX65586 HRT65586 IBP65586 ILL65586 IVH65586 JFD65586 JOZ65586 JYV65586 KIR65586 KSN65586 LCJ65586 LMF65586 LWB65586 MFX65586 MPT65586 MZP65586 NJL65586 NTH65586 ODD65586 OMZ65586 OWV65586 PGR65586 PQN65586 QAJ65586 QKF65586 QUB65586 RDX65586 RNT65586 RXP65586 SHL65586 SRH65586 TBD65586 TKZ65586 TUV65586 UER65586 UON65586 UYJ65586 VIF65586 VSB65586 WBX65586 WLT65586 WVP65586 B131122 JD131122 SZ131122 ACV131122 AMR131122 AWN131122 BGJ131122 BQF131122 CAB131122 CJX131122 CTT131122 DDP131122 DNL131122 DXH131122 EHD131122 EQZ131122 FAV131122 FKR131122 FUN131122 GEJ131122 GOF131122 GYB131122 HHX131122 HRT131122 IBP131122 ILL131122 IVH131122 JFD131122 JOZ131122 JYV131122 KIR131122 KSN131122 LCJ131122 LMF131122 LWB131122 MFX131122 MPT131122 MZP131122 NJL131122 NTH131122 ODD131122 OMZ131122 OWV131122 PGR131122 PQN131122 QAJ131122 QKF131122 QUB131122 RDX131122 RNT131122 RXP131122 SHL131122 SRH131122 TBD131122 TKZ131122 TUV131122 UER131122 UON131122 UYJ131122 VIF131122 VSB131122 WBX131122 WLT131122 WVP131122 B196658 JD196658 SZ196658 ACV196658 AMR196658 AWN196658 BGJ196658 BQF196658 CAB196658 CJX196658 CTT196658 DDP196658 DNL196658 DXH196658 EHD196658 EQZ196658 FAV196658 FKR196658 FUN196658 GEJ196658 GOF196658 GYB196658 HHX196658 HRT196658 IBP196658 ILL196658 IVH196658 JFD196658 JOZ196658 JYV196658 KIR196658 KSN196658 LCJ196658 LMF196658 LWB196658 MFX196658 MPT196658 MZP196658 NJL196658 NTH196658 ODD196658 OMZ196658 OWV196658 PGR196658 PQN196658 QAJ196658 QKF196658 QUB196658 RDX196658 RNT196658 RXP196658 SHL196658 SRH196658 TBD196658 TKZ196658 TUV196658 UER196658 UON196658 UYJ196658 VIF196658 VSB196658 WBX196658 WLT196658 WVP196658 B262194 JD262194 SZ262194 ACV262194 AMR262194 AWN262194 BGJ262194 BQF262194 CAB262194 CJX262194 CTT262194 DDP262194 DNL262194 DXH262194 EHD262194 EQZ262194 FAV262194 FKR262194 FUN262194 GEJ262194 GOF262194 GYB262194 HHX262194 HRT262194 IBP262194 ILL262194 IVH262194 JFD262194 JOZ262194 JYV262194 KIR262194 KSN262194 LCJ262194 LMF262194 LWB262194 MFX262194 MPT262194 MZP262194 NJL262194 NTH262194 ODD262194 OMZ262194 OWV262194 PGR262194 PQN262194 QAJ262194 QKF262194 QUB262194 RDX262194 RNT262194 RXP262194 SHL262194 SRH262194 TBD262194 TKZ262194 TUV262194 UER262194 UON262194 UYJ262194 VIF262194 VSB262194 WBX262194 WLT262194 WVP262194 B327730 JD327730 SZ327730 ACV327730 AMR327730 AWN327730 BGJ327730 BQF327730 CAB327730 CJX327730 CTT327730 DDP327730 DNL327730 DXH327730 EHD327730 EQZ327730 FAV327730 FKR327730 FUN327730 GEJ327730 GOF327730 GYB327730 HHX327730 HRT327730 IBP327730 ILL327730 IVH327730 JFD327730 JOZ327730 JYV327730 KIR327730 KSN327730 LCJ327730 LMF327730 LWB327730 MFX327730 MPT327730 MZP327730 NJL327730 NTH327730 ODD327730 OMZ327730 OWV327730 PGR327730 PQN327730 QAJ327730 QKF327730 QUB327730 RDX327730 RNT327730 RXP327730 SHL327730 SRH327730 TBD327730 TKZ327730 TUV327730 UER327730 UON327730 UYJ327730 VIF327730 VSB327730 WBX327730 WLT327730 WVP327730 B393266 JD393266 SZ393266 ACV393266 AMR393266 AWN393266 BGJ393266 BQF393266 CAB393266 CJX393266 CTT393266 DDP393266 DNL393266 DXH393266 EHD393266 EQZ393266 FAV393266 FKR393266 FUN393266 GEJ393266 GOF393266 GYB393266 HHX393266 HRT393266 IBP393266 ILL393266 IVH393266 JFD393266 JOZ393266 JYV393266 KIR393266 KSN393266 LCJ393266 LMF393266 LWB393266 MFX393266 MPT393266 MZP393266 NJL393266 NTH393266 ODD393266 OMZ393266 OWV393266 PGR393266 PQN393266 QAJ393266 QKF393266 QUB393266 RDX393266 RNT393266 RXP393266 SHL393266 SRH393266 TBD393266 TKZ393266 TUV393266 UER393266 UON393266 UYJ393266 VIF393266 VSB393266 WBX393266 WLT393266 WVP393266 B458802 JD458802 SZ458802 ACV458802 AMR458802 AWN458802 BGJ458802 BQF458802 CAB458802 CJX458802 CTT458802 DDP458802 DNL458802 DXH458802 EHD458802 EQZ458802 FAV458802 FKR458802 FUN458802 GEJ458802 GOF458802 GYB458802 HHX458802 HRT458802 IBP458802 ILL458802 IVH458802 JFD458802 JOZ458802 JYV458802 KIR458802 KSN458802 LCJ458802 LMF458802 LWB458802 MFX458802 MPT458802 MZP458802 NJL458802 NTH458802 ODD458802 OMZ458802 OWV458802 PGR458802 PQN458802 QAJ458802 QKF458802 QUB458802 RDX458802 RNT458802 RXP458802 SHL458802 SRH458802 TBD458802 TKZ458802 TUV458802 UER458802 UON458802 UYJ458802 VIF458802 VSB458802 WBX458802 WLT458802 WVP458802 B524338 JD524338 SZ524338 ACV524338 AMR524338 AWN524338 BGJ524338 BQF524338 CAB524338 CJX524338 CTT524338 DDP524338 DNL524338 DXH524338 EHD524338 EQZ524338 FAV524338 FKR524338 FUN524338 GEJ524338 GOF524338 GYB524338 HHX524338 HRT524338 IBP524338 ILL524338 IVH524338 JFD524338 JOZ524338 JYV524338 KIR524338 KSN524338 LCJ524338 LMF524338 LWB524338 MFX524338 MPT524338 MZP524338 NJL524338 NTH524338 ODD524338 OMZ524338 OWV524338 PGR524338 PQN524338 QAJ524338 QKF524338 QUB524338 RDX524338 RNT524338 RXP524338 SHL524338 SRH524338 TBD524338 TKZ524338 TUV524338 UER524338 UON524338 UYJ524338 VIF524338 VSB524338 WBX524338 WLT524338 WVP524338 B589874 JD589874 SZ589874 ACV589874 AMR589874 AWN589874 BGJ589874 BQF589874 CAB589874 CJX589874 CTT589874 DDP589874 DNL589874 DXH589874 EHD589874 EQZ589874 FAV589874 FKR589874 FUN589874 GEJ589874 GOF589874 GYB589874 HHX589874 HRT589874 IBP589874 ILL589874 IVH589874 JFD589874 JOZ589874 JYV589874 KIR589874 KSN589874 LCJ589874 LMF589874 LWB589874 MFX589874 MPT589874 MZP589874 NJL589874 NTH589874 ODD589874 OMZ589874 OWV589874 PGR589874 PQN589874 QAJ589874 QKF589874 QUB589874 RDX589874 RNT589874 RXP589874 SHL589874 SRH589874 TBD589874 TKZ589874 TUV589874 UER589874 UON589874 UYJ589874 VIF589874 VSB589874 WBX589874 WLT589874 WVP589874 B655410 JD655410 SZ655410 ACV655410 AMR655410 AWN655410 BGJ655410 BQF655410 CAB655410 CJX655410 CTT655410 DDP655410 DNL655410 DXH655410 EHD655410 EQZ655410 FAV655410 FKR655410 FUN655410 GEJ655410 GOF655410 GYB655410 HHX655410 HRT655410 IBP655410 ILL655410 IVH655410 JFD655410 JOZ655410 JYV655410 KIR655410 KSN655410 LCJ655410 LMF655410 LWB655410 MFX655410 MPT655410 MZP655410 NJL655410 NTH655410 ODD655410 OMZ655410 OWV655410 PGR655410 PQN655410 QAJ655410 QKF655410 QUB655410 RDX655410 RNT655410 RXP655410 SHL655410 SRH655410 TBD655410 TKZ655410 TUV655410 UER655410 UON655410 UYJ655410 VIF655410 VSB655410 WBX655410 WLT655410 WVP655410 B720946 JD720946 SZ720946 ACV720946 AMR720946 AWN720946 BGJ720946 BQF720946 CAB720946 CJX720946 CTT720946 DDP720946 DNL720946 DXH720946 EHD720946 EQZ720946 FAV720946 FKR720946 FUN720946 GEJ720946 GOF720946 GYB720946 HHX720946 HRT720946 IBP720946 ILL720946 IVH720946 JFD720946 JOZ720946 JYV720946 KIR720946 KSN720946 LCJ720946 LMF720946 LWB720946 MFX720946 MPT720946 MZP720946 NJL720946 NTH720946 ODD720946 OMZ720946 OWV720946 PGR720946 PQN720946 QAJ720946 QKF720946 QUB720946 RDX720946 RNT720946 RXP720946 SHL720946 SRH720946 TBD720946 TKZ720946 TUV720946 UER720946 UON720946 UYJ720946 VIF720946 VSB720946 WBX720946 WLT720946 WVP720946 B786482 JD786482 SZ786482 ACV786482 AMR786482 AWN786482 BGJ786482 BQF786482 CAB786482 CJX786482 CTT786482 DDP786482 DNL786482 DXH786482 EHD786482 EQZ786482 FAV786482 FKR786482 FUN786482 GEJ786482 GOF786482 GYB786482 HHX786482 HRT786482 IBP786482 ILL786482 IVH786482 JFD786482 JOZ786482 JYV786482 KIR786482 KSN786482 LCJ786482 LMF786482 LWB786482 MFX786482 MPT786482 MZP786482 NJL786482 NTH786482 ODD786482 OMZ786482 OWV786482 PGR786482 PQN786482 QAJ786482 QKF786482 QUB786482 RDX786482 RNT786482 RXP786482 SHL786482 SRH786482 TBD786482 TKZ786482 TUV786482 UER786482 UON786482 UYJ786482 VIF786482 VSB786482 WBX786482 WLT786482 WVP786482 B852018 JD852018 SZ852018 ACV852018 AMR852018 AWN852018 BGJ852018 BQF852018 CAB852018 CJX852018 CTT852018 DDP852018 DNL852018 DXH852018 EHD852018 EQZ852018 FAV852018 FKR852018 FUN852018 GEJ852018 GOF852018 GYB852018 HHX852018 HRT852018 IBP852018 ILL852018 IVH852018 JFD852018 JOZ852018 JYV852018 KIR852018 KSN852018 LCJ852018 LMF852018 LWB852018 MFX852018 MPT852018 MZP852018 NJL852018 NTH852018 ODD852018 OMZ852018 OWV852018 PGR852018 PQN852018 QAJ852018 QKF852018 QUB852018 RDX852018 RNT852018 RXP852018 SHL852018 SRH852018 TBD852018 TKZ852018 TUV852018 UER852018 UON852018 UYJ852018 VIF852018 VSB852018 WBX852018 WLT852018 WVP852018 B917554 JD917554 SZ917554 ACV917554 AMR917554 AWN917554 BGJ917554 BQF917554 CAB917554 CJX917554 CTT917554 DDP917554 DNL917554 DXH917554 EHD917554 EQZ917554 FAV917554 FKR917554 FUN917554 GEJ917554 GOF917554 GYB917554 HHX917554 HRT917554 IBP917554 ILL917554 IVH917554 JFD917554 JOZ917554 JYV917554 KIR917554 KSN917554 LCJ917554 LMF917554 LWB917554 MFX917554 MPT917554 MZP917554 NJL917554 NTH917554 ODD917554 OMZ917554 OWV917554 PGR917554 PQN917554 QAJ917554 QKF917554 QUB917554 RDX917554 RNT917554 RXP917554 SHL917554 SRH917554 TBD917554 TKZ917554 TUV917554 UER917554 UON917554 UYJ917554 VIF917554 VSB917554 WBX917554 WLT917554 WVP917554 B983090 JD983090 SZ983090 ACV983090 AMR983090 AWN983090 BGJ983090 BQF983090 CAB983090 CJX983090 CTT983090 DDP983090 DNL983090 DXH983090 EHD983090 EQZ983090 FAV983090 FKR983090 FUN983090 GEJ983090 GOF983090 GYB983090 HHX983090 HRT983090 IBP983090 ILL983090 IVH983090 JFD983090 JOZ983090 JYV983090 KIR983090 KSN983090 LCJ983090 LMF983090 LWB983090 MFX983090 MPT983090 MZP983090 NJL983090 NTH983090 ODD983090 OMZ983090 OWV983090 PGR983090 PQN983090 QAJ983090 QKF983090 QUB983090 RDX983090 RNT983090 RXP983090 SHL983090 SRH983090 TBD983090 TKZ983090 TUV983090 UER983090 UON983090 UYJ983090 VIF983090 VSB983090 WBX983090 WLT983090 WVP983090 TMD983094 JD25 SZ25 ACV25 AMR25 AWN25 BGJ25 BQF25 CAB25 CJX25 CTT25 DDP25 DNL25 DXH25 EHD25 EQZ25 FAV25 FKR25 FUN25 GEJ25 GOF25 GYB25 HHX25 HRT25 IBP25 ILL25 IVH25 JFD25 JOZ25 JYV25 KIR25 KSN25 LCJ25 LMF25 LWB25 MFX25 MPT25 MZP25 NJL25 NTH25 ODD25 OMZ25 OWV25 PGR25 PQN25 QAJ25 QKF25 QUB25 RDX25 RNT25 RXP25 SHL25 SRH25 TBD25 TKZ25 TUV25 UER25 UON25 UYJ25 VIF25 VSB25 WBX25 WLT25 WVP25 B65588 JD65588 SZ65588 ACV65588 AMR65588 AWN65588 BGJ65588 BQF65588 CAB65588 CJX65588 CTT65588 DDP65588 DNL65588 DXH65588 EHD65588 EQZ65588 FAV65588 FKR65588 FUN65588 GEJ65588 GOF65588 GYB65588 HHX65588 HRT65588 IBP65588 ILL65588 IVH65588 JFD65588 JOZ65588 JYV65588 KIR65588 KSN65588 LCJ65588 LMF65588 LWB65588 MFX65588 MPT65588 MZP65588 NJL65588 NTH65588 ODD65588 OMZ65588 OWV65588 PGR65588 PQN65588 QAJ65588 QKF65588 QUB65588 RDX65588 RNT65588 RXP65588 SHL65588 SRH65588 TBD65588 TKZ65588 TUV65588 UER65588 UON65588 UYJ65588 VIF65588 VSB65588 WBX65588 WLT65588 WVP65588 B131124 JD131124 SZ131124 ACV131124 AMR131124 AWN131124 BGJ131124 BQF131124 CAB131124 CJX131124 CTT131124 DDP131124 DNL131124 DXH131124 EHD131124 EQZ131124 FAV131124 FKR131124 FUN131124 GEJ131124 GOF131124 GYB131124 HHX131124 HRT131124 IBP131124 ILL131124 IVH131124 JFD131124 JOZ131124 JYV131124 KIR131124 KSN131124 LCJ131124 LMF131124 LWB131124 MFX131124 MPT131124 MZP131124 NJL131124 NTH131124 ODD131124 OMZ131124 OWV131124 PGR131124 PQN131124 QAJ131124 QKF131124 QUB131124 RDX131124 RNT131124 RXP131124 SHL131124 SRH131124 TBD131124 TKZ131124 TUV131124 UER131124 UON131124 UYJ131124 VIF131124 VSB131124 WBX131124 WLT131124 WVP131124 B196660 JD196660 SZ196660 ACV196660 AMR196660 AWN196660 BGJ196660 BQF196660 CAB196660 CJX196660 CTT196660 DDP196660 DNL196660 DXH196660 EHD196660 EQZ196660 FAV196660 FKR196660 FUN196660 GEJ196660 GOF196660 GYB196660 HHX196660 HRT196660 IBP196660 ILL196660 IVH196660 JFD196660 JOZ196660 JYV196660 KIR196660 KSN196660 LCJ196660 LMF196660 LWB196660 MFX196660 MPT196660 MZP196660 NJL196660 NTH196660 ODD196660 OMZ196660 OWV196660 PGR196660 PQN196660 QAJ196660 QKF196660 QUB196660 RDX196660 RNT196660 RXP196660 SHL196660 SRH196660 TBD196660 TKZ196660 TUV196660 UER196660 UON196660 UYJ196660 VIF196660 VSB196660 WBX196660 WLT196660 WVP196660 B262196 JD262196 SZ262196 ACV262196 AMR262196 AWN262196 BGJ262196 BQF262196 CAB262196 CJX262196 CTT262196 DDP262196 DNL262196 DXH262196 EHD262196 EQZ262196 FAV262196 FKR262196 FUN262196 GEJ262196 GOF262196 GYB262196 HHX262196 HRT262196 IBP262196 ILL262196 IVH262196 JFD262196 JOZ262196 JYV262196 KIR262196 KSN262196 LCJ262196 LMF262196 LWB262196 MFX262196 MPT262196 MZP262196 NJL262196 NTH262196 ODD262196 OMZ262196 OWV262196 PGR262196 PQN262196 QAJ262196 QKF262196 QUB262196 RDX262196 RNT262196 RXP262196 SHL262196 SRH262196 TBD262196 TKZ262196 TUV262196 UER262196 UON262196 UYJ262196 VIF262196 VSB262196 WBX262196 WLT262196 WVP262196 B327732 JD327732 SZ327732 ACV327732 AMR327732 AWN327732 BGJ327732 BQF327732 CAB327732 CJX327732 CTT327732 DDP327732 DNL327732 DXH327732 EHD327732 EQZ327732 FAV327732 FKR327732 FUN327732 GEJ327732 GOF327732 GYB327732 HHX327732 HRT327732 IBP327732 ILL327732 IVH327732 JFD327732 JOZ327732 JYV327732 KIR327732 KSN327732 LCJ327732 LMF327732 LWB327732 MFX327732 MPT327732 MZP327732 NJL327732 NTH327732 ODD327732 OMZ327732 OWV327732 PGR327732 PQN327732 QAJ327732 QKF327732 QUB327732 RDX327732 RNT327732 RXP327732 SHL327732 SRH327732 TBD327732 TKZ327732 TUV327732 UER327732 UON327732 UYJ327732 VIF327732 VSB327732 WBX327732 WLT327732 WVP327732 B393268 JD393268 SZ393268 ACV393268 AMR393268 AWN393268 BGJ393268 BQF393268 CAB393268 CJX393268 CTT393268 DDP393268 DNL393268 DXH393268 EHD393268 EQZ393268 FAV393268 FKR393268 FUN393268 GEJ393268 GOF393268 GYB393268 HHX393268 HRT393268 IBP393268 ILL393268 IVH393268 JFD393268 JOZ393268 JYV393268 KIR393268 KSN393268 LCJ393268 LMF393268 LWB393268 MFX393268 MPT393268 MZP393268 NJL393268 NTH393268 ODD393268 OMZ393268 OWV393268 PGR393268 PQN393268 QAJ393268 QKF393268 QUB393268 RDX393268 RNT393268 RXP393268 SHL393268 SRH393268 TBD393268 TKZ393268 TUV393268 UER393268 UON393268 UYJ393268 VIF393268 VSB393268 WBX393268 WLT393268 WVP393268 B458804 JD458804 SZ458804 ACV458804 AMR458804 AWN458804 BGJ458804 BQF458804 CAB458804 CJX458804 CTT458804 DDP458804 DNL458804 DXH458804 EHD458804 EQZ458804 FAV458804 FKR458804 FUN458804 GEJ458804 GOF458804 GYB458804 HHX458804 HRT458804 IBP458804 ILL458804 IVH458804 JFD458804 JOZ458804 JYV458804 KIR458804 KSN458804 LCJ458804 LMF458804 LWB458804 MFX458804 MPT458804 MZP458804 NJL458804 NTH458804 ODD458804 OMZ458804 OWV458804 PGR458804 PQN458804 QAJ458804 QKF458804 QUB458804 RDX458804 RNT458804 RXP458804 SHL458804 SRH458804 TBD458804 TKZ458804 TUV458804 UER458804 UON458804 UYJ458804 VIF458804 VSB458804 WBX458804 WLT458804 WVP458804 B524340 JD524340 SZ524340 ACV524340 AMR524340 AWN524340 BGJ524340 BQF524340 CAB524340 CJX524340 CTT524340 DDP524340 DNL524340 DXH524340 EHD524340 EQZ524340 FAV524340 FKR524340 FUN524340 GEJ524340 GOF524340 GYB524340 HHX524340 HRT524340 IBP524340 ILL524340 IVH524340 JFD524340 JOZ524340 JYV524340 KIR524340 KSN524340 LCJ524340 LMF524340 LWB524340 MFX524340 MPT524340 MZP524340 NJL524340 NTH524340 ODD524340 OMZ524340 OWV524340 PGR524340 PQN524340 QAJ524340 QKF524340 QUB524340 RDX524340 RNT524340 RXP524340 SHL524340 SRH524340 TBD524340 TKZ524340 TUV524340 UER524340 UON524340 UYJ524340 VIF524340 VSB524340 WBX524340 WLT524340 WVP524340 B589876 JD589876 SZ589876 ACV589876 AMR589876 AWN589876 BGJ589876 BQF589876 CAB589876 CJX589876 CTT589876 DDP589876 DNL589876 DXH589876 EHD589876 EQZ589876 FAV589876 FKR589876 FUN589876 GEJ589876 GOF589876 GYB589876 HHX589876 HRT589876 IBP589876 ILL589876 IVH589876 JFD589876 JOZ589876 JYV589876 KIR589876 KSN589876 LCJ589876 LMF589876 LWB589876 MFX589876 MPT589876 MZP589876 NJL589876 NTH589876 ODD589876 OMZ589876 OWV589876 PGR589876 PQN589876 QAJ589876 QKF589876 QUB589876 RDX589876 RNT589876 RXP589876 SHL589876 SRH589876 TBD589876 TKZ589876 TUV589876 UER589876 UON589876 UYJ589876 VIF589876 VSB589876 WBX589876 WLT589876 WVP589876 B655412 JD655412 SZ655412 ACV655412 AMR655412 AWN655412 BGJ655412 BQF655412 CAB655412 CJX655412 CTT655412 DDP655412 DNL655412 DXH655412 EHD655412 EQZ655412 FAV655412 FKR655412 FUN655412 GEJ655412 GOF655412 GYB655412 HHX655412 HRT655412 IBP655412 ILL655412 IVH655412 JFD655412 JOZ655412 JYV655412 KIR655412 KSN655412 LCJ655412 LMF655412 LWB655412 MFX655412 MPT655412 MZP655412 NJL655412 NTH655412 ODD655412 OMZ655412 OWV655412 PGR655412 PQN655412 QAJ655412 QKF655412 QUB655412 RDX655412 RNT655412 RXP655412 SHL655412 SRH655412 TBD655412 TKZ655412 TUV655412 UER655412 UON655412 UYJ655412 VIF655412 VSB655412 WBX655412 WLT655412 WVP655412 B720948 JD720948 SZ720948 ACV720948 AMR720948 AWN720948 BGJ720948 BQF720948 CAB720948 CJX720948 CTT720948 DDP720948 DNL720948 DXH720948 EHD720948 EQZ720948 FAV720948 FKR720948 FUN720948 GEJ720948 GOF720948 GYB720948 HHX720948 HRT720948 IBP720948 ILL720948 IVH720948 JFD720948 JOZ720948 JYV720948 KIR720948 KSN720948 LCJ720948 LMF720948 LWB720948 MFX720948 MPT720948 MZP720948 NJL720948 NTH720948 ODD720948 OMZ720948 OWV720948 PGR720948 PQN720948 QAJ720948 QKF720948 QUB720948 RDX720948 RNT720948 RXP720948 SHL720948 SRH720948 TBD720948 TKZ720948 TUV720948 UER720948 UON720948 UYJ720948 VIF720948 VSB720948 WBX720948 WLT720948 WVP720948 B786484 JD786484 SZ786484 ACV786484 AMR786484 AWN786484 BGJ786484 BQF786484 CAB786484 CJX786484 CTT786484 DDP786484 DNL786484 DXH786484 EHD786484 EQZ786484 FAV786484 FKR786484 FUN786484 GEJ786484 GOF786484 GYB786484 HHX786484 HRT786484 IBP786484 ILL786484 IVH786484 JFD786484 JOZ786484 JYV786484 KIR786484 KSN786484 LCJ786484 LMF786484 LWB786484 MFX786484 MPT786484 MZP786484 NJL786484 NTH786484 ODD786484 OMZ786484 OWV786484 PGR786484 PQN786484 QAJ786484 QKF786484 QUB786484 RDX786484 RNT786484 RXP786484 SHL786484 SRH786484 TBD786484 TKZ786484 TUV786484 UER786484 UON786484 UYJ786484 VIF786484 VSB786484 WBX786484 WLT786484 WVP786484 B852020 JD852020 SZ852020 ACV852020 AMR852020 AWN852020 BGJ852020 BQF852020 CAB852020 CJX852020 CTT852020 DDP852020 DNL852020 DXH852020 EHD852020 EQZ852020 FAV852020 FKR852020 FUN852020 GEJ852020 GOF852020 GYB852020 HHX852020 HRT852020 IBP852020 ILL852020 IVH852020 JFD852020 JOZ852020 JYV852020 KIR852020 KSN852020 LCJ852020 LMF852020 LWB852020 MFX852020 MPT852020 MZP852020 NJL852020 NTH852020 ODD852020 OMZ852020 OWV852020 PGR852020 PQN852020 QAJ852020 QKF852020 QUB852020 RDX852020 RNT852020 RXP852020 SHL852020 SRH852020 TBD852020 TKZ852020 TUV852020 UER852020 UON852020 UYJ852020 VIF852020 VSB852020 WBX852020 WLT852020 WVP852020 B917556 JD917556 SZ917556 ACV917556 AMR917556 AWN917556 BGJ917556 BQF917556 CAB917556 CJX917556 CTT917556 DDP917556 DNL917556 DXH917556 EHD917556 EQZ917556 FAV917556 FKR917556 FUN917556 GEJ917556 GOF917556 GYB917556 HHX917556 HRT917556 IBP917556 ILL917556 IVH917556 JFD917556 JOZ917556 JYV917556 KIR917556 KSN917556 LCJ917556 LMF917556 LWB917556 MFX917556 MPT917556 MZP917556 NJL917556 NTH917556 ODD917556 OMZ917556 OWV917556 PGR917556 PQN917556 QAJ917556 QKF917556 QUB917556 RDX917556 RNT917556 RXP917556 SHL917556 SRH917556 TBD917556 TKZ917556 TUV917556 UER917556 UON917556 UYJ917556 VIF917556 VSB917556 WBX917556 WLT917556 WVP917556 B983092 JD983092 SZ983092 ACV983092 AMR983092 AWN983092 BGJ983092 BQF983092 CAB983092 CJX983092 CTT983092 DDP983092 DNL983092 DXH983092 EHD983092 EQZ983092 FAV983092 FKR983092 FUN983092 GEJ983092 GOF983092 GYB983092 HHX983092 HRT983092 IBP983092 ILL983092 IVH983092 JFD983092 JOZ983092 JYV983092 KIR983092 KSN983092 LCJ983092 LMF983092 LWB983092 MFX983092 MPT983092 MZP983092 NJL983092 NTH983092 ODD983092 OMZ983092 OWV983092 PGR983092 PQN983092 QAJ983092 QKF983092 QUB983092 RDX983092 RNT983092 RXP983092 SHL983092 SRH983092 TBD983092 TKZ983092 TUV983092 UER983092 UON983092 UYJ983092 VIF983092 VSB983092 WBX983092 WLT983092 WVP983092 SIP983094 JP25 TL25 ADH25 AND25 AWZ25 BGV25 BQR25 CAN25 CKJ25 CUF25 DEB25 DNX25 DXT25 EHP25 ERL25 FBH25 FLD25 FUZ25 GEV25 GOR25 GYN25 HIJ25 HSF25 ICB25 ILX25 IVT25 JFP25 JPL25 JZH25 KJD25 KSZ25 LCV25 LMR25 LWN25 MGJ25 MQF25 NAB25 NJX25 NTT25 ODP25 ONL25 OXH25 PHD25 PQZ25 QAV25 QKR25 QUN25 REJ25 ROF25 RYB25 SHX25 SRT25 TBP25 TLL25 TVH25 UFD25 UOZ25 UYV25 VIR25 VSN25 WCJ25 WMF25 WWB25 S65588 JP65588 TL65588 ADH65588 AND65588 AWZ65588 BGV65588 BQR65588 CAN65588 CKJ65588 CUF65588 DEB65588 DNX65588 DXT65588 EHP65588 ERL65588 FBH65588 FLD65588 FUZ65588 GEV65588 GOR65588 GYN65588 HIJ65588 HSF65588 ICB65588 ILX65588 IVT65588 JFP65588 JPL65588 JZH65588 KJD65588 KSZ65588 LCV65588 LMR65588 LWN65588 MGJ65588 MQF65588 NAB65588 NJX65588 NTT65588 ODP65588 ONL65588 OXH65588 PHD65588 PQZ65588 QAV65588 QKR65588 QUN65588 REJ65588 ROF65588 RYB65588 SHX65588 SRT65588 TBP65588 TLL65588 TVH65588 UFD65588 UOZ65588 UYV65588 VIR65588 VSN65588 WCJ65588 WMF65588 WWB65588 S131124 JP131124 TL131124 ADH131124 AND131124 AWZ131124 BGV131124 BQR131124 CAN131124 CKJ131124 CUF131124 DEB131124 DNX131124 DXT131124 EHP131124 ERL131124 FBH131124 FLD131124 FUZ131124 GEV131124 GOR131124 GYN131124 HIJ131124 HSF131124 ICB131124 ILX131124 IVT131124 JFP131124 JPL131124 JZH131124 KJD131124 KSZ131124 LCV131124 LMR131124 LWN131124 MGJ131124 MQF131124 NAB131124 NJX131124 NTT131124 ODP131124 ONL131124 OXH131124 PHD131124 PQZ131124 QAV131124 QKR131124 QUN131124 REJ131124 ROF131124 RYB131124 SHX131124 SRT131124 TBP131124 TLL131124 TVH131124 UFD131124 UOZ131124 UYV131124 VIR131124 VSN131124 WCJ131124 WMF131124 WWB131124 S196660 JP196660 TL196660 ADH196660 AND196660 AWZ196660 BGV196660 BQR196660 CAN196660 CKJ196660 CUF196660 DEB196660 DNX196660 DXT196660 EHP196660 ERL196660 FBH196660 FLD196660 FUZ196660 GEV196660 GOR196660 GYN196660 HIJ196660 HSF196660 ICB196660 ILX196660 IVT196660 JFP196660 JPL196660 JZH196660 KJD196660 KSZ196660 LCV196660 LMR196660 LWN196660 MGJ196660 MQF196660 NAB196660 NJX196660 NTT196660 ODP196660 ONL196660 OXH196660 PHD196660 PQZ196660 QAV196660 QKR196660 QUN196660 REJ196660 ROF196660 RYB196660 SHX196660 SRT196660 TBP196660 TLL196660 TVH196660 UFD196660 UOZ196660 UYV196660 VIR196660 VSN196660 WCJ196660 WMF196660 WWB196660 S262196 JP262196 TL262196 ADH262196 AND262196 AWZ262196 BGV262196 BQR262196 CAN262196 CKJ262196 CUF262196 DEB262196 DNX262196 DXT262196 EHP262196 ERL262196 FBH262196 FLD262196 FUZ262196 GEV262196 GOR262196 GYN262196 HIJ262196 HSF262196 ICB262196 ILX262196 IVT262196 JFP262196 JPL262196 JZH262196 KJD262196 KSZ262196 LCV262196 LMR262196 LWN262196 MGJ262196 MQF262196 NAB262196 NJX262196 NTT262196 ODP262196 ONL262196 OXH262196 PHD262196 PQZ262196 QAV262196 QKR262196 QUN262196 REJ262196 ROF262196 RYB262196 SHX262196 SRT262196 TBP262196 TLL262196 TVH262196 UFD262196 UOZ262196 UYV262196 VIR262196 VSN262196 WCJ262196 WMF262196 WWB262196 S327732 JP327732 TL327732 ADH327732 AND327732 AWZ327732 BGV327732 BQR327732 CAN327732 CKJ327732 CUF327732 DEB327732 DNX327732 DXT327732 EHP327732 ERL327732 FBH327732 FLD327732 FUZ327732 GEV327732 GOR327732 GYN327732 HIJ327732 HSF327732 ICB327732 ILX327732 IVT327732 JFP327732 JPL327732 JZH327732 KJD327732 KSZ327732 LCV327732 LMR327732 LWN327732 MGJ327732 MQF327732 NAB327732 NJX327732 NTT327732 ODP327732 ONL327732 OXH327732 PHD327732 PQZ327732 QAV327732 QKR327732 QUN327732 REJ327732 ROF327732 RYB327732 SHX327732 SRT327732 TBP327732 TLL327732 TVH327732 UFD327732 UOZ327732 UYV327732 VIR327732 VSN327732 WCJ327732 WMF327732 WWB327732 S393268 JP393268 TL393268 ADH393268 AND393268 AWZ393268 BGV393268 BQR393268 CAN393268 CKJ393268 CUF393268 DEB393268 DNX393268 DXT393268 EHP393268 ERL393268 FBH393268 FLD393268 FUZ393268 GEV393268 GOR393268 GYN393268 HIJ393268 HSF393268 ICB393268 ILX393268 IVT393268 JFP393268 JPL393268 JZH393268 KJD393268 KSZ393268 LCV393268 LMR393268 LWN393268 MGJ393268 MQF393268 NAB393268 NJX393268 NTT393268 ODP393268 ONL393268 OXH393268 PHD393268 PQZ393268 QAV393268 QKR393268 QUN393268 REJ393268 ROF393268 RYB393268 SHX393268 SRT393268 TBP393268 TLL393268 TVH393268 UFD393268 UOZ393268 UYV393268 VIR393268 VSN393268 WCJ393268 WMF393268 WWB393268 S458804 JP458804 TL458804 ADH458804 AND458804 AWZ458804 BGV458804 BQR458804 CAN458804 CKJ458804 CUF458804 DEB458804 DNX458804 DXT458804 EHP458804 ERL458804 FBH458804 FLD458804 FUZ458804 GEV458804 GOR458804 GYN458804 HIJ458804 HSF458804 ICB458804 ILX458804 IVT458804 JFP458804 JPL458804 JZH458804 KJD458804 KSZ458804 LCV458804 LMR458804 LWN458804 MGJ458804 MQF458804 NAB458804 NJX458804 NTT458804 ODP458804 ONL458804 OXH458804 PHD458804 PQZ458804 QAV458804 QKR458804 QUN458804 REJ458804 ROF458804 RYB458804 SHX458804 SRT458804 TBP458804 TLL458804 TVH458804 UFD458804 UOZ458804 UYV458804 VIR458804 VSN458804 WCJ458804 WMF458804 WWB458804 S524340 JP524340 TL524340 ADH524340 AND524340 AWZ524340 BGV524340 BQR524340 CAN524340 CKJ524340 CUF524340 DEB524340 DNX524340 DXT524340 EHP524340 ERL524340 FBH524340 FLD524340 FUZ524340 GEV524340 GOR524340 GYN524340 HIJ524340 HSF524340 ICB524340 ILX524340 IVT524340 JFP524340 JPL524340 JZH524340 KJD524340 KSZ524340 LCV524340 LMR524340 LWN524340 MGJ524340 MQF524340 NAB524340 NJX524340 NTT524340 ODP524340 ONL524340 OXH524340 PHD524340 PQZ524340 QAV524340 QKR524340 QUN524340 REJ524340 ROF524340 RYB524340 SHX524340 SRT524340 TBP524340 TLL524340 TVH524340 UFD524340 UOZ524340 UYV524340 VIR524340 VSN524340 WCJ524340 WMF524340 WWB524340 S589876 JP589876 TL589876 ADH589876 AND589876 AWZ589876 BGV589876 BQR589876 CAN589876 CKJ589876 CUF589876 DEB589876 DNX589876 DXT589876 EHP589876 ERL589876 FBH589876 FLD589876 FUZ589876 GEV589876 GOR589876 GYN589876 HIJ589876 HSF589876 ICB589876 ILX589876 IVT589876 JFP589876 JPL589876 JZH589876 KJD589876 KSZ589876 LCV589876 LMR589876 LWN589876 MGJ589876 MQF589876 NAB589876 NJX589876 NTT589876 ODP589876 ONL589876 OXH589876 PHD589876 PQZ589876 QAV589876 QKR589876 QUN589876 REJ589876 ROF589876 RYB589876 SHX589876 SRT589876 TBP589876 TLL589876 TVH589876 UFD589876 UOZ589876 UYV589876 VIR589876 VSN589876 WCJ589876 WMF589876 WWB589876 S655412 JP655412 TL655412 ADH655412 AND655412 AWZ655412 BGV655412 BQR655412 CAN655412 CKJ655412 CUF655412 DEB655412 DNX655412 DXT655412 EHP655412 ERL655412 FBH655412 FLD655412 FUZ655412 GEV655412 GOR655412 GYN655412 HIJ655412 HSF655412 ICB655412 ILX655412 IVT655412 JFP655412 JPL655412 JZH655412 KJD655412 KSZ655412 LCV655412 LMR655412 LWN655412 MGJ655412 MQF655412 NAB655412 NJX655412 NTT655412 ODP655412 ONL655412 OXH655412 PHD655412 PQZ655412 QAV655412 QKR655412 QUN655412 REJ655412 ROF655412 RYB655412 SHX655412 SRT655412 TBP655412 TLL655412 TVH655412 UFD655412 UOZ655412 UYV655412 VIR655412 VSN655412 WCJ655412 WMF655412 WWB655412 S720948 JP720948 TL720948 ADH720948 AND720948 AWZ720948 BGV720948 BQR720948 CAN720948 CKJ720948 CUF720948 DEB720948 DNX720948 DXT720948 EHP720948 ERL720948 FBH720948 FLD720948 FUZ720948 GEV720948 GOR720948 GYN720948 HIJ720948 HSF720948 ICB720948 ILX720948 IVT720948 JFP720948 JPL720948 JZH720948 KJD720948 KSZ720948 LCV720948 LMR720948 LWN720948 MGJ720948 MQF720948 NAB720948 NJX720948 NTT720948 ODP720948 ONL720948 OXH720948 PHD720948 PQZ720948 QAV720948 QKR720948 QUN720948 REJ720948 ROF720948 RYB720948 SHX720948 SRT720948 TBP720948 TLL720948 TVH720948 UFD720948 UOZ720948 UYV720948 VIR720948 VSN720948 WCJ720948 WMF720948 WWB720948 S786484 JP786484 TL786484 ADH786484 AND786484 AWZ786484 BGV786484 BQR786484 CAN786484 CKJ786484 CUF786484 DEB786484 DNX786484 DXT786484 EHP786484 ERL786484 FBH786484 FLD786484 FUZ786484 GEV786484 GOR786484 GYN786484 HIJ786484 HSF786484 ICB786484 ILX786484 IVT786484 JFP786484 JPL786484 JZH786484 KJD786484 KSZ786484 LCV786484 LMR786484 LWN786484 MGJ786484 MQF786484 NAB786484 NJX786484 NTT786484 ODP786484 ONL786484 OXH786484 PHD786484 PQZ786484 QAV786484 QKR786484 QUN786484 REJ786484 ROF786484 RYB786484 SHX786484 SRT786484 TBP786484 TLL786484 TVH786484 UFD786484 UOZ786484 UYV786484 VIR786484 VSN786484 WCJ786484 WMF786484 WWB786484 S852020 JP852020 TL852020 ADH852020 AND852020 AWZ852020 BGV852020 BQR852020 CAN852020 CKJ852020 CUF852020 DEB852020 DNX852020 DXT852020 EHP852020 ERL852020 FBH852020 FLD852020 FUZ852020 GEV852020 GOR852020 GYN852020 HIJ852020 HSF852020 ICB852020 ILX852020 IVT852020 JFP852020 JPL852020 JZH852020 KJD852020 KSZ852020 LCV852020 LMR852020 LWN852020 MGJ852020 MQF852020 NAB852020 NJX852020 NTT852020 ODP852020 ONL852020 OXH852020 PHD852020 PQZ852020 QAV852020 QKR852020 QUN852020 REJ852020 ROF852020 RYB852020 SHX852020 SRT852020 TBP852020 TLL852020 TVH852020 UFD852020 UOZ852020 UYV852020 VIR852020 VSN852020 WCJ852020 WMF852020 WWB852020 S917556 JP917556 TL917556 ADH917556 AND917556 AWZ917556 BGV917556 BQR917556 CAN917556 CKJ917556 CUF917556 DEB917556 DNX917556 DXT917556 EHP917556 ERL917556 FBH917556 FLD917556 FUZ917556 GEV917556 GOR917556 GYN917556 HIJ917556 HSF917556 ICB917556 ILX917556 IVT917556 JFP917556 JPL917556 JZH917556 KJD917556 KSZ917556 LCV917556 LMR917556 LWN917556 MGJ917556 MQF917556 NAB917556 NJX917556 NTT917556 ODP917556 ONL917556 OXH917556 PHD917556 PQZ917556 QAV917556 QKR917556 QUN917556 REJ917556 ROF917556 RYB917556 SHX917556 SRT917556 TBP917556 TLL917556 TVH917556 UFD917556 UOZ917556 UYV917556 VIR917556 VSN917556 WCJ917556 WMF917556 WWB917556 S983092 JP983092 TL983092 ADH983092 AND983092 AWZ983092 BGV983092 BQR983092 CAN983092 CKJ983092 CUF983092 DEB983092 DNX983092 DXT983092 EHP983092 ERL983092 FBH983092 FLD983092 FUZ983092 GEV983092 GOR983092 GYN983092 HIJ983092 HSF983092 ICB983092 ILX983092 IVT983092 JFP983092 JPL983092 JZH983092 KJD983092 KSZ983092 LCV983092 LMR983092 LWN983092 MGJ983092 MQF983092 NAB983092 NJX983092 NTT983092 ODP983092 ONL983092 OXH983092 PHD983092 PQZ983092 QAV983092 QKR983092 QUN983092 REJ983092 ROF983092 RYB983092 SHX983092 SRT983092 TBP983092 TLL983092 TVH983092 UFD983092 UOZ983092 UYV983092 VIR983092 VSN983092 WCJ983092 WMF983092 WWB983092 UPR983094 JP23 TL23 ADH23 AND23 AWZ23 BGV23 BQR23 CAN23 CKJ23 CUF23 DEB23 DNX23 DXT23 EHP23 ERL23 FBH23 FLD23 FUZ23 GEV23 GOR23 GYN23 HIJ23 HSF23 ICB23 ILX23 IVT23 JFP23 JPL23 JZH23 KJD23 KSZ23 LCV23 LMR23 LWN23 MGJ23 MQF23 NAB23 NJX23 NTT23 ODP23 ONL23 OXH23 PHD23 PQZ23 QAV23 QKR23 QUN23 REJ23 ROF23 RYB23 SHX23 SRT23 TBP23 TLL23 TVH23 UFD23 UOZ23 UYV23 VIR23 VSN23 WCJ23 WMF23 WWB23 S65586 JP65586 TL65586 ADH65586 AND65586 AWZ65586 BGV65586 BQR65586 CAN65586 CKJ65586 CUF65586 DEB65586 DNX65586 DXT65586 EHP65586 ERL65586 FBH65586 FLD65586 FUZ65586 GEV65586 GOR65586 GYN65586 HIJ65586 HSF65586 ICB65586 ILX65586 IVT65586 JFP65586 JPL65586 JZH65586 KJD65586 KSZ65586 LCV65586 LMR65586 LWN65586 MGJ65586 MQF65586 NAB65586 NJX65586 NTT65586 ODP65586 ONL65586 OXH65586 PHD65586 PQZ65586 QAV65586 QKR65586 QUN65586 REJ65586 ROF65586 RYB65586 SHX65586 SRT65586 TBP65586 TLL65586 TVH65586 UFD65586 UOZ65586 UYV65586 VIR65586 VSN65586 WCJ65586 WMF65586 WWB65586 S131122 JP131122 TL131122 ADH131122 AND131122 AWZ131122 BGV131122 BQR131122 CAN131122 CKJ131122 CUF131122 DEB131122 DNX131122 DXT131122 EHP131122 ERL131122 FBH131122 FLD131122 FUZ131122 GEV131122 GOR131122 GYN131122 HIJ131122 HSF131122 ICB131122 ILX131122 IVT131122 JFP131122 JPL131122 JZH131122 KJD131122 KSZ131122 LCV131122 LMR131122 LWN131122 MGJ131122 MQF131122 NAB131122 NJX131122 NTT131122 ODP131122 ONL131122 OXH131122 PHD131122 PQZ131122 QAV131122 QKR131122 QUN131122 REJ131122 ROF131122 RYB131122 SHX131122 SRT131122 TBP131122 TLL131122 TVH131122 UFD131122 UOZ131122 UYV131122 VIR131122 VSN131122 WCJ131122 WMF131122 WWB131122 S196658 JP196658 TL196658 ADH196658 AND196658 AWZ196658 BGV196658 BQR196658 CAN196658 CKJ196658 CUF196658 DEB196658 DNX196658 DXT196658 EHP196658 ERL196658 FBH196658 FLD196658 FUZ196658 GEV196658 GOR196658 GYN196658 HIJ196658 HSF196658 ICB196658 ILX196658 IVT196658 JFP196658 JPL196658 JZH196658 KJD196658 KSZ196658 LCV196658 LMR196658 LWN196658 MGJ196658 MQF196658 NAB196658 NJX196658 NTT196658 ODP196658 ONL196658 OXH196658 PHD196658 PQZ196658 QAV196658 QKR196658 QUN196658 REJ196658 ROF196658 RYB196658 SHX196658 SRT196658 TBP196658 TLL196658 TVH196658 UFD196658 UOZ196658 UYV196658 VIR196658 VSN196658 WCJ196658 WMF196658 WWB196658 S262194 JP262194 TL262194 ADH262194 AND262194 AWZ262194 BGV262194 BQR262194 CAN262194 CKJ262194 CUF262194 DEB262194 DNX262194 DXT262194 EHP262194 ERL262194 FBH262194 FLD262194 FUZ262194 GEV262194 GOR262194 GYN262194 HIJ262194 HSF262194 ICB262194 ILX262194 IVT262194 JFP262194 JPL262194 JZH262194 KJD262194 KSZ262194 LCV262194 LMR262194 LWN262194 MGJ262194 MQF262194 NAB262194 NJX262194 NTT262194 ODP262194 ONL262194 OXH262194 PHD262194 PQZ262194 QAV262194 QKR262194 QUN262194 REJ262194 ROF262194 RYB262194 SHX262194 SRT262194 TBP262194 TLL262194 TVH262194 UFD262194 UOZ262194 UYV262194 VIR262194 VSN262194 WCJ262194 WMF262194 WWB262194 S327730 JP327730 TL327730 ADH327730 AND327730 AWZ327730 BGV327730 BQR327730 CAN327730 CKJ327730 CUF327730 DEB327730 DNX327730 DXT327730 EHP327730 ERL327730 FBH327730 FLD327730 FUZ327730 GEV327730 GOR327730 GYN327730 HIJ327730 HSF327730 ICB327730 ILX327730 IVT327730 JFP327730 JPL327730 JZH327730 KJD327730 KSZ327730 LCV327730 LMR327730 LWN327730 MGJ327730 MQF327730 NAB327730 NJX327730 NTT327730 ODP327730 ONL327730 OXH327730 PHD327730 PQZ327730 QAV327730 QKR327730 QUN327730 REJ327730 ROF327730 RYB327730 SHX327730 SRT327730 TBP327730 TLL327730 TVH327730 UFD327730 UOZ327730 UYV327730 VIR327730 VSN327730 WCJ327730 WMF327730 WWB327730 S393266 JP393266 TL393266 ADH393266 AND393266 AWZ393266 BGV393266 BQR393266 CAN393266 CKJ393266 CUF393266 DEB393266 DNX393266 DXT393266 EHP393266 ERL393266 FBH393266 FLD393266 FUZ393266 GEV393266 GOR393266 GYN393266 HIJ393266 HSF393266 ICB393266 ILX393266 IVT393266 JFP393266 JPL393266 JZH393266 KJD393266 KSZ393266 LCV393266 LMR393266 LWN393266 MGJ393266 MQF393266 NAB393266 NJX393266 NTT393266 ODP393266 ONL393266 OXH393266 PHD393266 PQZ393266 QAV393266 QKR393266 QUN393266 REJ393266 ROF393266 RYB393266 SHX393266 SRT393266 TBP393266 TLL393266 TVH393266 UFD393266 UOZ393266 UYV393266 VIR393266 VSN393266 WCJ393266 WMF393266 WWB393266 S458802 JP458802 TL458802 ADH458802 AND458802 AWZ458802 BGV458802 BQR458802 CAN458802 CKJ458802 CUF458802 DEB458802 DNX458802 DXT458802 EHP458802 ERL458802 FBH458802 FLD458802 FUZ458802 GEV458802 GOR458802 GYN458802 HIJ458802 HSF458802 ICB458802 ILX458802 IVT458802 JFP458802 JPL458802 JZH458802 KJD458802 KSZ458802 LCV458802 LMR458802 LWN458802 MGJ458802 MQF458802 NAB458802 NJX458802 NTT458802 ODP458802 ONL458802 OXH458802 PHD458802 PQZ458802 QAV458802 QKR458802 QUN458802 REJ458802 ROF458802 RYB458802 SHX458802 SRT458802 TBP458802 TLL458802 TVH458802 UFD458802 UOZ458802 UYV458802 VIR458802 VSN458802 WCJ458802 WMF458802 WWB458802 S524338 JP524338 TL524338 ADH524338 AND524338 AWZ524338 BGV524338 BQR524338 CAN524338 CKJ524338 CUF524338 DEB524338 DNX524338 DXT524338 EHP524338 ERL524338 FBH524338 FLD524338 FUZ524338 GEV524338 GOR524338 GYN524338 HIJ524338 HSF524338 ICB524338 ILX524338 IVT524338 JFP524338 JPL524338 JZH524338 KJD524338 KSZ524338 LCV524338 LMR524338 LWN524338 MGJ524338 MQF524338 NAB524338 NJX524338 NTT524338 ODP524338 ONL524338 OXH524338 PHD524338 PQZ524338 QAV524338 QKR524338 QUN524338 REJ524338 ROF524338 RYB524338 SHX524338 SRT524338 TBP524338 TLL524338 TVH524338 UFD524338 UOZ524338 UYV524338 VIR524338 VSN524338 WCJ524338 WMF524338 WWB524338 S589874 JP589874 TL589874 ADH589874 AND589874 AWZ589874 BGV589874 BQR589874 CAN589874 CKJ589874 CUF589874 DEB589874 DNX589874 DXT589874 EHP589874 ERL589874 FBH589874 FLD589874 FUZ589874 GEV589874 GOR589874 GYN589874 HIJ589874 HSF589874 ICB589874 ILX589874 IVT589874 JFP589874 JPL589874 JZH589874 KJD589874 KSZ589874 LCV589874 LMR589874 LWN589874 MGJ589874 MQF589874 NAB589874 NJX589874 NTT589874 ODP589874 ONL589874 OXH589874 PHD589874 PQZ589874 QAV589874 QKR589874 QUN589874 REJ589874 ROF589874 RYB589874 SHX589874 SRT589874 TBP589874 TLL589874 TVH589874 UFD589874 UOZ589874 UYV589874 VIR589874 VSN589874 WCJ589874 WMF589874 WWB589874 S655410 JP655410 TL655410 ADH655410 AND655410 AWZ655410 BGV655410 BQR655410 CAN655410 CKJ655410 CUF655410 DEB655410 DNX655410 DXT655410 EHP655410 ERL655410 FBH655410 FLD655410 FUZ655410 GEV655410 GOR655410 GYN655410 HIJ655410 HSF655410 ICB655410 ILX655410 IVT655410 JFP655410 JPL655410 JZH655410 KJD655410 KSZ655410 LCV655410 LMR655410 LWN655410 MGJ655410 MQF655410 NAB655410 NJX655410 NTT655410 ODP655410 ONL655410 OXH655410 PHD655410 PQZ655410 QAV655410 QKR655410 QUN655410 REJ655410 ROF655410 RYB655410 SHX655410 SRT655410 TBP655410 TLL655410 TVH655410 UFD655410 UOZ655410 UYV655410 VIR655410 VSN655410 WCJ655410 WMF655410 WWB655410 S720946 JP720946 TL720946 ADH720946 AND720946 AWZ720946 BGV720946 BQR720946 CAN720946 CKJ720946 CUF720946 DEB720946 DNX720946 DXT720946 EHP720946 ERL720946 FBH720946 FLD720946 FUZ720946 GEV720946 GOR720946 GYN720946 HIJ720946 HSF720946 ICB720946 ILX720946 IVT720946 JFP720946 JPL720946 JZH720946 KJD720946 KSZ720946 LCV720946 LMR720946 LWN720946 MGJ720946 MQF720946 NAB720946 NJX720946 NTT720946 ODP720946 ONL720946 OXH720946 PHD720946 PQZ720946 QAV720946 QKR720946 QUN720946 REJ720946 ROF720946 RYB720946 SHX720946 SRT720946 TBP720946 TLL720946 TVH720946 UFD720946 UOZ720946 UYV720946 VIR720946 VSN720946 WCJ720946 WMF720946 WWB720946 S786482 JP786482 TL786482 ADH786482 AND786482 AWZ786482 BGV786482 BQR786482 CAN786482 CKJ786482 CUF786482 DEB786482 DNX786482 DXT786482 EHP786482 ERL786482 FBH786482 FLD786482 FUZ786482 GEV786482 GOR786482 GYN786482 HIJ786482 HSF786482 ICB786482 ILX786482 IVT786482 JFP786482 JPL786482 JZH786482 KJD786482 KSZ786482 LCV786482 LMR786482 LWN786482 MGJ786482 MQF786482 NAB786482 NJX786482 NTT786482 ODP786482 ONL786482 OXH786482 PHD786482 PQZ786482 QAV786482 QKR786482 QUN786482 REJ786482 ROF786482 RYB786482 SHX786482 SRT786482 TBP786482 TLL786482 TVH786482 UFD786482 UOZ786482 UYV786482 VIR786482 VSN786482 WCJ786482 WMF786482 WWB786482 S852018 JP852018 TL852018 ADH852018 AND852018 AWZ852018 BGV852018 BQR852018 CAN852018 CKJ852018 CUF852018 DEB852018 DNX852018 DXT852018 EHP852018 ERL852018 FBH852018 FLD852018 FUZ852018 GEV852018 GOR852018 GYN852018 HIJ852018 HSF852018 ICB852018 ILX852018 IVT852018 JFP852018 JPL852018 JZH852018 KJD852018 KSZ852018 LCV852018 LMR852018 LWN852018 MGJ852018 MQF852018 NAB852018 NJX852018 NTT852018 ODP852018 ONL852018 OXH852018 PHD852018 PQZ852018 QAV852018 QKR852018 QUN852018 REJ852018 ROF852018 RYB852018 SHX852018 SRT852018 TBP852018 TLL852018 TVH852018 UFD852018 UOZ852018 UYV852018 VIR852018 VSN852018 WCJ852018 WMF852018 WWB852018 S917554 JP917554 TL917554 ADH917554 AND917554 AWZ917554 BGV917554 BQR917554 CAN917554 CKJ917554 CUF917554 DEB917554 DNX917554 DXT917554 EHP917554 ERL917554 FBH917554 FLD917554 FUZ917554 GEV917554 GOR917554 GYN917554 HIJ917554 HSF917554 ICB917554 ILX917554 IVT917554 JFP917554 JPL917554 JZH917554 KJD917554 KSZ917554 LCV917554 LMR917554 LWN917554 MGJ917554 MQF917554 NAB917554 NJX917554 NTT917554 ODP917554 ONL917554 OXH917554 PHD917554 PQZ917554 QAV917554 QKR917554 QUN917554 REJ917554 ROF917554 RYB917554 SHX917554 SRT917554 TBP917554 TLL917554 TVH917554 UFD917554 UOZ917554 UYV917554 VIR917554 VSN917554 WCJ917554 WMF917554 WWB917554 S983090 JP983090 TL983090 ADH983090 AND983090 AWZ983090 BGV983090 BQR983090 CAN983090 CKJ983090 CUF983090 DEB983090 DNX983090 DXT983090 EHP983090 ERL983090 FBH983090 FLD983090 FUZ983090 GEV983090 GOR983090 GYN983090 HIJ983090 HSF983090 ICB983090 ILX983090 IVT983090 JFP983090 JPL983090 JZH983090 KJD983090 KSZ983090 LCV983090 LMR983090 LWN983090 MGJ983090 MQF983090 NAB983090 NJX983090 NTT983090 ODP983090 ONL983090 OXH983090 PHD983090 PQZ983090 QAV983090 QKR983090 QUN983090 REJ983090 ROF983090 RYB983090 SHX983090 SRT983090 TBP983090 TLL983090 TVH983090 UFD983090 UOZ983090 UYV983090 VIR983090 VSN983090 WCJ983090 WMF983090 WWB983090 TCH983094 KB25 TX25 ADT25 ANP25 AXL25 BHH25 BRD25 CAZ25 CKV25 CUR25 DEN25 DOJ25 DYF25 EIB25 ERX25 FBT25 FLP25 FVL25 GFH25 GPD25 GYZ25 HIV25 HSR25 ICN25 IMJ25 IWF25 JGB25 JPX25 JZT25 KJP25 KTL25 LDH25 LND25 LWZ25 MGV25 MQR25 NAN25 NKJ25 NUF25 OEB25 ONX25 OXT25 PHP25 PRL25 QBH25 QLD25 QUZ25 REV25 ROR25 RYN25 SIJ25 SSF25 TCB25 TLX25 TVT25 UFP25 UPL25 UZH25 VJD25 VSZ25 WCV25 WMR25 WWN25 AE65588 KB65588 TX65588 ADT65588 ANP65588 AXL65588 BHH65588 BRD65588 CAZ65588 CKV65588 CUR65588 DEN65588 DOJ65588 DYF65588 EIB65588 ERX65588 FBT65588 FLP65588 FVL65588 GFH65588 GPD65588 GYZ65588 HIV65588 HSR65588 ICN65588 IMJ65588 IWF65588 JGB65588 JPX65588 JZT65588 KJP65588 KTL65588 LDH65588 LND65588 LWZ65588 MGV65588 MQR65588 NAN65588 NKJ65588 NUF65588 OEB65588 ONX65588 OXT65588 PHP65588 PRL65588 QBH65588 QLD65588 QUZ65588 REV65588 ROR65588 RYN65588 SIJ65588 SSF65588 TCB65588 TLX65588 TVT65588 UFP65588 UPL65588 UZH65588 VJD65588 VSZ65588 WCV65588 WMR65588 WWN65588 AE131124 KB131124 TX131124 ADT131124 ANP131124 AXL131124 BHH131124 BRD131124 CAZ131124 CKV131124 CUR131124 DEN131124 DOJ131124 DYF131124 EIB131124 ERX131124 FBT131124 FLP131124 FVL131124 GFH131124 GPD131124 GYZ131124 HIV131124 HSR131124 ICN131124 IMJ131124 IWF131124 JGB131124 JPX131124 JZT131124 KJP131124 KTL131124 LDH131124 LND131124 LWZ131124 MGV131124 MQR131124 NAN131124 NKJ131124 NUF131124 OEB131124 ONX131124 OXT131124 PHP131124 PRL131124 QBH131124 QLD131124 QUZ131124 REV131124 ROR131124 RYN131124 SIJ131124 SSF131124 TCB131124 TLX131124 TVT131124 UFP131124 UPL131124 UZH131124 VJD131124 VSZ131124 WCV131124 WMR131124 WWN131124 AE196660 KB196660 TX196660 ADT196660 ANP196660 AXL196660 BHH196660 BRD196660 CAZ196660 CKV196660 CUR196660 DEN196660 DOJ196660 DYF196660 EIB196660 ERX196660 FBT196660 FLP196660 FVL196660 GFH196660 GPD196660 GYZ196660 HIV196660 HSR196660 ICN196660 IMJ196660 IWF196660 JGB196660 JPX196660 JZT196660 KJP196660 KTL196660 LDH196660 LND196660 LWZ196660 MGV196660 MQR196660 NAN196660 NKJ196660 NUF196660 OEB196660 ONX196660 OXT196660 PHP196660 PRL196660 QBH196660 QLD196660 QUZ196660 REV196660 ROR196660 RYN196660 SIJ196660 SSF196660 TCB196660 TLX196660 TVT196660 UFP196660 UPL196660 UZH196660 VJD196660 VSZ196660 WCV196660 WMR196660 WWN196660 AE262196 KB262196 TX262196 ADT262196 ANP262196 AXL262196 BHH262196 BRD262196 CAZ262196 CKV262196 CUR262196 DEN262196 DOJ262196 DYF262196 EIB262196 ERX262196 FBT262196 FLP262196 FVL262196 GFH262196 GPD262196 GYZ262196 HIV262196 HSR262196 ICN262196 IMJ262196 IWF262196 JGB262196 JPX262196 JZT262196 KJP262196 KTL262196 LDH262196 LND262196 LWZ262196 MGV262196 MQR262196 NAN262196 NKJ262196 NUF262196 OEB262196 ONX262196 OXT262196 PHP262196 PRL262196 QBH262196 QLD262196 QUZ262196 REV262196 ROR262196 RYN262196 SIJ262196 SSF262196 TCB262196 TLX262196 TVT262196 UFP262196 UPL262196 UZH262196 VJD262196 VSZ262196 WCV262196 WMR262196 WWN262196 AE327732 KB327732 TX327732 ADT327732 ANP327732 AXL327732 BHH327732 BRD327732 CAZ327732 CKV327732 CUR327732 DEN327732 DOJ327732 DYF327732 EIB327732 ERX327732 FBT327732 FLP327732 FVL327732 GFH327732 GPD327732 GYZ327732 HIV327732 HSR327732 ICN327732 IMJ327732 IWF327732 JGB327732 JPX327732 JZT327732 KJP327732 KTL327732 LDH327732 LND327732 LWZ327732 MGV327732 MQR327732 NAN327732 NKJ327732 NUF327732 OEB327732 ONX327732 OXT327732 PHP327732 PRL327732 QBH327732 QLD327732 QUZ327732 REV327732 ROR327732 RYN327732 SIJ327732 SSF327732 TCB327732 TLX327732 TVT327732 UFP327732 UPL327732 UZH327732 VJD327732 VSZ327732 WCV327732 WMR327732 WWN327732 AE393268 KB393268 TX393268 ADT393268 ANP393268 AXL393268 BHH393268 BRD393268 CAZ393268 CKV393268 CUR393268 DEN393268 DOJ393268 DYF393268 EIB393268 ERX393268 FBT393268 FLP393268 FVL393268 GFH393268 GPD393268 GYZ393268 HIV393268 HSR393268 ICN393268 IMJ393268 IWF393268 JGB393268 JPX393268 JZT393268 KJP393268 KTL393268 LDH393268 LND393268 LWZ393268 MGV393268 MQR393268 NAN393268 NKJ393268 NUF393268 OEB393268 ONX393268 OXT393268 PHP393268 PRL393268 QBH393268 QLD393268 QUZ393268 REV393268 ROR393268 RYN393268 SIJ393268 SSF393268 TCB393268 TLX393268 TVT393268 UFP393268 UPL393268 UZH393268 VJD393268 VSZ393268 WCV393268 WMR393268 WWN393268 AE458804 KB458804 TX458804 ADT458804 ANP458804 AXL458804 BHH458804 BRD458804 CAZ458804 CKV458804 CUR458804 DEN458804 DOJ458804 DYF458804 EIB458804 ERX458804 FBT458804 FLP458804 FVL458804 GFH458804 GPD458804 GYZ458804 HIV458804 HSR458804 ICN458804 IMJ458804 IWF458804 JGB458804 JPX458804 JZT458804 KJP458804 KTL458804 LDH458804 LND458804 LWZ458804 MGV458804 MQR458804 NAN458804 NKJ458804 NUF458804 OEB458804 ONX458804 OXT458804 PHP458804 PRL458804 QBH458804 QLD458804 QUZ458804 REV458804 ROR458804 RYN458804 SIJ458804 SSF458804 TCB458804 TLX458804 TVT458804 UFP458804 UPL458804 UZH458804 VJD458804 VSZ458804 WCV458804 WMR458804 WWN458804 AE524340 KB524340 TX524340 ADT524340 ANP524340 AXL524340 BHH524340 BRD524340 CAZ524340 CKV524340 CUR524340 DEN524340 DOJ524340 DYF524340 EIB524340 ERX524340 FBT524340 FLP524340 FVL524340 GFH524340 GPD524340 GYZ524340 HIV524340 HSR524340 ICN524340 IMJ524340 IWF524340 JGB524340 JPX524340 JZT524340 KJP524340 KTL524340 LDH524340 LND524340 LWZ524340 MGV524340 MQR524340 NAN524340 NKJ524340 NUF524340 OEB524340 ONX524340 OXT524340 PHP524340 PRL524340 QBH524340 QLD524340 QUZ524340 REV524340 ROR524340 RYN524340 SIJ524340 SSF524340 TCB524340 TLX524340 TVT524340 UFP524340 UPL524340 UZH524340 VJD524340 VSZ524340 WCV524340 WMR524340 WWN524340 AE589876 KB589876 TX589876 ADT589876 ANP589876 AXL589876 BHH589876 BRD589876 CAZ589876 CKV589876 CUR589876 DEN589876 DOJ589876 DYF589876 EIB589876 ERX589876 FBT589876 FLP589876 FVL589876 GFH589876 GPD589876 GYZ589876 HIV589876 HSR589876 ICN589876 IMJ589876 IWF589876 JGB589876 JPX589876 JZT589876 KJP589876 KTL589876 LDH589876 LND589876 LWZ589876 MGV589876 MQR589876 NAN589876 NKJ589876 NUF589876 OEB589876 ONX589876 OXT589876 PHP589876 PRL589876 QBH589876 QLD589876 QUZ589876 REV589876 ROR589876 RYN589876 SIJ589876 SSF589876 TCB589876 TLX589876 TVT589876 UFP589876 UPL589876 UZH589876 VJD589876 VSZ589876 WCV589876 WMR589876 WWN589876 AE655412 KB655412 TX655412 ADT655412 ANP655412 AXL655412 BHH655412 BRD655412 CAZ655412 CKV655412 CUR655412 DEN655412 DOJ655412 DYF655412 EIB655412 ERX655412 FBT655412 FLP655412 FVL655412 GFH655412 GPD655412 GYZ655412 HIV655412 HSR655412 ICN655412 IMJ655412 IWF655412 JGB655412 JPX655412 JZT655412 KJP655412 KTL655412 LDH655412 LND655412 LWZ655412 MGV655412 MQR655412 NAN655412 NKJ655412 NUF655412 OEB655412 ONX655412 OXT655412 PHP655412 PRL655412 QBH655412 QLD655412 QUZ655412 REV655412 ROR655412 RYN655412 SIJ655412 SSF655412 TCB655412 TLX655412 TVT655412 UFP655412 UPL655412 UZH655412 VJD655412 VSZ655412 WCV655412 WMR655412 WWN655412 AE720948 KB720948 TX720948 ADT720948 ANP720948 AXL720948 BHH720948 BRD720948 CAZ720948 CKV720948 CUR720948 DEN720948 DOJ720948 DYF720948 EIB720948 ERX720948 FBT720948 FLP720948 FVL720948 GFH720948 GPD720948 GYZ720948 HIV720948 HSR720948 ICN720948 IMJ720948 IWF720948 JGB720948 JPX720948 JZT720948 KJP720948 KTL720948 LDH720948 LND720948 LWZ720948 MGV720948 MQR720948 NAN720948 NKJ720948 NUF720948 OEB720948 ONX720948 OXT720948 PHP720948 PRL720948 QBH720948 QLD720948 QUZ720948 REV720948 ROR720948 RYN720948 SIJ720948 SSF720948 TCB720948 TLX720948 TVT720948 UFP720948 UPL720948 UZH720948 VJD720948 VSZ720948 WCV720948 WMR720948 WWN720948 AE786484 KB786484 TX786484 ADT786484 ANP786484 AXL786484 BHH786484 BRD786484 CAZ786484 CKV786484 CUR786484 DEN786484 DOJ786484 DYF786484 EIB786484 ERX786484 FBT786484 FLP786484 FVL786484 GFH786484 GPD786484 GYZ786484 HIV786484 HSR786484 ICN786484 IMJ786484 IWF786484 JGB786484 JPX786484 JZT786484 KJP786484 KTL786484 LDH786484 LND786484 LWZ786484 MGV786484 MQR786484 NAN786484 NKJ786484 NUF786484 OEB786484 ONX786484 OXT786484 PHP786484 PRL786484 QBH786484 QLD786484 QUZ786484 REV786484 ROR786484 RYN786484 SIJ786484 SSF786484 TCB786484 TLX786484 TVT786484 UFP786484 UPL786484 UZH786484 VJD786484 VSZ786484 WCV786484 WMR786484 WWN786484 AE852020 KB852020 TX852020 ADT852020 ANP852020 AXL852020 BHH852020 BRD852020 CAZ852020 CKV852020 CUR852020 DEN852020 DOJ852020 DYF852020 EIB852020 ERX852020 FBT852020 FLP852020 FVL852020 GFH852020 GPD852020 GYZ852020 HIV852020 HSR852020 ICN852020 IMJ852020 IWF852020 JGB852020 JPX852020 JZT852020 KJP852020 KTL852020 LDH852020 LND852020 LWZ852020 MGV852020 MQR852020 NAN852020 NKJ852020 NUF852020 OEB852020 ONX852020 OXT852020 PHP852020 PRL852020 QBH852020 QLD852020 QUZ852020 REV852020 ROR852020 RYN852020 SIJ852020 SSF852020 TCB852020 TLX852020 TVT852020 UFP852020 UPL852020 UZH852020 VJD852020 VSZ852020 WCV852020 WMR852020 WWN852020 AE917556 KB917556 TX917556 ADT917556 ANP917556 AXL917556 BHH917556 BRD917556 CAZ917556 CKV917556 CUR917556 DEN917556 DOJ917556 DYF917556 EIB917556 ERX917556 FBT917556 FLP917556 FVL917556 GFH917556 GPD917556 GYZ917556 HIV917556 HSR917556 ICN917556 IMJ917556 IWF917556 JGB917556 JPX917556 JZT917556 KJP917556 KTL917556 LDH917556 LND917556 LWZ917556 MGV917556 MQR917556 NAN917556 NKJ917556 NUF917556 OEB917556 ONX917556 OXT917556 PHP917556 PRL917556 QBH917556 QLD917556 QUZ917556 REV917556 ROR917556 RYN917556 SIJ917556 SSF917556 TCB917556 TLX917556 TVT917556 UFP917556 UPL917556 UZH917556 VJD917556 VSZ917556 WCV917556 WMR917556 WWN917556 AE983092 KB983092 TX983092 ADT983092 ANP983092 AXL983092 BHH983092 BRD983092 CAZ983092 CKV983092 CUR983092 DEN983092 DOJ983092 DYF983092 EIB983092 ERX983092 FBT983092 FLP983092 FVL983092 GFH983092 GPD983092 GYZ983092 HIV983092 HSR983092 ICN983092 IMJ983092 IWF983092 JGB983092 JPX983092 JZT983092 KJP983092 KTL983092 LDH983092 LND983092 LWZ983092 MGV983092 MQR983092 NAN983092 NKJ983092 NUF983092 OEB983092 ONX983092 OXT983092 PHP983092 PRL983092 QBH983092 QLD983092 QUZ983092 REV983092 ROR983092 RYN983092 SIJ983092 SSF983092 TCB983092 TLX983092 TVT983092 UFP983092 UPL983092 UZH983092 VJD983092 VSZ983092 WCV983092 WMR983092 WWN983092 LXF983094 KB23 TX23 ADT23 ANP23 AXL23 BHH23 BRD23 CAZ23 CKV23 CUR23 DEN23 DOJ23 DYF23 EIB23 ERX23 FBT23 FLP23 FVL23 GFH23 GPD23 GYZ23 HIV23 HSR23 ICN23 IMJ23 IWF23 JGB23 JPX23 JZT23 KJP23 KTL23 LDH23 LND23 LWZ23 MGV23 MQR23 NAN23 NKJ23 NUF23 OEB23 ONX23 OXT23 PHP23 PRL23 QBH23 QLD23 QUZ23 REV23 ROR23 RYN23 SIJ23 SSF23 TCB23 TLX23 TVT23 UFP23 UPL23 UZH23 VJD23 VSZ23 WCV23 WMR23 WWN23 AE65586 KB65586 TX65586 ADT65586 ANP65586 AXL65586 BHH65586 BRD65586 CAZ65586 CKV65586 CUR65586 DEN65586 DOJ65586 DYF65586 EIB65586 ERX65586 FBT65586 FLP65586 FVL65586 GFH65586 GPD65586 GYZ65586 HIV65586 HSR65586 ICN65586 IMJ65586 IWF65586 JGB65586 JPX65586 JZT65586 KJP65586 KTL65586 LDH65586 LND65586 LWZ65586 MGV65586 MQR65586 NAN65586 NKJ65586 NUF65586 OEB65586 ONX65586 OXT65586 PHP65586 PRL65586 QBH65586 QLD65586 QUZ65586 REV65586 ROR65586 RYN65586 SIJ65586 SSF65586 TCB65586 TLX65586 TVT65586 UFP65586 UPL65586 UZH65586 VJD65586 VSZ65586 WCV65586 WMR65586 WWN65586 AE131122 KB131122 TX131122 ADT131122 ANP131122 AXL131122 BHH131122 BRD131122 CAZ131122 CKV131122 CUR131122 DEN131122 DOJ131122 DYF131122 EIB131122 ERX131122 FBT131122 FLP131122 FVL131122 GFH131122 GPD131122 GYZ131122 HIV131122 HSR131122 ICN131122 IMJ131122 IWF131122 JGB131122 JPX131122 JZT131122 KJP131122 KTL131122 LDH131122 LND131122 LWZ131122 MGV131122 MQR131122 NAN131122 NKJ131122 NUF131122 OEB131122 ONX131122 OXT131122 PHP131122 PRL131122 QBH131122 QLD131122 QUZ131122 REV131122 ROR131122 RYN131122 SIJ131122 SSF131122 TCB131122 TLX131122 TVT131122 UFP131122 UPL131122 UZH131122 VJD131122 VSZ131122 WCV131122 WMR131122 WWN131122 AE196658 KB196658 TX196658 ADT196658 ANP196658 AXL196658 BHH196658 BRD196658 CAZ196658 CKV196658 CUR196658 DEN196658 DOJ196658 DYF196658 EIB196658 ERX196658 FBT196658 FLP196658 FVL196658 GFH196658 GPD196658 GYZ196658 HIV196658 HSR196658 ICN196658 IMJ196658 IWF196658 JGB196658 JPX196658 JZT196658 KJP196658 KTL196658 LDH196658 LND196658 LWZ196658 MGV196658 MQR196658 NAN196658 NKJ196658 NUF196658 OEB196658 ONX196658 OXT196658 PHP196658 PRL196658 QBH196658 QLD196658 QUZ196658 REV196658 ROR196658 RYN196658 SIJ196658 SSF196658 TCB196658 TLX196658 TVT196658 UFP196658 UPL196658 UZH196658 VJD196658 VSZ196658 WCV196658 WMR196658 WWN196658 AE262194 KB262194 TX262194 ADT262194 ANP262194 AXL262194 BHH262194 BRD262194 CAZ262194 CKV262194 CUR262194 DEN262194 DOJ262194 DYF262194 EIB262194 ERX262194 FBT262194 FLP262194 FVL262194 GFH262194 GPD262194 GYZ262194 HIV262194 HSR262194 ICN262194 IMJ262194 IWF262194 JGB262194 JPX262194 JZT262194 KJP262194 KTL262194 LDH262194 LND262194 LWZ262194 MGV262194 MQR262194 NAN262194 NKJ262194 NUF262194 OEB262194 ONX262194 OXT262194 PHP262194 PRL262194 QBH262194 QLD262194 QUZ262194 REV262194 ROR262194 RYN262194 SIJ262194 SSF262194 TCB262194 TLX262194 TVT262194 UFP262194 UPL262194 UZH262194 VJD262194 VSZ262194 WCV262194 WMR262194 WWN262194 AE327730 KB327730 TX327730 ADT327730 ANP327730 AXL327730 BHH327730 BRD327730 CAZ327730 CKV327730 CUR327730 DEN327730 DOJ327730 DYF327730 EIB327730 ERX327730 FBT327730 FLP327730 FVL327730 GFH327730 GPD327730 GYZ327730 HIV327730 HSR327730 ICN327730 IMJ327730 IWF327730 JGB327730 JPX327730 JZT327730 KJP327730 KTL327730 LDH327730 LND327730 LWZ327730 MGV327730 MQR327730 NAN327730 NKJ327730 NUF327730 OEB327730 ONX327730 OXT327730 PHP327730 PRL327730 QBH327730 QLD327730 QUZ327730 REV327730 ROR327730 RYN327730 SIJ327730 SSF327730 TCB327730 TLX327730 TVT327730 UFP327730 UPL327730 UZH327730 VJD327730 VSZ327730 WCV327730 WMR327730 WWN327730 AE393266 KB393266 TX393266 ADT393266 ANP393266 AXL393266 BHH393266 BRD393266 CAZ393266 CKV393266 CUR393266 DEN393266 DOJ393266 DYF393266 EIB393266 ERX393266 FBT393266 FLP393266 FVL393266 GFH393266 GPD393266 GYZ393266 HIV393266 HSR393266 ICN393266 IMJ393266 IWF393266 JGB393266 JPX393266 JZT393266 KJP393266 KTL393266 LDH393266 LND393266 LWZ393266 MGV393266 MQR393266 NAN393266 NKJ393266 NUF393266 OEB393266 ONX393266 OXT393266 PHP393266 PRL393266 QBH393266 QLD393266 QUZ393266 REV393266 ROR393266 RYN393266 SIJ393266 SSF393266 TCB393266 TLX393266 TVT393266 UFP393266 UPL393266 UZH393266 VJD393266 VSZ393266 WCV393266 WMR393266 WWN393266 AE458802 KB458802 TX458802 ADT458802 ANP458802 AXL458802 BHH458802 BRD458802 CAZ458802 CKV458802 CUR458802 DEN458802 DOJ458802 DYF458802 EIB458802 ERX458802 FBT458802 FLP458802 FVL458802 GFH458802 GPD458802 GYZ458802 HIV458802 HSR458802 ICN458802 IMJ458802 IWF458802 JGB458802 JPX458802 JZT458802 KJP458802 KTL458802 LDH458802 LND458802 LWZ458802 MGV458802 MQR458802 NAN458802 NKJ458802 NUF458802 OEB458802 ONX458802 OXT458802 PHP458802 PRL458802 QBH458802 QLD458802 QUZ458802 REV458802 ROR458802 RYN458802 SIJ458802 SSF458802 TCB458802 TLX458802 TVT458802 UFP458802 UPL458802 UZH458802 VJD458802 VSZ458802 WCV458802 WMR458802 WWN458802 AE524338 KB524338 TX524338 ADT524338 ANP524338 AXL524338 BHH524338 BRD524338 CAZ524338 CKV524338 CUR524338 DEN524338 DOJ524338 DYF524338 EIB524338 ERX524338 FBT524338 FLP524338 FVL524338 GFH524338 GPD524338 GYZ524338 HIV524338 HSR524338 ICN524338 IMJ524338 IWF524338 JGB524338 JPX524338 JZT524338 KJP524338 KTL524338 LDH524338 LND524338 LWZ524338 MGV524338 MQR524338 NAN524338 NKJ524338 NUF524338 OEB524338 ONX524338 OXT524338 PHP524338 PRL524338 QBH524338 QLD524338 QUZ524338 REV524338 ROR524338 RYN524338 SIJ524338 SSF524338 TCB524338 TLX524338 TVT524338 UFP524338 UPL524338 UZH524338 VJD524338 VSZ524338 WCV524338 WMR524338 WWN524338 AE589874 KB589874 TX589874 ADT589874 ANP589874 AXL589874 BHH589874 BRD589874 CAZ589874 CKV589874 CUR589874 DEN589874 DOJ589874 DYF589874 EIB589874 ERX589874 FBT589874 FLP589874 FVL589874 GFH589874 GPD589874 GYZ589874 HIV589874 HSR589874 ICN589874 IMJ589874 IWF589874 JGB589874 JPX589874 JZT589874 KJP589874 KTL589874 LDH589874 LND589874 LWZ589874 MGV589874 MQR589874 NAN589874 NKJ589874 NUF589874 OEB589874 ONX589874 OXT589874 PHP589874 PRL589874 QBH589874 QLD589874 QUZ589874 REV589874 ROR589874 RYN589874 SIJ589874 SSF589874 TCB589874 TLX589874 TVT589874 UFP589874 UPL589874 UZH589874 VJD589874 VSZ589874 WCV589874 WMR589874 WWN589874 AE655410 KB655410 TX655410 ADT655410 ANP655410 AXL655410 BHH655410 BRD655410 CAZ655410 CKV655410 CUR655410 DEN655410 DOJ655410 DYF655410 EIB655410 ERX655410 FBT655410 FLP655410 FVL655410 GFH655410 GPD655410 GYZ655410 HIV655410 HSR655410 ICN655410 IMJ655410 IWF655410 JGB655410 JPX655410 JZT655410 KJP655410 KTL655410 LDH655410 LND655410 LWZ655410 MGV655410 MQR655410 NAN655410 NKJ655410 NUF655410 OEB655410 ONX655410 OXT655410 PHP655410 PRL655410 QBH655410 QLD655410 QUZ655410 REV655410 ROR655410 RYN655410 SIJ655410 SSF655410 TCB655410 TLX655410 TVT655410 UFP655410 UPL655410 UZH655410 VJD655410 VSZ655410 WCV655410 WMR655410 WWN655410 AE720946 KB720946 TX720946 ADT720946 ANP720946 AXL720946 BHH720946 BRD720946 CAZ720946 CKV720946 CUR720946 DEN720946 DOJ720946 DYF720946 EIB720946 ERX720946 FBT720946 FLP720946 FVL720946 GFH720946 GPD720946 GYZ720946 HIV720946 HSR720946 ICN720946 IMJ720946 IWF720946 JGB720946 JPX720946 JZT720946 KJP720946 KTL720946 LDH720946 LND720946 LWZ720946 MGV720946 MQR720946 NAN720946 NKJ720946 NUF720946 OEB720946 ONX720946 OXT720946 PHP720946 PRL720946 QBH720946 QLD720946 QUZ720946 REV720946 ROR720946 RYN720946 SIJ720946 SSF720946 TCB720946 TLX720946 TVT720946 UFP720946 UPL720946 UZH720946 VJD720946 VSZ720946 WCV720946 WMR720946 WWN720946 AE786482 KB786482 TX786482 ADT786482 ANP786482 AXL786482 BHH786482 BRD786482 CAZ786482 CKV786482 CUR786482 DEN786482 DOJ786482 DYF786482 EIB786482 ERX786482 FBT786482 FLP786482 FVL786482 GFH786482 GPD786482 GYZ786482 HIV786482 HSR786482 ICN786482 IMJ786482 IWF786482 JGB786482 JPX786482 JZT786482 KJP786482 KTL786482 LDH786482 LND786482 LWZ786482 MGV786482 MQR786482 NAN786482 NKJ786482 NUF786482 OEB786482 ONX786482 OXT786482 PHP786482 PRL786482 QBH786482 QLD786482 QUZ786482 REV786482 ROR786482 RYN786482 SIJ786482 SSF786482 TCB786482 TLX786482 TVT786482 UFP786482 UPL786482 UZH786482 VJD786482 VSZ786482 WCV786482 WMR786482 WWN786482 AE852018 KB852018 TX852018 ADT852018 ANP852018 AXL852018 BHH852018 BRD852018 CAZ852018 CKV852018 CUR852018 DEN852018 DOJ852018 DYF852018 EIB852018 ERX852018 FBT852018 FLP852018 FVL852018 GFH852018 GPD852018 GYZ852018 HIV852018 HSR852018 ICN852018 IMJ852018 IWF852018 JGB852018 JPX852018 JZT852018 KJP852018 KTL852018 LDH852018 LND852018 LWZ852018 MGV852018 MQR852018 NAN852018 NKJ852018 NUF852018 OEB852018 ONX852018 OXT852018 PHP852018 PRL852018 QBH852018 QLD852018 QUZ852018 REV852018 ROR852018 RYN852018 SIJ852018 SSF852018 TCB852018 TLX852018 TVT852018 UFP852018 UPL852018 UZH852018 VJD852018 VSZ852018 WCV852018 WMR852018 WWN852018 AE917554 KB917554 TX917554 ADT917554 ANP917554 AXL917554 BHH917554 BRD917554 CAZ917554 CKV917554 CUR917554 DEN917554 DOJ917554 DYF917554 EIB917554 ERX917554 FBT917554 FLP917554 FVL917554 GFH917554 GPD917554 GYZ917554 HIV917554 HSR917554 ICN917554 IMJ917554 IWF917554 JGB917554 JPX917554 JZT917554 KJP917554 KTL917554 LDH917554 LND917554 LWZ917554 MGV917554 MQR917554 NAN917554 NKJ917554 NUF917554 OEB917554 ONX917554 OXT917554 PHP917554 PRL917554 QBH917554 QLD917554 QUZ917554 REV917554 ROR917554 RYN917554 SIJ917554 SSF917554 TCB917554 TLX917554 TVT917554 UFP917554 UPL917554 UZH917554 VJD917554 VSZ917554 WCV917554 WMR917554 WWN917554 AE983090 KB983090 TX983090 ADT983090 ANP983090 AXL983090 BHH983090 BRD983090 CAZ983090 CKV983090 CUR983090 DEN983090 DOJ983090 DYF983090 EIB983090 ERX983090 FBT983090 FLP983090 FVL983090 GFH983090 GPD983090 GYZ983090 HIV983090 HSR983090 ICN983090 IMJ983090 IWF983090 JGB983090 JPX983090 JZT983090 KJP983090 KTL983090 LDH983090 LND983090 LWZ983090 MGV983090 MQR983090 NAN983090 NKJ983090 NUF983090 OEB983090 ONX983090 OXT983090 PHP983090 PRL983090 QBH983090 QLD983090 QUZ983090 REV983090 ROR983090 RYN983090 SIJ983090 SSF983090 TCB983090 TLX983090 TVT983090 UFP983090 UPL983090 UZH983090 VJD983090 VSZ983090 WCV983090 WMR983090 WWN983090 MHB983094 JV23 TR23 ADN23 ANJ23 AXF23 BHB23 BQX23 CAT23 CKP23 CUL23 DEH23 DOD23 DXZ23 EHV23 ERR23 FBN23 FLJ23 FVF23 GFB23 GOX23 GYT23 HIP23 HSL23 ICH23 IMD23 IVZ23 JFV23 JPR23 JZN23 KJJ23 KTF23 LDB23 LMX23 LWT23 MGP23 MQL23 NAH23 NKD23 NTZ23 ODV23 ONR23 OXN23 PHJ23 PRF23 QBB23 QKX23 QUT23 REP23 ROL23 RYH23 SID23 SRZ23 TBV23 TLR23 TVN23 UFJ23 UPF23 UZB23 VIX23 VST23 WCP23 WML23 WWH23 Y65586 JV65586 TR65586 ADN65586 ANJ65586 AXF65586 BHB65586 BQX65586 CAT65586 CKP65586 CUL65586 DEH65586 DOD65586 DXZ65586 EHV65586 ERR65586 FBN65586 FLJ65586 FVF65586 GFB65586 GOX65586 GYT65586 HIP65586 HSL65586 ICH65586 IMD65586 IVZ65586 JFV65586 JPR65586 JZN65586 KJJ65586 KTF65586 LDB65586 LMX65586 LWT65586 MGP65586 MQL65586 NAH65586 NKD65586 NTZ65586 ODV65586 ONR65586 OXN65586 PHJ65586 PRF65586 QBB65586 QKX65586 QUT65586 REP65586 ROL65586 RYH65586 SID65586 SRZ65586 TBV65586 TLR65586 TVN65586 UFJ65586 UPF65586 UZB65586 VIX65586 VST65586 WCP65586 WML65586 WWH65586 Y131122 JV131122 TR131122 ADN131122 ANJ131122 AXF131122 BHB131122 BQX131122 CAT131122 CKP131122 CUL131122 DEH131122 DOD131122 DXZ131122 EHV131122 ERR131122 FBN131122 FLJ131122 FVF131122 GFB131122 GOX131122 GYT131122 HIP131122 HSL131122 ICH131122 IMD131122 IVZ131122 JFV131122 JPR131122 JZN131122 KJJ131122 KTF131122 LDB131122 LMX131122 LWT131122 MGP131122 MQL131122 NAH131122 NKD131122 NTZ131122 ODV131122 ONR131122 OXN131122 PHJ131122 PRF131122 QBB131122 QKX131122 QUT131122 REP131122 ROL131122 RYH131122 SID131122 SRZ131122 TBV131122 TLR131122 TVN131122 UFJ131122 UPF131122 UZB131122 VIX131122 VST131122 WCP131122 WML131122 WWH131122 Y196658 JV196658 TR196658 ADN196658 ANJ196658 AXF196658 BHB196658 BQX196658 CAT196658 CKP196658 CUL196658 DEH196658 DOD196658 DXZ196658 EHV196658 ERR196658 FBN196658 FLJ196658 FVF196658 GFB196658 GOX196658 GYT196658 HIP196658 HSL196658 ICH196658 IMD196658 IVZ196658 JFV196658 JPR196658 JZN196658 KJJ196658 KTF196658 LDB196658 LMX196658 LWT196658 MGP196658 MQL196658 NAH196658 NKD196658 NTZ196658 ODV196658 ONR196658 OXN196658 PHJ196658 PRF196658 QBB196658 QKX196658 QUT196658 REP196658 ROL196658 RYH196658 SID196658 SRZ196658 TBV196658 TLR196658 TVN196658 UFJ196658 UPF196658 UZB196658 VIX196658 VST196658 WCP196658 WML196658 WWH196658 Y262194 JV262194 TR262194 ADN262194 ANJ262194 AXF262194 BHB262194 BQX262194 CAT262194 CKP262194 CUL262194 DEH262194 DOD262194 DXZ262194 EHV262194 ERR262194 FBN262194 FLJ262194 FVF262194 GFB262194 GOX262194 GYT262194 HIP262194 HSL262194 ICH262194 IMD262194 IVZ262194 JFV262194 JPR262194 JZN262194 KJJ262194 KTF262194 LDB262194 LMX262194 LWT262194 MGP262194 MQL262194 NAH262194 NKD262194 NTZ262194 ODV262194 ONR262194 OXN262194 PHJ262194 PRF262194 QBB262194 QKX262194 QUT262194 REP262194 ROL262194 RYH262194 SID262194 SRZ262194 TBV262194 TLR262194 TVN262194 UFJ262194 UPF262194 UZB262194 VIX262194 VST262194 WCP262194 WML262194 WWH262194 Y327730 JV327730 TR327730 ADN327730 ANJ327730 AXF327730 BHB327730 BQX327730 CAT327730 CKP327730 CUL327730 DEH327730 DOD327730 DXZ327730 EHV327730 ERR327730 FBN327730 FLJ327730 FVF327730 GFB327730 GOX327730 GYT327730 HIP327730 HSL327730 ICH327730 IMD327730 IVZ327730 JFV327730 JPR327730 JZN327730 KJJ327730 KTF327730 LDB327730 LMX327730 LWT327730 MGP327730 MQL327730 NAH327730 NKD327730 NTZ327730 ODV327730 ONR327730 OXN327730 PHJ327730 PRF327730 QBB327730 QKX327730 QUT327730 REP327730 ROL327730 RYH327730 SID327730 SRZ327730 TBV327730 TLR327730 TVN327730 UFJ327730 UPF327730 UZB327730 VIX327730 VST327730 WCP327730 WML327730 WWH327730 Y393266 JV393266 TR393266 ADN393266 ANJ393266 AXF393266 BHB393266 BQX393266 CAT393266 CKP393266 CUL393266 DEH393266 DOD393266 DXZ393266 EHV393266 ERR393266 FBN393266 FLJ393266 FVF393266 GFB393266 GOX393266 GYT393266 HIP393266 HSL393266 ICH393266 IMD393266 IVZ393266 JFV393266 JPR393266 JZN393266 KJJ393266 KTF393266 LDB393266 LMX393266 LWT393266 MGP393266 MQL393266 NAH393266 NKD393266 NTZ393266 ODV393266 ONR393266 OXN393266 PHJ393266 PRF393266 QBB393266 QKX393266 QUT393266 REP393266 ROL393266 RYH393266 SID393266 SRZ393266 TBV393266 TLR393266 TVN393266 UFJ393266 UPF393266 UZB393266 VIX393266 VST393266 WCP393266 WML393266 WWH393266 Y458802 JV458802 TR458802 ADN458802 ANJ458802 AXF458802 BHB458802 BQX458802 CAT458802 CKP458802 CUL458802 DEH458802 DOD458802 DXZ458802 EHV458802 ERR458802 FBN458802 FLJ458802 FVF458802 GFB458802 GOX458802 GYT458802 HIP458802 HSL458802 ICH458802 IMD458802 IVZ458802 JFV458802 JPR458802 JZN458802 KJJ458802 KTF458802 LDB458802 LMX458802 LWT458802 MGP458802 MQL458802 NAH458802 NKD458802 NTZ458802 ODV458802 ONR458802 OXN458802 PHJ458802 PRF458802 QBB458802 QKX458802 QUT458802 REP458802 ROL458802 RYH458802 SID458802 SRZ458802 TBV458802 TLR458802 TVN458802 UFJ458802 UPF458802 UZB458802 VIX458802 VST458802 WCP458802 WML458802 WWH458802 Y524338 JV524338 TR524338 ADN524338 ANJ524338 AXF524338 BHB524338 BQX524338 CAT524338 CKP524338 CUL524338 DEH524338 DOD524338 DXZ524338 EHV524338 ERR524338 FBN524338 FLJ524338 FVF524338 GFB524338 GOX524338 GYT524338 HIP524338 HSL524338 ICH524338 IMD524338 IVZ524338 JFV524338 JPR524338 JZN524338 KJJ524338 KTF524338 LDB524338 LMX524338 LWT524338 MGP524338 MQL524338 NAH524338 NKD524338 NTZ524338 ODV524338 ONR524338 OXN524338 PHJ524338 PRF524338 QBB524338 QKX524338 QUT524338 REP524338 ROL524338 RYH524338 SID524338 SRZ524338 TBV524338 TLR524338 TVN524338 UFJ524338 UPF524338 UZB524338 VIX524338 VST524338 WCP524338 WML524338 WWH524338 Y589874 JV589874 TR589874 ADN589874 ANJ589874 AXF589874 BHB589874 BQX589874 CAT589874 CKP589874 CUL589874 DEH589874 DOD589874 DXZ589874 EHV589874 ERR589874 FBN589874 FLJ589874 FVF589874 GFB589874 GOX589874 GYT589874 HIP589874 HSL589874 ICH589874 IMD589874 IVZ589874 JFV589874 JPR589874 JZN589874 KJJ589874 KTF589874 LDB589874 LMX589874 LWT589874 MGP589874 MQL589874 NAH589874 NKD589874 NTZ589874 ODV589874 ONR589874 OXN589874 PHJ589874 PRF589874 QBB589874 QKX589874 QUT589874 REP589874 ROL589874 RYH589874 SID589874 SRZ589874 TBV589874 TLR589874 TVN589874 UFJ589874 UPF589874 UZB589874 VIX589874 VST589874 WCP589874 WML589874 WWH589874 Y655410 JV655410 TR655410 ADN655410 ANJ655410 AXF655410 BHB655410 BQX655410 CAT655410 CKP655410 CUL655410 DEH655410 DOD655410 DXZ655410 EHV655410 ERR655410 FBN655410 FLJ655410 FVF655410 GFB655410 GOX655410 GYT655410 HIP655410 HSL655410 ICH655410 IMD655410 IVZ655410 JFV655410 JPR655410 JZN655410 KJJ655410 KTF655410 LDB655410 LMX655410 LWT655410 MGP655410 MQL655410 NAH655410 NKD655410 NTZ655410 ODV655410 ONR655410 OXN655410 PHJ655410 PRF655410 QBB655410 QKX655410 QUT655410 REP655410 ROL655410 RYH655410 SID655410 SRZ655410 TBV655410 TLR655410 TVN655410 UFJ655410 UPF655410 UZB655410 VIX655410 VST655410 WCP655410 WML655410 WWH655410 Y720946 JV720946 TR720946 ADN720946 ANJ720946 AXF720946 BHB720946 BQX720946 CAT720946 CKP720946 CUL720946 DEH720946 DOD720946 DXZ720946 EHV720946 ERR720946 FBN720946 FLJ720946 FVF720946 GFB720946 GOX720946 GYT720946 HIP720946 HSL720946 ICH720946 IMD720946 IVZ720946 JFV720946 JPR720946 JZN720946 KJJ720946 KTF720946 LDB720946 LMX720946 LWT720946 MGP720946 MQL720946 NAH720946 NKD720946 NTZ720946 ODV720946 ONR720946 OXN720946 PHJ720946 PRF720946 QBB720946 QKX720946 QUT720946 REP720946 ROL720946 RYH720946 SID720946 SRZ720946 TBV720946 TLR720946 TVN720946 UFJ720946 UPF720946 UZB720946 VIX720946 VST720946 WCP720946 WML720946 WWH720946 Y786482 JV786482 TR786482 ADN786482 ANJ786482 AXF786482 BHB786482 BQX786482 CAT786482 CKP786482 CUL786482 DEH786482 DOD786482 DXZ786482 EHV786482 ERR786482 FBN786482 FLJ786482 FVF786482 GFB786482 GOX786482 GYT786482 HIP786482 HSL786482 ICH786482 IMD786482 IVZ786482 JFV786482 JPR786482 JZN786482 KJJ786482 KTF786482 LDB786482 LMX786482 LWT786482 MGP786482 MQL786482 NAH786482 NKD786482 NTZ786482 ODV786482 ONR786482 OXN786482 PHJ786482 PRF786482 QBB786482 QKX786482 QUT786482 REP786482 ROL786482 RYH786482 SID786482 SRZ786482 TBV786482 TLR786482 TVN786482 UFJ786482 UPF786482 UZB786482 VIX786482 VST786482 WCP786482 WML786482 WWH786482 Y852018 JV852018 TR852018 ADN852018 ANJ852018 AXF852018 BHB852018 BQX852018 CAT852018 CKP852018 CUL852018 DEH852018 DOD852018 DXZ852018 EHV852018 ERR852018 FBN852018 FLJ852018 FVF852018 GFB852018 GOX852018 GYT852018 HIP852018 HSL852018 ICH852018 IMD852018 IVZ852018 JFV852018 JPR852018 JZN852018 KJJ852018 KTF852018 LDB852018 LMX852018 LWT852018 MGP852018 MQL852018 NAH852018 NKD852018 NTZ852018 ODV852018 ONR852018 OXN852018 PHJ852018 PRF852018 QBB852018 QKX852018 QUT852018 REP852018 ROL852018 RYH852018 SID852018 SRZ852018 TBV852018 TLR852018 TVN852018 UFJ852018 UPF852018 UZB852018 VIX852018 VST852018 WCP852018 WML852018 WWH852018 Y917554 JV917554 TR917554 ADN917554 ANJ917554 AXF917554 BHB917554 BQX917554 CAT917554 CKP917554 CUL917554 DEH917554 DOD917554 DXZ917554 EHV917554 ERR917554 FBN917554 FLJ917554 FVF917554 GFB917554 GOX917554 GYT917554 HIP917554 HSL917554 ICH917554 IMD917554 IVZ917554 JFV917554 JPR917554 JZN917554 KJJ917554 KTF917554 LDB917554 LMX917554 LWT917554 MGP917554 MQL917554 NAH917554 NKD917554 NTZ917554 ODV917554 ONR917554 OXN917554 PHJ917554 PRF917554 QBB917554 QKX917554 QUT917554 REP917554 ROL917554 RYH917554 SID917554 SRZ917554 TBV917554 TLR917554 TVN917554 UFJ917554 UPF917554 UZB917554 VIX917554 VST917554 WCP917554 WML917554 WWH917554 Y983090 JV983090 TR983090 ADN983090 ANJ983090 AXF983090 BHB983090 BQX983090 CAT983090 CKP983090 CUL983090 DEH983090 DOD983090 DXZ983090 EHV983090 ERR983090 FBN983090 FLJ983090 FVF983090 GFB983090 GOX983090 GYT983090 HIP983090 HSL983090 ICH983090 IMD983090 IVZ983090 JFV983090 JPR983090 JZN983090 KJJ983090 KTF983090 LDB983090 LMX983090 LWT983090 MGP983090 MQL983090 NAH983090 NKD983090 NTZ983090 ODV983090 ONR983090 OXN983090 PHJ983090 PRF983090 QBB983090 QKX983090 QUT983090 REP983090 ROL983090 RYH983090 SID983090 SRZ983090 TBV983090 TLR983090 TVN983090 UFJ983090 UPF983090 UZB983090 VIX983090 VST983090 WCP983090 WML983090 WWH983090 MQX983094 JG23 TC23 ACY23 AMU23 AWQ23 BGM23 BQI23 CAE23 CKA23 CTW23 DDS23 DNO23 DXK23 EHG23 ERC23 FAY23 FKU23 FUQ23 GEM23 GOI23 GYE23 HIA23 HRW23 IBS23 ILO23 IVK23 JFG23 JPC23 JYY23 KIU23 KSQ23 LCM23 LMI23 LWE23 MGA23 MPW23 MZS23 NJO23 NTK23 ODG23 ONC23 OWY23 PGU23 PQQ23 QAM23 QKI23 QUE23 REA23 RNW23 RXS23 SHO23 SRK23 TBG23 TLC23 TUY23 UEU23 UOQ23 UYM23 VII23 VSE23 WCA23 WLW23 WVS23 E65586:F65586 JG65586 TC65586 ACY65586 AMU65586 AWQ65586 BGM65586 BQI65586 CAE65586 CKA65586 CTW65586 DDS65586 DNO65586 DXK65586 EHG65586 ERC65586 FAY65586 FKU65586 FUQ65586 GEM65586 GOI65586 GYE65586 HIA65586 HRW65586 IBS65586 ILO65586 IVK65586 JFG65586 JPC65586 JYY65586 KIU65586 KSQ65586 LCM65586 LMI65586 LWE65586 MGA65586 MPW65586 MZS65586 NJO65586 NTK65586 ODG65586 ONC65586 OWY65586 PGU65586 PQQ65586 QAM65586 QKI65586 QUE65586 REA65586 RNW65586 RXS65586 SHO65586 SRK65586 TBG65586 TLC65586 TUY65586 UEU65586 UOQ65586 UYM65586 VII65586 VSE65586 WCA65586 WLW65586 WVS65586 E131122:F131122 JG131122 TC131122 ACY131122 AMU131122 AWQ131122 BGM131122 BQI131122 CAE131122 CKA131122 CTW131122 DDS131122 DNO131122 DXK131122 EHG131122 ERC131122 FAY131122 FKU131122 FUQ131122 GEM131122 GOI131122 GYE131122 HIA131122 HRW131122 IBS131122 ILO131122 IVK131122 JFG131122 JPC131122 JYY131122 KIU131122 KSQ131122 LCM131122 LMI131122 LWE131122 MGA131122 MPW131122 MZS131122 NJO131122 NTK131122 ODG131122 ONC131122 OWY131122 PGU131122 PQQ131122 QAM131122 QKI131122 QUE131122 REA131122 RNW131122 RXS131122 SHO131122 SRK131122 TBG131122 TLC131122 TUY131122 UEU131122 UOQ131122 UYM131122 VII131122 VSE131122 WCA131122 WLW131122 WVS131122 E196658:F196658 JG196658 TC196658 ACY196658 AMU196658 AWQ196658 BGM196658 BQI196658 CAE196658 CKA196658 CTW196658 DDS196658 DNO196658 DXK196658 EHG196658 ERC196658 FAY196658 FKU196658 FUQ196658 GEM196658 GOI196658 GYE196658 HIA196658 HRW196658 IBS196658 ILO196658 IVK196658 JFG196658 JPC196658 JYY196658 KIU196658 KSQ196658 LCM196658 LMI196658 LWE196658 MGA196658 MPW196658 MZS196658 NJO196658 NTK196658 ODG196658 ONC196658 OWY196658 PGU196658 PQQ196658 QAM196658 QKI196658 QUE196658 REA196658 RNW196658 RXS196658 SHO196658 SRK196658 TBG196658 TLC196658 TUY196658 UEU196658 UOQ196658 UYM196658 VII196658 VSE196658 WCA196658 WLW196658 WVS196658 E262194:F262194 JG262194 TC262194 ACY262194 AMU262194 AWQ262194 BGM262194 BQI262194 CAE262194 CKA262194 CTW262194 DDS262194 DNO262194 DXK262194 EHG262194 ERC262194 FAY262194 FKU262194 FUQ262194 GEM262194 GOI262194 GYE262194 HIA262194 HRW262194 IBS262194 ILO262194 IVK262194 JFG262194 JPC262194 JYY262194 KIU262194 KSQ262194 LCM262194 LMI262194 LWE262194 MGA262194 MPW262194 MZS262194 NJO262194 NTK262194 ODG262194 ONC262194 OWY262194 PGU262194 PQQ262194 QAM262194 QKI262194 QUE262194 REA262194 RNW262194 RXS262194 SHO262194 SRK262194 TBG262194 TLC262194 TUY262194 UEU262194 UOQ262194 UYM262194 VII262194 VSE262194 WCA262194 WLW262194 WVS262194 E327730:F327730 JG327730 TC327730 ACY327730 AMU327730 AWQ327730 BGM327730 BQI327730 CAE327730 CKA327730 CTW327730 DDS327730 DNO327730 DXK327730 EHG327730 ERC327730 FAY327730 FKU327730 FUQ327730 GEM327730 GOI327730 GYE327730 HIA327730 HRW327730 IBS327730 ILO327730 IVK327730 JFG327730 JPC327730 JYY327730 KIU327730 KSQ327730 LCM327730 LMI327730 LWE327730 MGA327730 MPW327730 MZS327730 NJO327730 NTK327730 ODG327730 ONC327730 OWY327730 PGU327730 PQQ327730 QAM327730 QKI327730 QUE327730 REA327730 RNW327730 RXS327730 SHO327730 SRK327730 TBG327730 TLC327730 TUY327730 UEU327730 UOQ327730 UYM327730 VII327730 VSE327730 WCA327730 WLW327730 WVS327730 E393266:F393266 JG393266 TC393266 ACY393266 AMU393266 AWQ393266 BGM393266 BQI393266 CAE393266 CKA393266 CTW393266 DDS393266 DNO393266 DXK393266 EHG393266 ERC393266 FAY393266 FKU393266 FUQ393266 GEM393266 GOI393266 GYE393266 HIA393266 HRW393266 IBS393266 ILO393266 IVK393266 JFG393266 JPC393266 JYY393266 KIU393266 KSQ393266 LCM393266 LMI393266 LWE393266 MGA393266 MPW393266 MZS393266 NJO393266 NTK393266 ODG393266 ONC393266 OWY393266 PGU393266 PQQ393266 QAM393266 QKI393266 QUE393266 REA393266 RNW393266 RXS393266 SHO393266 SRK393266 TBG393266 TLC393266 TUY393266 UEU393266 UOQ393266 UYM393266 VII393266 VSE393266 WCA393266 WLW393266 WVS393266 E458802:F458802 JG458802 TC458802 ACY458802 AMU458802 AWQ458802 BGM458802 BQI458802 CAE458802 CKA458802 CTW458802 DDS458802 DNO458802 DXK458802 EHG458802 ERC458802 FAY458802 FKU458802 FUQ458802 GEM458802 GOI458802 GYE458802 HIA458802 HRW458802 IBS458802 ILO458802 IVK458802 JFG458802 JPC458802 JYY458802 KIU458802 KSQ458802 LCM458802 LMI458802 LWE458802 MGA458802 MPW458802 MZS458802 NJO458802 NTK458802 ODG458802 ONC458802 OWY458802 PGU458802 PQQ458802 QAM458802 QKI458802 QUE458802 REA458802 RNW458802 RXS458802 SHO458802 SRK458802 TBG458802 TLC458802 TUY458802 UEU458802 UOQ458802 UYM458802 VII458802 VSE458802 WCA458802 WLW458802 WVS458802 E524338:F524338 JG524338 TC524338 ACY524338 AMU524338 AWQ524338 BGM524338 BQI524338 CAE524338 CKA524338 CTW524338 DDS524338 DNO524338 DXK524338 EHG524338 ERC524338 FAY524338 FKU524338 FUQ524338 GEM524338 GOI524338 GYE524338 HIA524338 HRW524338 IBS524338 ILO524338 IVK524338 JFG524338 JPC524338 JYY524338 KIU524338 KSQ524338 LCM524338 LMI524338 LWE524338 MGA524338 MPW524338 MZS524338 NJO524338 NTK524338 ODG524338 ONC524338 OWY524338 PGU524338 PQQ524338 QAM524338 QKI524338 QUE524338 REA524338 RNW524338 RXS524338 SHO524338 SRK524338 TBG524338 TLC524338 TUY524338 UEU524338 UOQ524338 UYM524338 VII524338 VSE524338 WCA524338 WLW524338 WVS524338 E589874:F589874 JG589874 TC589874 ACY589874 AMU589874 AWQ589874 BGM589874 BQI589874 CAE589874 CKA589874 CTW589874 DDS589874 DNO589874 DXK589874 EHG589874 ERC589874 FAY589874 FKU589874 FUQ589874 GEM589874 GOI589874 GYE589874 HIA589874 HRW589874 IBS589874 ILO589874 IVK589874 JFG589874 JPC589874 JYY589874 KIU589874 KSQ589874 LCM589874 LMI589874 LWE589874 MGA589874 MPW589874 MZS589874 NJO589874 NTK589874 ODG589874 ONC589874 OWY589874 PGU589874 PQQ589874 QAM589874 QKI589874 QUE589874 REA589874 RNW589874 RXS589874 SHO589874 SRK589874 TBG589874 TLC589874 TUY589874 UEU589874 UOQ589874 UYM589874 VII589874 VSE589874 WCA589874 WLW589874 WVS589874 E655410:F655410 JG655410 TC655410 ACY655410 AMU655410 AWQ655410 BGM655410 BQI655410 CAE655410 CKA655410 CTW655410 DDS655410 DNO655410 DXK655410 EHG655410 ERC655410 FAY655410 FKU655410 FUQ655410 GEM655410 GOI655410 GYE655410 HIA655410 HRW655410 IBS655410 ILO655410 IVK655410 JFG655410 JPC655410 JYY655410 KIU655410 KSQ655410 LCM655410 LMI655410 LWE655410 MGA655410 MPW655410 MZS655410 NJO655410 NTK655410 ODG655410 ONC655410 OWY655410 PGU655410 PQQ655410 QAM655410 QKI655410 QUE655410 REA655410 RNW655410 RXS655410 SHO655410 SRK655410 TBG655410 TLC655410 TUY655410 UEU655410 UOQ655410 UYM655410 VII655410 VSE655410 WCA655410 WLW655410 WVS655410 E720946:F720946 JG720946 TC720946 ACY720946 AMU720946 AWQ720946 BGM720946 BQI720946 CAE720946 CKA720946 CTW720946 DDS720946 DNO720946 DXK720946 EHG720946 ERC720946 FAY720946 FKU720946 FUQ720946 GEM720946 GOI720946 GYE720946 HIA720946 HRW720946 IBS720946 ILO720946 IVK720946 JFG720946 JPC720946 JYY720946 KIU720946 KSQ720946 LCM720946 LMI720946 LWE720946 MGA720946 MPW720946 MZS720946 NJO720946 NTK720946 ODG720946 ONC720946 OWY720946 PGU720946 PQQ720946 QAM720946 QKI720946 QUE720946 REA720946 RNW720946 RXS720946 SHO720946 SRK720946 TBG720946 TLC720946 TUY720946 UEU720946 UOQ720946 UYM720946 VII720946 VSE720946 WCA720946 WLW720946 WVS720946 E786482:F786482 JG786482 TC786482 ACY786482 AMU786482 AWQ786482 BGM786482 BQI786482 CAE786482 CKA786482 CTW786482 DDS786482 DNO786482 DXK786482 EHG786482 ERC786482 FAY786482 FKU786482 FUQ786482 GEM786482 GOI786482 GYE786482 HIA786482 HRW786482 IBS786482 ILO786482 IVK786482 JFG786482 JPC786482 JYY786482 KIU786482 KSQ786482 LCM786482 LMI786482 LWE786482 MGA786482 MPW786482 MZS786482 NJO786482 NTK786482 ODG786482 ONC786482 OWY786482 PGU786482 PQQ786482 QAM786482 QKI786482 QUE786482 REA786482 RNW786482 RXS786482 SHO786482 SRK786482 TBG786482 TLC786482 TUY786482 UEU786482 UOQ786482 UYM786482 VII786482 VSE786482 WCA786482 WLW786482 WVS786482 E852018:F852018 JG852018 TC852018 ACY852018 AMU852018 AWQ852018 BGM852018 BQI852018 CAE852018 CKA852018 CTW852018 DDS852018 DNO852018 DXK852018 EHG852018 ERC852018 FAY852018 FKU852018 FUQ852018 GEM852018 GOI852018 GYE852018 HIA852018 HRW852018 IBS852018 ILO852018 IVK852018 JFG852018 JPC852018 JYY852018 KIU852018 KSQ852018 LCM852018 LMI852018 LWE852018 MGA852018 MPW852018 MZS852018 NJO852018 NTK852018 ODG852018 ONC852018 OWY852018 PGU852018 PQQ852018 QAM852018 QKI852018 QUE852018 REA852018 RNW852018 RXS852018 SHO852018 SRK852018 TBG852018 TLC852018 TUY852018 UEU852018 UOQ852018 UYM852018 VII852018 VSE852018 WCA852018 WLW852018 WVS852018 E917554:F917554 JG917554 TC917554 ACY917554 AMU917554 AWQ917554 BGM917554 BQI917554 CAE917554 CKA917554 CTW917554 DDS917554 DNO917554 DXK917554 EHG917554 ERC917554 FAY917554 FKU917554 FUQ917554 GEM917554 GOI917554 GYE917554 HIA917554 HRW917554 IBS917554 ILO917554 IVK917554 JFG917554 JPC917554 JYY917554 KIU917554 KSQ917554 LCM917554 LMI917554 LWE917554 MGA917554 MPW917554 MZS917554 NJO917554 NTK917554 ODG917554 ONC917554 OWY917554 PGU917554 PQQ917554 QAM917554 QKI917554 QUE917554 REA917554 RNW917554 RXS917554 SHO917554 SRK917554 TBG917554 TLC917554 TUY917554 UEU917554 UOQ917554 UYM917554 VII917554 VSE917554 WCA917554 WLW917554 WVS917554 E983090:F983090 JG983090 TC983090 ACY983090 AMU983090 AWQ983090 BGM983090 BQI983090 CAE983090 CKA983090 CTW983090 DDS983090 DNO983090 DXK983090 EHG983090 ERC983090 FAY983090 FKU983090 FUQ983090 GEM983090 GOI983090 GYE983090 HIA983090 HRW983090 IBS983090 ILO983090 IVK983090 JFG983090 JPC983090 JYY983090 KIU983090 KSQ983090 LCM983090 LMI983090 LWE983090 MGA983090 MPW983090 MZS983090 NJO983090 NTK983090 ODG983090 ONC983090 OWY983090 PGU983090 PQQ983090 QAM983090 QKI983090 QUE983090 REA983090 RNW983090 RXS983090 SHO983090 SRK983090 TBG983090 TLC983090 TUY983090 UEU983090 UOQ983090 UYM983090 VII983090 VSE983090 WCA983090 WLW983090 WVS983090 NAT983094 JS23 TO23 ADK23 ANG23 AXC23 BGY23 BQU23 CAQ23 CKM23 CUI23 DEE23 DOA23 DXW23 EHS23 ERO23 FBK23 FLG23 FVC23 GEY23 GOU23 GYQ23 HIM23 HSI23 ICE23 IMA23 IVW23 JFS23 JPO23 JZK23 KJG23 KTC23 LCY23 LMU23 LWQ23 MGM23 MQI23 NAE23 NKA23 NTW23 ODS23 ONO23 OXK23 PHG23 PRC23 QAY23 QKU23 QUQ23 REM23 ROI23 RYE23 SIA23 SRW23 TBS23 TLO23 TVK23 UFG23 UPC23 UYY23 VIU23 VSQ23 WCM23 WMI23 WWE23 V65586 JS65586 TO65586 ADK65586 ANG65586 AXC65586 BGY65586 BQU65586 CAQ65586 CKM65586 CUI65586 DEE65586 DOA65586 DXW65586 EHS65586 ERO65586 FBK65586 FLG65586 FVC65586 GEY65586 GOU65586 GYQ65586 HIM65586 HSI65586 ICE65586 IMA65586 IVW65586 JFS65586 JPO65586 JZK65586 KJG65586 KTC65586 LCY65586 LMU65586 LWQ65586 MGM65586 MQI65586 NAE65586 NKA65586 NTW65586 ODS65586 ONO65586 OXK65586 PHG65586 PRC65586 QAY65586 QKU65586 QUQ65586 REM65586 ROI65586 RYE65586 SIA65586 SRW65586 TBS65586 TLO65586 TVK65586 UFG65586 UPC65586 UYY65586 VIU65586 VSQ65586 WCM65586 WMI65586 WWE65586 V131122 JS131122 TO131122 ADK131122 ANG131122 AXC131122 BGY131122 BQU131122 CAQ131122 CKM131122 CUI131122 DEE131122 DOA131122 DXW131122 EHS131122 ERO131122 FBK131122 FLG131122 FVC131122 GEY131122 GOU131122 GYQ131122 HIM131122 HSI131122 ICE131122 IMA131122 IVW131122 JFS131122 JPO131122 JZK131122 KJG131122 KTC131122 LCY131122 LMU131122 LWQ131122 MGM131122 MQI131122 NAE131122 NKA131122 NTW131122 ODS131122 ONO131122 OXK131122 PHG131122 PRC131122 QAY131122 QKU131122 QUQ131122 REM131122 ROI131122 RYE131122 SIA131122 SRW131122 TBS131122 TLO131122 TVK131122 UFG131122 UPC131122 UYY131122 VIU131122 VSQ131122 WCM131122 WMI131122 WWE131122 V196658 JS196658 TO196658 ADK196658 ANG196658 AXC196658 BGY196658 BQU196658 CAQ196658 CKM196658 CUI196658 DEE196658 DOA196658 DXW196658 EHS196658 ERO196658 FBK196658 FLG196658 FVC196658 GEY196658 GOU196658 GYQ196658 HIM196658 HSI196658 ICE196658 IMA196658 IVW196658 JFS196658 JPO196658 JZK196658 KJG196658 KTC196658 LCY196658 LMU196658 LWQ196658 MGM196658 MQI196658 NAE196658 NKA196658 NTW196658 ODS196658 ONO196658 OXK196658 PHG196658 PRC196658 QAY196658 QKU196658 QUQ196658 REM196658 ROI196658 RYE196658 SIA196658 SRW196658 TBS196658 TLO196658 TVK196658 UFG196658 UPC196658 UYY196658 VIU196658 VSQ196658 WCM196658 WMI196658 WWE196658 V262194 JS262194 TO262194 ADK262194 ANG262194 AXC262194 BGY262194 BQU262194 CAQ262194 CKM262194 CUI262194 DEE262194 DOA262194 DXW262194 EHS262194 ERO262194 FBK262194 FLG262194 FVC262194 GEY262194 GOU262194 GYQ262194 HIM262194 HSI262194 ICE262194 IMA262194 IVW262194 JFS262194 JPO262194 JZK262194 KJG262194 KTC262194 LCY262194 LMU262194 LWQ262194 MGM262194 MQI262194 NAE262194 NKA262194 NTW262194 ODS262194 ONO262194 OXK262194 PHG262194 PRC262194 QAY262194 QKU262194 QUQ262194 REM262194 ROI262194 RYE262194 SIA262194 SRW262194 TBS262194 TLO262194 TVK262194 UFG262194 UPC262194 UYY262194 VIU262194 VSQ262194 WCM262194 WMI262194 WWE262194 V327730 JS327730 TO327730 ADK327730 ANG327730 AXC327730 BGY327730 BQU327730 CAQ327730 CKM327730 CUI327730 DEE327730 DOA327730 DXW327730 EHS327730 ERO327730 FBK327730 FLG327730 FVC327730 GEY327730 GOU327730 GYQ327730 HIM327730 HSI327730 ICE327730 IMA327730 IVW327730 JFS327730 JPO327730 JZK327730 KJG327730 KTC327730 LCY327730 LMU327730 LWQ327730 MGM327730 MQI327730 NAE327730 NKA327730 NTW327730 ODS327730 ONO327730 OXK327730 PHG327730 PRC327730 QAY327730 QKU327730 QUQ327730 REM327730 ROI327730 RYE327730 SIA327730 SRW327730 TBS327730 TLO327730 TVK327730 UFG327730 UPC327730 UYY327730 VIU327730 VSQ327730 WCM327730 WMI327730 WWE327730 V393266 JS393266 TO393266 ADK393266 ANG393266 AXC393266 BGY393266 BQU393266 CAQ393266 CKM393266 CUI393266 DEE393266 DOA393266 DXW393266 EHS393266 ERO393266 FBK393266 FLG393266 FVC393266 GEY393266 GOU393266 GYQ393266 HIM393266 HSI393266 ICE393266 IMA393266 IVW393266 JFS393266 JPO393266 JZK393266 KJG393266 KTC393266 LCY393266 LMU393266 LWQ393266 MGM393266 MQI393266 NAE393266 NKA393266 NTW393266 ODS393266 ONO393266 OXK393266 PHG393266 PRC393266 QAY393266 QKU393266 QUQ393266 REM393266 ROI393266 RYE393266 SIA393266 SRW393266 TBS393266 TLO393266 TVK393266 UFG393266 UPC393266 UYY393266 VIU393266 VSQ393266 WCM393266 WMI393266 WWE393266 V458802 JS458802 TO458802 ADK458802 ANG458802 AXC458802 BGY458802 BQU458802 CAQ458802 CKM458802 CUI458802 DEE458802 DOA458802 DXW458802 EHS458802 ERO458802 FBK458802 FLG458802 FVC458802 GEY458802 GOU458802 GYQ458802 HIM458802 HSI458802 ICE458802 IMA458802 IVW458802 JFS458802 JPO458802 JZK458802 KJG458802 KTC458802 LCY458802 LMU458802 LWQ458802 MGM458802 MQI458802 NAE458802 NKA458802 NTW458802 ODS458802 ONO458802 OXK458802 PHG458802 PRC458802 QAY458802 QKU458802 QUQ458802 REM458802 ROI458802 RYE458802 SIA458802 SRW458802 TBS458802 TLO458802 TVK458802 UFG458802 UPC458802 UYY458802 VIU458802 VSQ458802 WCM458802 WMI458802 WWE458802 V524338 JS524338 TO524338 ADK524338 ANG524338 AXC524338 BGY524338 BQU524338 CAQ524338 CKM524338 CUI524338 DEE524338 DOA524338 DXW524338 EHS524338 ERO524338 FBK524338 FLG524338 FVC524338 GEY524338 GOU524338 GYQ524338 HIM524338 HSI524338 ICE524338 IMA524338 IVW524338 JFS524338 JPO524338 JZK524338 KJG524338 KTC524338 LCY524338 LMU524338 LWQ524338 MGM524338 MQI524338 NAE524338 NKA524338 NTW524338 ODS524338 ONO524338 OXK524338 PHG524338 PRC524338 QAY524338 QKU524338 QUQ524338 REM524338 ROI524338 RYE524338 SIA524338 SRW524338 TBS524338 TLO524338 TVK524338 UFG524338 UPC524338 UYY524338 VIU524338 VSQ524338 WCM524338 WMI524338 WWE524338 V589874 JS589874 TO589874 ADK589874 ANG589874 AXC589874 BGY589874 BQU589874 CAQ589874 CKM589874 CUI589874 DEE589874 DOA589874 DXW589874 EHS589874 ERO589874 FBK589874 FLG589874 FVC589874 GEY589874 GOU589874 GYQ589874 HIM589874 HSI589874 ICE589874 IMA589874 IVW589874 JFS589874 JPO589874 JZK589874 KJG589874 KTC589874 LCY589874 LMU589874 LWQ589874 MGM589874 MQI589874 NAE589874 NKA589874 NTW589874 ODS589874 ONO589874 OXK589874 PHG589874 PRC589874 QAY589874 QKU589874 QUQ589874 REM589874 ROI589874 RYE589874 SIA589874 SRW589874 TBS589874 TLO589874 TVK589874 UFG589874 UPC589874 UYY589874 VIU589874 VSQ589874 WCM589874 WMI589874 WWE589874 V655410 JS655410 TO655410 ADK655410 ANG655410 AXC655410 BGY655410 BQU655410 CAQ655410 CKM655410 CUI655410 DEE655410 DOA655410 DXW655410 EHS655410 ERO655410 FBK655410 FLG655410 FVC655410 GEY655410 GOU655410 GYQ655410 HIM655410 HSI655410 ICE655410 IMA655410 IVW655410 JFS655410 JPO655410 JZK655410 KJG655410 KTC655410 LCY655410 LMU655410 LWQ655410 MGM655410 MQI655410 NAE655410 NKA655410 NTW655410 ODS655410 ONO655410 OXK655410 PHG655410 PRC655410 QAY655410 QKU655410 QUQ655410 REM655410 ROI655410 RYE655410 SIA655410 SRW655410 TBS655410 TLO655410 TVK655410 UFG655410 UPC655410 UYY655410 VIU655410 VSQ655410 WCM655410 WMI655410 WWE655410 V720946 JS720946 TO720946 ADK720946 ANG720946 AXC720946 BGY720946 BQU720946 CAQ720946 CKM720946 CUI720946 DEE720946 DOA720946 DXW720946 EHS720946 ERO720946 FBK720946 FLG720946 FVC720946 GEY720946 GOU720946 GYQ720946 HIM720946 HSI720946 ICE720946 IMA720946 IVW720946 JFS720946 JPO720946 JZK720946 KJG720946 KTC720946 LCY720946 LMU720946 LWQ720946 MGM720946 MQI720946 NAE720946 NKA720946 NTW720946 ODS720946 ONO720946 OXK720946 PHG720946 PRC720946 QAY720946 QKU720946 QUQ720946 REM720946 ROI720946 RYE720946 SIA720946 SRW720946 TBS720946 TLO720946 TVK720946 UFG720946 UPC720946 UYY720946 VIU720946 VSQ720946 WCM720946 WMI720946 WWE720946 V786482 JS786482 TO786482 ADK786482 ANG786482 AXC786482 BGY786482 BQU786482 CAQ786482 CKM786482 CUI786482 DEE786482 DOA786482 DXW786482 EHS786482 ERO786482 FBK786482 FLG786482 FVC786482 GEY786482 GOU786482 GYQ786482 HIM786482 HSI786482 ICE786482 IMA786482 IVW786482 JFS786482 JPO786482 JZK786482 KJG786482 KTC786482 LCY786482 LMU786482 LWQ786482 MGM786482 MQI786482 NAE786482 NKA786482 NTW786482 ODS786482 ONO786482 OXK786482 PHG786482 PRC786482 QAY786482 QKU786482 QUQ786482 REM786482 ROI786482 RYE786482 SIA786482 SRW786482 TBS786482 TLO786482 TVK786482 UFG786482 UPC786482 UYY786482 VIU786482 VSQ786482 WCM786482 WMI786482 WWE786482 V852018 JS852018 TO852018 ADK852018 ANG852018 AXC852018 BGY852018 BQU852018 CAQ852018 CKM852018 CUI852018 DEE852018 DOA852018 DXW852018 EHS852018 ERO852018 FBK852018 FLG852018 FVC852018 GEY852018 GOU852018 GYQ852018 HIM852018 HSI852018 ICE852018 IMA852018 IVW852018 JFS852018 JPO852018 JZK852018 KJG852018 KTC852018 LCY852018 LMU852018 LWQ852018 MGM852018 MQI852018 NAE852018 NKA852018 NTW852018 ODS852018 ONO852018 OXK852018 PHG852018 PRC852018 QAY852018 QKU852018 QUQ852018 REM852018 ROI852018 RYE852018 SIA852018 SRW852018 TBS852018 TLO852018 TVK852018 UFG852018 UPC852018 UYY852018 VIU852018 VSQ852018 WCM852018 WMI852018 WWE852018 V917554 JS917554 TO917554 ADK917554 ANG917554 AXC917554 BGY917554 BQU917554 CAQ917554 CKM917554 CUI917554 DEE917554 DOA917554 DXW917554 EHS917554 ERO917554 FBK917554 FLG917554 FVC917554 GEY917554 GOU917554 GYQ917554 HIM917554 HSI917554 ICE917554 IMA917554 IVW917554 JFS917554 JPO917554 JZK917554 KJG917554 KTC917554 LCY917554 LMU917554 LWQ917554 MGM917554 MQI917554 NAE917554 NKA917554 NTW917554 ODS917554 ONO917554 OXK917554 PHG917554 PRC917554 QAY917554 QKU917554 QUQ917554 REM917554 ROI917554 RYE917554 SIA917554 SRW917554 TBS917554 TLO917554 TVK917554 UFG917554 UPC917554 UYY917554 VIU917554 VSQ917554 WCM917554 WMI917554 WWE917554 V983090 JS983090 TO983090 ADK983090 ANG983090 AXC983090 BGY983090 BQU983090 CAQ983090 CKM983090 CUI983090 DEE983090 DOA983090 DXW983090 EHS983090 ERO983090 FBK983090 FLG983090 FVC983090 GEY983090 GOU983090 GYQ983090 HIM983090 HSI983090 ICE983090 IMA983090 IVW983090 JFS983090 JPO983090 JZK983090 KJG983090 KTC983090 LCY983090 LMU983090 LWQ983090 MGM983090 MQI983090 NAE983090 NKA983090 NTW983090 ODS983090 ONO983090 OXK983090 PHG983090 PRC983090 QAY983090 QKU983090 QUQ983090 REM983090 ROI983090 RYE983090 SIA983090 SRW983090 TBS983090 TLO983090 TVK983090 UFG983090 UPC983090 UYY983090 VIU983090 VSQ983090 WCM983090 WMI983090 WWE983090 NKP983094 JV25 TR25 ADN25 ANJ25 AXF25 BHB25 BQX25 CAT25 CKP25 CUL25 DEH25 DOD25 DXZ25 EHV25 ERR25 FBN25 FLJ25 FVF25 GFB25 GOX25 GYT25 HIP25 HSL25 ICH25 IMD25 IVZ25 JFV25 JPR25 JZN25 KJJ25 KTF25 LDB25 LMX25 LWT25 MGP25 MQL25 NAH25 NKD25 NTZ25 ODV25 ONR25 OXN25 PHJ25 PRF25 QBB25 QKX25 QUT25 REP25 ROL25 RYH25 SID25 SRZ25 TBV25 TLR25 TVN25 UFJ25 UPF25 UZB25 VIX25 VST25 WCP25 WML25 WWH25 Y65588 JV65588 TR65588 ADN65588 ANJ65588 AXF65588 BHB65588 BQX65588 CAT65588 CKP65588 CUL65588 DEH65588 DOD65588 DXZ65588 EHV65588 ERR65588 FBN65588 FLJ65588 FVF65588 GFB65588 GOX65588 GYT65588 HIP65588 HSL65588 ICH65588 IMD65588 IVZ65588 JFV65588 JPR65588 JZN65588 KJJ65588 KTF65588 LDB65588 LMX65588 LWT65588 MGP65588 MQL65588 NAH65588 NKD65588 NTZ65588 ODV65588 ONR65588 OXN65588 PHJ65588 PRF65588 QBB65588 QKX65588 QUT65588 REP65588 ROL65588 RYH65588 SID65588 SRZ65588 TBV65588 TLR65588 TVN65588 UFJ65588 UPF65588 UZB65588 VIX65588 VST65588 WCP65588 WML65588 WWH65588 Y131124 JV131124 TR131124 ADN131124 ANJ131124 AXF131124 BHB131124 BQX131124 CAT131124 CKP131124 CUL131124 DEH131124 DOD131124 DXZ131124 EHV131124 ERR131124 FBN131124 FLJ131124 FVF131124 GFB131124 GOX131124 GYT131124 HIP131124 HSL131124 ICH131124 IMD131124 IVZ131124 JFV131124 JPR131124 JZN131124 KJJ131124 KTF131124 LDB131124 LMX131124 LWT131124 MGP131124 MQL131124 NAH131124 NKD131124 NTZ131124 ODV131124 ONR131124 OXN131124 PHJ131124 PRF131124 QBB131124 QKX131124 QUT131124 REP131124 ROL131124 RYH131124 SID131124 SRZ131124 TBV131124 TLR131124 TVN131124 UFJ131124 UPF131124 UZB131124 VIX131124 VST131124 WCP131124 WML131124 WWH131124 Y196660 JV196660 TR196660 ADN196660 ANJ196660 AXF196660 BHB196660 BQX196660 CAT196660 CKP196660 CUL196660 DEH196660 DOD196660 DXZ196660 EHV196660 ERR196660 FBN196660 FLJ196660 FVF196660 GFB196660 GOX196660 GYT196660 HIP196660 HSL196660 ICH196660 IMD196660 IVZ196660 JFV196660 JPR196660 JZN196660 KJJ196660 KTF196660 LDB196660 LMX196660 LWT196660 MGP196660 MQL196660 NAH196660 NKD196660 NTZ196660 ODV196660 ONR196660 OXN196660 PHJ196660 PRF196660 QBB196660 QKX196660 QUT196660 REP196660 ROL196660 RYH196660 SID196660 SRZ196660 TBV196660 TLR196660 TVN196660 UFJ196660 UPF196660 UZB196660 VIX196660 VST196660 WCP196660 WML196660 WWH196660 Y262196 JV262196 TR262196 ADN262196 ANJ262196 AXF262196 BHB262196 BQX262196 CAT262196 CKP262196 CUL262196 DEH262196 DOD262196 DXZ262196 EHV262196 ERR262196 FBN262196 FLJ262196 FVF262196 GFB262196 GOX262196 GYT262196 HIP262196 HSL262196 ICH262196 IMD262196 IVZ262196 JFV262196 JPR262196 JZN262196 KJJ262196 KTF262196 LDB262196 LMX262196 LWT262196 MGP262196 MQL262196 NAH262196 NKD262196 NTZ262196 ODV262196 ONR262196 OXN262196 PHJ262196 PRF262196 QBB262196 QKX262196 QUT262196 REP262196 ROL262196 RYH262196 SID262196 SRZ262196 TBV262196 TLR262196 TVN262196 UFJ262196 UPF262196 UZB262196 VIX262196 VST262196 WCP262196 WML262196 WWH262196 Y327732 JV327732 TR327732 ADN327732 ANJ327732 AXF327732 BHB327732 BQX327732 CAT327732 CKP327732 CUL327732 DEH327732 DOD327732 DXZ327732 EHV327732 ERR327732 FBN327732 FLJ327732 FVF327732 GFB327732 GOX327732 GYT327732 HIP327732 HSL327732 ICH327732 IMD327732 IVZ327732 JFV327732 JPR327732 JZN327732 KJJ327732 KTF327732 LDB327732 LMX327732 LWT327732 MGP327732 MQL327732 NAH327732 NKD327732 NTZ327732 ODV327732 ONR327732 OXN327732 PHJ327732 PRF327732 QBB327732 QKX327732 QUT327732 REP327732 ROL327732 RYH327732 SID327732 SRZ327732 TBV327732 TLR327732 TVN327732 UFJ327732 UPF327732 UZB327732 VIX327732 VST327732 WCP327732 WML327732 WWH327732 Y393268 JV393268 TR393268 ADN393268 ANJ393268 AXF393268 BHB393268 BQX393268 CAT393268 CKP393268 CUL393268 DEH393268 DOD393268 DXZ393268 EHV393268 ERR393268 FBN393268 FLJ393268 FVF393268 GFB393268 GOX393268 GYT393268 HIP393268 HSL393268 ICH393268 IMD393268 IVZ393268 JFV393268 JPR393268 JZN393268 KJJ393268 KTF393268 LDB393268 LMX393268 LWT393268 MGP393268 MQL393268 NAH393268 NKD393268 NTZ393268 ODV393268 ONR393268 OXN393268 PHJ393268 PRF393268 QBB393268 QKX393268 QUT393268 REP393268 ROL393268 RYH393268 SID393268 SRZ393268 TBV393268 TLR393268 TVN393268 UFJ393268 UPF393268 UZB393268 VIX393268 VST393268 WCP393268 WML393268 WWH393268 Y458804 JV458804 TR458804 ADN458804 ANJ458804 AXF458804 BHB458804 BQX458804 CAT458804 CKP458804 CUL458804 DEH458804 DOD458804 DXZ458804 EHV458804 ERR458804 FBN458804 FLJ458804 FVF458804 GFB458804 GOX458804 GYT458804 HIP458804 HSL458804 ICH458804 IMD458804 IVZ458804 JFV458804 JPR458804 JZN458804 KJJ458804 KTF458804 LDB458804 LMX458804 LWT458804 MGP458804 MQL458804 NAH458804 NKD458804 NTZ458804 ODV458804 ONR458804 OXN458804 PHJ458804 PRF458804 QBB458804 QKX458804 QUT458804 REP458804 ROL458804 RYH458804 SID458804 SRZ458804 TBV458804 TLR458804 TVN458804 UFJ458804 UPF458804 UZB458804 VIX458804 VST458804 WCP458804 WML458804 WWH458804 Y524340 JV524340 TR524340 ADN524340 ANJ524340 AXF524340 BHB524340 BQX524340 CAT524340 CKP524340 CUL524340 DEH524340 DOD524340 DXZ524340 EHV524340 ERR524340 FBN524340 FLJ524340 FVF524340 GFB524340 GOX524340 GYT524340 HIP524340 HSL524340 ICH524340 IMD524340 IVZ524340 JFV524340 JPR524340 JZN524340 KJJ524340 KTF524340 LDB524340 LMX524340 LWT524340 MGP524340 MQL524340 NAH524340 NKD524340 NTZ524340 ODV524340 ONR524340 OXN524340 PHJ524340 PRF524340 QBB524340 QKX524340 QUT524340 REP524340 ROL524340 RYH524340 SID524340 SRZ524340 TBV524340 TLR524340 TVN524340 UFJ524340 UPF524340 UZB524340 VIX524340 VST524340 WCP524340 WML524340 WWH524340 Y589876 JV589876 TR589876 ADN589876 ANJ589876 AXF589876 BHB589876 BQX589876 CAT589876 CKP589876 CUL589876 DEH589876 DOD589876 DXZ589876 EHV589876 ERR589876 FBN589876 FLJ589876 FVF589876 GFB589876 GOX589876 GYT589876 HIP589876 HSL589876 ICH589876 IMD589876 IVZ589876 JFV589876 JPR589876 JZN589876 KJJ589876 KTF589876 LDB589876 LMX589876 LWT589876 MGP589876 MQL589876 NAH589876 NKD589876 NTZ589876 ODV589876 ONR589876 OXN589876 PHJ589876 PRF589876 QBB589876 QKX589876 QUT589876 REP589876 ROL589876 RYH589876 SID589876 SRZ589876 TBV589876 TLR589876 TVN589876 UFJ589876 UPF589876 UZB589876 VIX589876 VST589876 WCP589876 WML589876 WWH589876 Y655412 JV655412 TR655412 ADN655412 ANJ655412 AXF655412 BHB655412 BQX655412 CAT655412 CKP655412 CUL655412 DEH655412 DOD655412 DXZ655412 EHV655412 ERR655412 FBN655412 FLJ655412 FVF655412 GFB655412 GOX655412 GYT655412 HIP655412 HSL655412 ICH655412 IMD655412 IVZ655412 JFV655412 JPR655412 JZN655412 KJJ655412 KTF655412 LDB655412 LMX655412 LWT655412 MGP655412 MQL655412 NAH655412 NKD655412 NTZ655412 ODV655412 ONR655412 OXN655412 PHJ655412 PRF655412 QBB655412 QKX655412 QUT655412 REP655412 ROL655412 RYH655412 SID655412 SRZ655412 TBV655412 TLR655412 TVN655412 UFJ655412 UPF655412 UZB655412 VIX655412 VST655412 WCP655412 WML655412 WWH655412 Y720948 JV720948 TR720948 ADN720948 ANJ720948 AXF720948 BHB720948 BQX720948 CAT720948 CKP720948 CUL720948 DEH720948 DOD720948 DXZ720948 EHV720948 ERR720948 FBN720948 FLJ720948 FVF720948 GFB720948 GOX720948 GYT720948 HIP720948 HSL720948 ICH720948 IMD720948 IVZ720948 JFV720948 JPR720948 JZN720948 KJJ720948 KTF720948 LDB720948 LMX720948 LWT720948 MGP720948 MQL720948 NAH720948 NKD720948 NTZ720948 ODV720948 ONR720948 OXN720948 PHJ720948 PRF720948 QBB720948 QKX720948 QUT720948 REP720948 ROL720948 RYH720948 SID720948 SRZ720948 TBV720948 TLR720948 TVN720948 UFJ720948 UPF720948 UZB720948 VIX720948 VST720948 WCP720948 WML720948 WWH720948 Y786484 JV786484 TR786484 ADN786484 ANJ786484 AXF786484 BHB786484 BQX786484 CAT786484 CKP786484 CUL786484 DEH786484 DOD786484 DXZ786484 EHV786484 ERR786484 FBN786484 FLJ786484 FVF786484 GFB786484 GOX786484 GYT786484 HIP786484 HSL786484 ICH786484 IMD786484 IVZ786484 JFV786484 JPR786484 JZN786484 KJJ786484 KTF786484 LDB786484 LMX786484 LWT786484 MGP786484 MQL786484 NAH786484 NKD786484 NTZ786484 ODV786484 ONR786484 OXN786484 PHJ786484 PRF786484 QBB786484 QKX786484 QUT786484 REP786484 ROL786484 RYH786484 SID786484 SRZ786484 TBV786484 TLR786484 TVN786484 UFJ786484 UPF786484 UZB786484 VIX786484 VST786484 WCP786484 WML786484 WWH786484 Y852020 JV852020 TR852020 ADN852020 ANJ852020 AXF852020 BHB852020 BQX852020 CAT852020 CKP852020 CUL852020 DEH852020 DOD852020 DXZ852020 EHV852020 ERR852020 FBN852020 FLJ852020 FVF852020 GFB852020 GOX852020 GYT852020 HIP852020 HSL852020 ICH852020 IMD852020 IVZ852020 JFV852020 JPR852020 JZN852020 KJJ852020 KTF852020 LDB852020 LMX852020 LWT852020 MGP852020 MQL852020 NAH852020 NKD852020 NTZ852020 ODV852020 ONR852020 OXN852020 PHJ852020 PRF852020 QBB852020 QKX852020 QUT852020 REP852020 ROL852020 RYH852020 SID852020 SRZ852020 TBV852020 TLR852020 TVN852020 UFJ852020 UPF852020 UZB852020 VIX852020 VST852020 WCP852020 WML852020 WWH852020 Y917556 JV917556 TR917556 ADN917556 ANJ917556 AXF917556 BHB917556 BQX917556 CAT917556 CKP917556 CUL917556 DEH917556 DOD917556 DXZ917556 EHV917556 ERR917556 FBN917556 FLJ917556 FVF917556 GFB917556 GOX917556 GYT917556 HIP917556 HSL917556 ICH917556 IMD917556 IVZ917556 JFV917556 JPR917556 JZN917556 KJJ917556 KTF917556 LDB917556 LMX917556 LWT917556 MGP917556 MQL917556 NAH917556 NKD917556 NTZ917556 ODV917556 ONR917556 OXN917556 PHJ917556 PRF917556 QBB917556 QKX917556 QUT917556 REP917556 ROL917556 RYH917556 SID917556 SRZ917556 TBV917556 TLR917556 TVN917556 UFJ917556 UPF917556 UZB917556 VIX917556 VST917556 WCP917556 WML917556 WWH917556 Y983092 JV983092 TR983092 ADN983092 ANJ983092 AXF983092 BHB983092 BQX983092 CAT983092 CKP983092 CUL983092 DEH983092 DOD983092 DXZ983092 EHV983092 ERR983092 FBN983092 FLJ983092 FVF983092 GFB983092 GOX983092 GYT983092 HIP983092 HSL983092 ICH983092 IMD983092 IVZ983092 JFV983092 JPR983092 JZN983092 KJJ983092 KTF983092 LDB983092 LMX983092 LWT983092 MGP983092 MQL983092 NAH983092 NKD983092 NTZ983092 ODV983092 ONR983092 OXN983092 PHJ983092 PRF983092 QBB983092 QKX983092 QUT983092 REP983092 ROL983092 RYH983092 SID983092 SRZ983092 TBV983092 TLR983092 TVN983092 UFJ983092 UPF983092 UZB983092 VIX983092 VST983092 WCP983092 WML983092 WWH983092 WWT983094 JG25 TC25 ACY25 AMU25 AWQ25 BGM25 BQI25 CAE25 CKA25 CTW25 DDS25 DNO25 DXK25 EHG25 ERC25 FAY25 FKU25 FUQ25 GEM25 GOI25 GYE25 HIA25 HRW25 IBS25 ILO25 IVK25 JFG25 JPC25 JYY25 KIU25 KSQ25 LCM25 LMI25 LWE25 MGA25 MPW25 MZS25 NJO25 NTK25 ODG25 ONC25 OWY25 PGU25 PQQ25 QAM25 QKI25 QUE25 REA25 RNW25 RXS25 SHO25 SRK25 TBG25 TLC25 TUY25 UEU25 UOQ25 UYM25 VII25 VSE25 WCA25 WLW25 WVS25 E65588:F65588 JG65588 TC65588 ACY65588 AMU65588 AWQ65588 BGM65588 BQI65588 CAE65588 CKA65588 CTW65588 DDS65588 DNO65588 DXK65588 EHG65588 ERC65588 FAY65588 FKU65588 FUQ65588 GEM65588 GOI65588 GYE65588 HIA65588 HRW65588 IBS65588 ILO65588 IVK65588 JFG65588 JPC65588 JYY65588 KIU65588 KSQ65588 LCM65588 LMI65588 LWE65588 MGA65588 MPW65588 MZS65588 NJO65588 NTK65588 ODG65588 ONC65588 OWY65588 PGU65588 PQQ65588 QAM65588 QKI65588 QUE65588 REA65588 RNW65588 RXS65588 SHO65588 SRK65588 TBG65588 TLC65588 TUY65588 UEU65588 UOQ65588 UYM65588 VII65588 VSE65588 WCA65588 WLW65588 WVS65588 E131124:F131124 JG131124 TC131124 ACY131124 AMU131124 AWQ131124 BGM131124 BQI131124 CAE131124 CKA131124 CTW131124 DDS131124 DNO131124 DXK131124 EHG131124 ERC131124 FAY131124 FKU131124 FUQ131124 GEM131124 GOI131124 GYE131124 HIA131124 HRW131124 IBS131124 ILO131124 IVK131124 JFG131124 JPC131124 JYY131124 KIU131124 KSQ131124 LCM131124 LMI131124 LWE131124 MGA131124 MPW131124 MZS131124 NJO131124 NTK131124 ODG131124 ONC131124 OWY131124 PGU131124 PQQ131124 QAM131124 QKI131124 QUE131124 REA131124 RNW131124 RXS131124 SHO131124 SRK131124 TBG131124 TLC131124 TUY131124 UEU131124 UOQ131124 UYM131124 VII131124 VSE131124 WCA131124 WLW131124 WVS131124 E196660:F196660 JG196660 TC196660 ACY196660 AMU196660 AWQ196660 BGM196660 BQI196660 CAE196660 CKA196660 CTW196660 DDS196660 DNO196660 DXK196660 EHG196660 ERC196660 FAY196660 FKU196660 FUQ196660 GEM196660 GOI196660 GYE196660 HIA196660 HRW196660 IBS196660 ILO196660 IVK196660 JFG196660 JPC196660 JYY196660 KIU196660 KSQ196660 LCM196660 LMI196660 LWE196660 MGA196660 MPW196660 MZS196660 NJO196660 NTK196660 ODG196660 ONC196660 OWY196660 PGU196660 PQQ196660 QAM196660 QKI196660 QUE196660 REA196660 RNW196660 RXS196660 SHO196660 SRK196660 TBG196660 TLC196660 TUY196660 UEU196660 UOQ196660 UYM196660 VII196660 VSE196660 WCA196660 WLW196660 WVS196660 E262196:F262196 JG262196 TC262196 ACY262196 AMU262196 AWQ262196 BGM262196 BQI262196 CAE262196 CKA262196 CTW262196 DDS262196 DNO262196 DXK262196 EHG262196 ERC262196 FAY262196 FKU262196 FUQ262196 GEM262196 GOI262196 GYE262196 HIA262196 HRW262196 IBS262196 ILO262196 IVK262196 JFG262196 JPC262196 JYY262196 KIU262196 KSQ262196 LCM262196 LMI262196 LWE262196 MGA262196 MPW262196 MZS262196 NJO262196 NTK262196 ODG262196 ONC262196 OWY262196 PGU262196 PQQ262196 QAM262196 QKI262196 QUE262196 REA262196 RNW262196 RXS262196 SHO262196 SRK262196 TBG262196 TLC262196 TUY262196 UEU262196 UOQ262196 UYM262196 VII262196 VSE262196 WCA262196 WLW262196 WVS262196 E327732:F327732 JG327732 TC327732 ACY327732 AMU327732 AWQ327732 BGM327732 BQI327732 CAE327732 CKA327732 CTW327732 DDS327732 DNO327732 DXK327732 EHG327732 ERC327732 FAY327732 FKU327732 FUQ327732 GEM327732 GOI327732 GYE327732 HIA327732 HRW327732 IBS327732 ILO327732 IVK327732 JFG327732 JPC327732 JYY327732 KIU327732 KSQ327732 LCM327732 LMI327732 LWE327732 MGA327732 MPW327732 MZS327732 NJO327732 NTK327732 ODG327732 ONC327732 OWY327732 PGU327732 PQQ327732 QAM327732 QKI327732 QUE327732 REA327732 RNW327732 RXS327732 SHO327732 SRK327732 TBG327732 TLC327732 TUY327732 UEU327732 UOQ327732 UYM327732 VII327732 VSE327732 WCA327732 WLW327732 WVS327732 E393268:F393268 JG393268 TC393268 ACY393268 AMU393268 AWQ393268 BGM393268 BQI393268 CAE393268 CKA393268 CTW393268 DDS393268 DNO393268 DXK393268 EHG393268 ERC393268 FAY393268 FKU393268 FUQ393268 GEM393268 GOI393268 GYE393268 HIA393268 HRW393268 IBS393268 ILO393268 IVK393268 JFG393268 JPC393268 JYY393268 KIU393268 KSQ393268 LCM393268 LMI393268 LWE393268 MGA393268 MPW393268 MZS393268 NJO393268 NTK393268 ODG393268 ONC393268 OWY393268 PGU393268 PQQ393268 QAM393268 QKI393268 QUE393268 REA393268 RNW393268 RXS393268 SHO393268 SRK393268 TBG393268 TLC393268 TUY393268 UEU393268 UOQ393268 UYM393268 VII393268 VSE393268 WCA393268 WLW393268 WVS393268 E458804:F458804 JG458804 TC458804 ACY458804 AMU458804 AWQ458804 BGM458804 BQI458804 CAE458804 CKA458804 CTW458804 DDS458804 DNO458804 DXK458804 EHG458804 ERC458804 FAY458804 FKU458804 FUQ458804 GEM458804 GOI458804 GYE458804 HIA458804 HRW458804 IBS458804 ILO458804 IVK458804 JFG458804 JPC458804 JYY458804 KIU458804 KSQ458804 LCM458804 LMI458804 LWE458804 MGA458804 MPW458804 MZS458804 NJO458804 NTK458804 ODG458804 ONC458804 OWY458804 PGU458804 PQQ458804 QAM458804 QKI458804 QUE458804 REA458804 RNW458804 RXS458804 SHO458804 SRK458804 TBG458804 TLC458804 TUY458804 UEU458804 UOQ458804 UYM458804 VII458804 VSE458804 WCA458804 WLW458804 WVS458804 E524340:F524340 JG524340 TC524340 ACY524340 AMU524340 AWQ524340 BGM524340 BQI524340 CAE524340 CKA524340 CTW524340 DDS524340 DNO524340 DXK524340 EHG524340 ERC524340 FAY524340 FKU524340 FUQ524340 GEM524340 GOI524340 GYE524340 HIA524340 HRW524340 IBS524340 ILO524340 IVK524340 JFG524340 JPC524340 JYY524340 KIU524340 KSQ524340 LCM524340 LMI524340 LWE524340 MGA524340 MPW524340 MZS524340 NJO524340 NTK524340 ODG524340 ONC524340 OWY524340 PGU524340 PQQ524340 QAM524340 QKI524340 QUE524340 REA524340 RNW524340 RXS524340 SHO524340 SRK524340 TBG524340 TLC524340 TUY524340 UEU524340 UOQ524340 UYM524340 VII524340 VSE524340 WCA524340 WLW524340 WVS524340 E589876:F589876 JG589876 TC589876 ACY589876 AMU589876 AWQ589876 BGM589876 BQI589876 CAE589876 CKA589876 CTW589876 DDS589876 DNO589876 DXK589876 EHG589876 ERC589876 FAY589876 FKU589876 FUQ589876 GEM589876 GOI589876 GYE589876 HIA589876 HRW589876 IBS589876 ILO589876 IVK589876 JFG589876 JPC589876 JYY589876 KIU589876 KSQ589876 LCM589876 LMI589876 LWE589876 MGA589876 MPW589876 MZS589876 NJO589876 NTK589876 ODG589876 ONC589876 OWY589876 PGU589876 PQQ589876 QAM589876 QKI589876 QUE589876 REA589876 RNW589876 RXS589876 SHO589876 SRK589876 TBG589876 TLC589876 TUY589876 UEU589876 UOQ589876 UYM589876 VII589876 VSE589876 WCA589876 WLW589876 WVS589876 E655412:F655412 JG655412 TC655412 ACY655412 AMU655412 AWQ655412 BGM655412 BQI655412 CAE655412 CKA655412 CTW655412 DDS655412 DNO655412 DXK655412 EHG655412 ERC655412 FAY655412 FKU655412 FUQ655412 GEM655412 GOI655412 GYE655412 HIA655412 HRW655412 IBS655412 ILO655412 IVK655412 JFG655412 JPC655412 JYY655412 KIU655412 KSQ655412 LCM655412 LMI655412 LWE655412 MGA655412 MPW655412 MZS655412 NJO655412 NTK655412 ODG655412 ONC655412 OWY655412 PGU655412 PQQ655412 QAM655412 QKI655412 QUE655412 REA655412 RNW655412 RXS655412 SHO655412 SRK655412 TBG655412 TLC655412 TUY655412 UEU655412 UOQ655412 UYM655412 VII655412 VSE655412 WCA655412 WLW655412 WVS655412 E720948:F720948 JG720948 TC720948 ACY720948 AMU720948 AWQ720948 BGM720948 BQI720948 CAE720948 CKA720948 CTW720948 DDS720948 DNO720948 DXK720948 EHG720948 ERC720948 FAY720948 FKU720948 FUQ720948 GEM720948 GOI720948 GYE720948 HIA720948 HRW720948 IBS720948 ILO720948 IVK720948 JFG720948 JPC720948 JYY720948 KIU720948 KSQ720948 LCM720948 LMI720948 LWE720948 MGA720948 MPW720948 MZS720948 NJO720948 NTK720948 ODG720948 ONC720948 OWY720948 PGU720948 PQQ720948 QAM720948 QKI720948 QUE720948 REA720948 RNW720948 RXS720948 SHO720948 SRK720948 TBG720948 TLC720948 TUY720948 UEU720948 UOQ720948 UYM720948 VII720948 VSE720948 WCA720948 WLW720948 WVS720948 E786484:F786484 JG786484 TC786484 ACY786484 AMU786484 AWQ786484 BGM786484 BQI786484 CAE786484 CKA786484 CTW786484 DDS786484 DNO786484 DXK786484 EHG786484 ERC786484 FAY786484 FKU786484 FUQ786484 GEM786484 GOI786484 GYE786484 HIA786484 HRW786484 IBS786484 ILO786484 IVK786484 JFG786484 JPC786484 JYY786484 KIU786484 KSQ786484 LCM786484 LMI786484 LWE786484 MGA786484 MPW786484 MZS786484 NJO786484 NTK786484 ODG786484 ONC786484 OWY786484 PGU786484 PQQ786484 QAM786484 QKI786484 QUE786484 REA786484 RNW786484 RXS786484 SHO786484 SRK786484 TBG786484 TLC786484 TUY786484 UEU786484 UOQ786484 UYM786484 VII786484 VSE786484 WCA786484 WLW786484 WVS786484 E852020:F852020 JG852020 TC852020 ACY852020 AMU852020 AWQ852020 BGM852020 BQI852020 CAE852020 CKA852020 CTW852020 DDS852020 DNO852020 DXK852020 EHG852020 ERC852020 FAY852020 FKU852020 FUQ852020 GEM852020 GOI852020 GYE852020 HIA852020 HRW852020 IBS852020 ILO852020 IVK852020 JFG852020 JPC852020 JYY852020 KIU852020 KSQ852020 LCM852020 LMI852020 LWE852020 MGA852020 MPW852020 MZS852020 NJO852020 NTK852020 ODG852020 ONC852020 OWY852020 PGU852020 PQQ852020 QAM852020 QKI852020 QUE852020 REA852020 RNW852020 RXS852020 SHO852020 SRK852020 TBG852020 TLC852020 TUY852020 UEU852020 UOQ852020 UYM852020 VII852020 VSE852020 WCA852020 WLW852020 WVS852020 E917556:F917556 JG917556 TC917556 ACY917556 AMU917556 AWQ917556 BGM917556 BQI917556 CAE917556 CKA917556 CTW917556 DDS917556 DNO917556 DXK917556 EHG917556 ERC917556 FAY917556 FKU917556 FUQ917556 GEM917556 GOI917556 GYE917556 HIA917556 HRW917556 IBS917556 ILO917556 IVK917556 JFG917556 JPC917556 JYY917556 KIU917556 KSQ917556 LCM917556 LMI917556 LWE917556 MGA917556 MPW917556 MZS917556 NJO917556 NTK917556 ODG917556 ONC917556 OWY917556 PGU917556 PQQ917556 QAM917556 QKI917556 QUE917556 REA917556 RNW917556 RXS917556 SHO917556 SRK917556 TBG917556 TLC917556 TUY917556 UEU917556 UOQ917556 UYM917556 VII917556 VSE917556 WCA917556 WLW917556 WVS917556 E983092:F983092 JG983092 TC983092 ACY983092 AMU983092 AWQ983092 BGM983092 BQI983092 CAE983092 CKA983092 CTW983092 DDS983092 DNO983092 DXK983092 EHG983092 ERC983092 FAY983092 FKU983092 FUQ983092 GEM983092 GOI983092 GYE983092 HIA983092 HRW983092 IBS983092 ILO983092 IVK983092 JFG983092 JPC983092 JYY983092 KIU983092 KSQ983092 LCM983092 LMI983092 LWE983092 MGA983092 MPW983092 MZS983092 NJO983092 NTK983092 ODG983092 ONC983092 OWY983092 PGU983092 PQQ983092 QAM983092 QKI983092 QUE983092 REA983092 RNW983092 RXS983092 SHO983092 SRK983092 TBG983092 TLC983092 TUY983092 UEU983092 UOQ983092 UYM983092 VII983092 VSE983092 WCA983092 WLW983092 WVS983092 B27 JS25 TO25 ADK25 ANG25 AXC25 BGY25 BQU25 CAQ25 CKM25 CUI25 DEE25 DOA25 DXW25 EHS25 ERO25 FBK25 FLG25 FVC25 GEY25 GOU25 GYQ25 HIM25 HSI25 ICE25 IMA25 IVW25 JFS25 JPO25 JZK25 KJG25 KTC25 LCY25 LMU25 LWQ25 MGM25 MQI25 NAE25 NKA25 NTW25 ODS25 ONO25 OXK25 PHG25 PRC25 QAY25 QKU25 QUQ25 REM25 ROI25 RYE25 SIA25 SRW25 TBS25 TLO25 TVK25 UFG25 UPC25 UYY25 VIU25 VSQ25 WCM25 WMI25 WWE25 V65588 JS65588 TO65588 ADK65588 ANG65588 AXC65588 BGY65588 BQU65588 CAQ65588 CKM65588 CUI65588 DEE65588 DOA65588 DXW65588 EHS65588 ERO65588 FBK65588 FLG65588 FVC65588 GEY65588 GOU65588 GYQ65588 HIM65588 HSI65588 ICE65588 IMA65588 IVW65588 JFS65588 JPO65588 JZK65588 KJG65588 KTC65588 LCY65588 LMU65588 LWQ65588 MGM65588 MQI65588 NAE65588 NKA65588 NTW65588 ODS65588 ONO65588 OXK65588 PHG65588 PRC65588 QAY65588 QKU65588 QUQ65588 REM65588 ROI65588 RYE65588 SIA65588 SRW65588 TBS65588 TLO65588 TVK65588 UFG65588 UPC65588 UYY65588 VIU65588 VSQ65588 WCM65588 WMI65588 WWE65588 V131124 JS131124 TO131124 ADK131124 ANG131124 AXC131124 BGY131124 BQU131124 CAQ131124 CKM131124 CUI131124 DEE131124 DOA131124 DXW131124 EHS131124 ERO131124 FBK131124 FLG131124 FVC131124 GEY131124 GOU131124 GYQ131124 HIM131124 HSI131124 ICE131124 IMA131124 IVW131124 JFS131124 JPO131124 JZK131124 KJG131124 KTC131124 LCY131124 LMU131124 LWQ131124 MGM131124 MQI131124 NAE131124 NKA131124 NTW131124 ODS131124 ONO131124 OXK131124 PHG131124 PRC131124 QAY131124 QKU131124 QUQ131124 REM131124 ROI131124 RYE131124 SIA131124 SRW131124 TBS131124 TLO131124 TVK131124 UFG131124 UPC131124 UYY131124 VIU131124 VSQ131124 WCM131124 WMI131124 WWE131124 V196660 JS196660 TO196660 ADK196660 ANG196660 AXC196660 BGY196660 BQU196660 CAQ196660 CKM196660 CUI196660 DEE196660 DOA196660 DXW196660 EHS196660 ERO196660 FBK196660 FLG196660 FVC196660 GEY196660 GOU196660 GYQ196660 HIM196660 HSI196660 ICE196660 IMA196660 IVW196660 JFS196660 JPO196660 JZK196660 KJG196660 KTC196660 LCY196660 LMU196660 LWQ196660 MGM196660 MQI196660 NAE196660 NKA196660 NTW196660 ODS196660 ONO196660 OXK196660 PHG196660 PRC196660 QAY196660 QKU196660 QUQ196660 REM196660 ROI196660 RYE196660 SIA196660 SRW196660 TBS196660 TLO196660 TVK196660 UFG196660 UPC196660 UYY196660 VIU196660 VSQ196660 WCM196660 WMI196660 WWE196660 V262196 JS262196 TO262196 ADK262196 ANG262196 AXC262196 BGY262196 BQU262196 CAQ262196 CKM262196 CUI262196 DEE262196 DOA262196 DXW262196 EHS262196 ERO262196 FBK262196 FLG262196 FVC262196 GEY262196 GOU262196 GYQ262196 HIM262196 HSI262196 ICE262196 IMA262196 IVW262196 JFS262196 JPO262196 JZK262196 KJG262196 KTC262196 LCY262196 LMU262196 LWQ262196 MGM262196 MQI262196 NAE262196 NKA262196 NTW262196 ODS262196 ONO262196 OXK262196 PHG262196 PRC262196 QAY262196 QKU262196 QUQ262196 REM262196 ROI262196 RYE262196 SIA262196 SRW262196 TBS262196 TLO262196 TVK262196 UFG262196 UPC262196 UYY262196 VIU262196 VSQ262196 WCM262196 WMI262196 WWE262196 V327732 JS327732 TO327732 ADK327732 ANG327732 AXC327732 BGY327732 BQU327732 CAQ327732 CKM327732 CUI327732 DEE327732 DOA327732 DXW327732 EHS327732 ERO327732 FBK327732 FLG327732 FVC327732 GEY327732 GOU327732 GYQ327732 HIM327732 HSI327732 ICE327732 IMA327732 IVW327732 JFS327732 JPO327732 JZK327732 KJG327732 KTC327732 LCY327732 LMU327732 LWQ327732 MGM327732 MQI327732 NAE327732 NKA327732 NTW327732 ODS327732 ONO327732 OXK327732 PHG327732 PRC327732 QAY327732 QKU327732 QUQ327732 REM327732 ROI327732 RYE327732 SIA327732 SRW327732 TBS327732 TLO327732 TVK327732 UFG327732 UPC327732 UYY327732 VIU327732 VSQ327732 WCM327732 WMI327732 WWE327732 V393268 JS393268 TO393268 ADK393268 ANG393268 AXC393268 BGY393268 BQU393268 CAQ393268 CKM393268 CUI393268 DEE393268 DOA393268 DXW393268 EHS393268 ERO393268 FBK393268 FLG393268 FVC393268 GEY393268 GOU393268 GYQ393268 HIM393268 HSI393268 ICE393268 IMA393268 IVW393268 JFS393268 JPO393268 JZK393268 KJG393268 KTC393268 LCY393268 LMU393268 LWQ393268 MGM393268 MQI393268 NAE393268 NKA393268 NTW393268 ODS393268 ONO393268 OXK393268 PHG393268 PRC393268 QAY393268 QKU393268 QUQ393268 REM393268 ROI393268 RYE393268 SIA393268 SRW393268 TBS393268 TLO393268 TVK393268 UFG393268 UPC393268 UYY393268 VIU393268 VSQ393268 WCM393268 WMI393268 WWE393268 V458804 JS458804 TO458804 ADK458804 ANG458804 AXC458804 BGY458804 BQU458804 CAQ458804 CKM458804 CUI458804 DEE458804 DOA458804 DXW458804 EHS458804 ERO458804 FBK458804 FLG458804 FVC458804 GEY458804 GOU458804 GYQ458804 HIM458804 HSI458804 ICE458804 IMA458804 IVW458804 JFS458804 JPO458804 JZK458804 KJG458804 KTC458804 LCY458804 LMU458804 LWQ458804 MGM458804 MQI458804 NAE458804 NKA458804 NTW458804 ODS458804 ONO458804 OXK458804 PHG458804 PRC458804 QAY458804 QKU458804 QUQ458804 REM458804 ROI458804 RYE458804 SIA458804 SRW458804 TBS458804 TLO458804 TVK458804 UFG458804 UPC458804 UYY458804 VIU458804 VSQ458804 WCM458804 WMI458804 WWE458804 V524340 JS524340 TO524340 ADK524340 ANG524340 AXC524340 BGY524340 BQU524340 CAQ524340 CKM524340 CUI524340 DEE524340 DOA524340 DXW524340 EHS524340 ERO524340 FBK524340 FLG524340 FVC524340 GEY524340 GOU524340 GYQ524340 HIM524340 HSI524340 ICE524340 IMA524340 IVW524340 JFS524340 JPO524340 JZK524340 KJG524340 KTC524340 LCY524340 LMU524340 LWQ524340 MGM524340 MQI524340 NAE524340 NKA524340 NTW524340 ODS524340 ONO524340 OXK524340 PHG524340 PRC524340 QAY524340 QKU524340 QUQ524340 REM524340 ROI524340 RYE524340 SIA524340 SRW524340 TBS524340 TLO524340 TVK524340 UFG524340 UPC524340 UYY524340 VIU524340 VSQ524340 WCM524340 WMI524340 WWE524340 V589876 JS589876 TO589876 ADK589876 ANG589876 AXC589876 BGY589876 BQU589876 CAQ589876 CKM589876 CUI589876 DEE589876 DOA589876 DXW589876 EHS589876 ERO589876 FBK589876 FLG589876 FVC589876 GEY589876 GOU589876 GYQ589876 HIM589876 HSI589876 ICE589876 IMA589876 IVW589876 JFS589876 JPO589876 JZK589876 KJG589876 KTC589876 LCY589876 LMU589876 LWQ589876 MGM589876 MQI589876 NAE589876 NKA589876 NTW589876 ODS589876 ONO589876 OXK589876 PHG589876 PRC589876 QAY589876 QKU589876 QUQ589876 REM589876 ROI589876 RYE589876 SIA589876 SRW589876 TBS589876 TLO589876 TVK589876 UFG589876 UPC589876 UYY589876 VIU589876 VSQ589876 WCM589876 WMI589876 WWE589876 V655412 JS655412 TO655412 ADK655412 ANG655412 AXC655412 BGY655412 BQU655412 CAQ655412 CKM655412 CUI655412 DEE655412 DOA655412 DXW655412 EHS655412 ERO655412 FBK655412 FLG655412 FVC655412 GEY655412 GOU655412 GYQ655412 HIM655412 HSI655412 ICE655412 IMA655412 IVW655412 JFS655412 JPO655412 JZK655412 KJG655412 KTC655412 LCY655412 LMU655412 LWQ655412 MGM655412 MQI655412 NAE655412 NKA655412 NTW655412 ODS655412 ONO655412 OXK655412 PHG655412 PRC655412 QAY655412 QKU655412 QUQ655412 REM655412 ROI655412 RYE655412 SIA655412 SRW655412 TBS655412 TLO655412 TVK655412 UFG655412 UPC655412 UYY655412 VIU655412 VSQ655412 WCM655412 WMI655412 WWE655412 V720948 JS720948 TO720948 ADK720948 ANG720948 AXC720948 BGY720948 BQU720948 CAQ720948 CKM720948 CUI720948 DEE720948 DOA720948 DXW720948 EHS720948 ERO720948 FBK720948 FLG720948 FVC720948 GEY720948 GOU720948 GYQ720948 HIM720948 HSI720948 ICE720948 IMA720948 IVW720948 JFS720948 JPO720948 JZK720948 KJG720948 KTC720948 LCY720948 LMU720948 LWQ720948 MGM720948 MQI720948 NAE720948 NKA720948 NTW720948 ODS720948 ONO720948 OXK720948 PHG720948 PRC720948 QAY720948 QKU720948 QUQ720948 REM720948 ROI720948 RYE720948 SIA720948 SRW720948 TBS720948 TLO720948 TVK720948 UFG720948 UPC720948 UYY720948 VIU720948 VSQ720948 WCM720948 WMI720948 WWE720948 V786484 JS786484 TO786484 ADK786484 ANG786484 AXC786484 BGY786484 BQU786484 CAQ786484 CKM786484 CUI786484 DEE786484 DOA786484 DXW786484 EHS786484 ERO786484 FBK786484 FLG786484 FVC786484 GEY786484 GOU786484 GYQ786484 HIM786484 HSI786484 ICE786484 IMA786484 IVW786484 JFS786484 JPO786484 JZK786484 KJG786484 KTC786484 LCY786484 LMU786484 LWQ786484 MGM786484 MQI786484 NAE786484 NKA786484 NTW786484 ODS786484 ONO786484 OXK786484 PHG786484 PRC786484 QAY786484 QKU786484 QUQ786484 REM786484 ROI786484 RYE786484 SIA786484 SRW786484 TBS786484 TLO786484 TVK786484 UFG786484 UPC786484 UYY786484 VIU786484 VSQ786484 WCM786484 WMI786484 WWE786484 V852020 JS852020 TO852020 ADK852020 ANG852020 AXC852020 BGY852020 BQU852020 CAQ852020 CKM852020 CUI852020 DEE852020 DOA852020 DXW852020 EHS852020 ERO852020 FBK852020 FLG852020 FVC852020 GEY852020 GOU852020 GYQ852020 HIM852020 HSI852020 ICE852020 IMA852020 IVW852020 JFS852020 JPO852020 JZK852020 KJG852020 KTC852020 LCY852020 LMU852020 LWQ852020 MGM852020 MQI852020 NAE852020 NKA852020 NTW852020 ODS852020 ONO852020 OXK852020 PHG852020 PRC852020 QAY852020 QKU852020 QUQ852020 REM852020 ROI852020 RYE852020 SIA852020 SRW852020 TBS852020 TLO852020 TVK852020 UFG852020 UPC852020 UYY852020 VIU852020 VSQ852020 WCM852020 WMI852020 WWE852020 V917556 JS917556 TO917556 ADK917556 ANG917556 AXC917556 BGY917556 BQU917556 CAQ917556 CKM917556 CUI917556 DEE917556 DOA917556 DXW917556 EHS917556 ERO917556 FBK917556 FLG917556 FVC917556 GEY917556 GOU917556 GYQ917556 HIM917556 HSI917556 ICE917556 IMA917556 IVW917556 JFS917556 JPO917556 JZK917556 KJG917556 KTC917556 LCY917556 LMU917556 LWQ917556 MGM917556 MQI917556 NAE917556 NKA917556 NTW917556 ODS917556 ONO917556 OXK917556 PHG917556 PRC917556 QAY917556 QKU917556 QUQ917556 REM917556 ROI917556 RYE917556 SIA917556 SRW917556 TBS917556 TLO917556 TVK917556 UFG917556 UPC917556 UYY917556 VIU917556 VSQ917556 WCM917556 WMI917556 WWE917556 V983092 JS983092 TO983092 ADK983092 ANG983092 AXC983092 BGY983092 BQU983092 CAQ983092 CKM983092 CUI983092 DEE983092 DOA983092 DXW983092 EHS983092 ERO983092 FBK983092 FLG983092 FVC983092 GEY983092 GOU983092 GYQ983092 HIM983092 HSI983092 ICE983092 IMA983092 IVW983092 JFS983092 JPO983092 JZK983092 KJG983092 KTC983092 LCY983092 LMU983092 LWQ983092 MGM983092 MQI983092 NAE983092 NKA983092 NTW983092 ODS983092 ONO983092 OXK983092 PHG983092 PRC983092 QAY983092 QKU983092 QUQ983092 REM983092 ROI983092 RYE983092 SIA983092 SRW983092 TBS983092 TLO983092 TVK983092 UFG983092 UPC983092 UYY983092 VIU983092 VSQ983092 WCM983092 WMI983092 WWE983092 UZN983094 JM25 TI25 ADE25 ANA25 AWW25 BGS25 BQO25 CAK25 CKG25 CUC25 DDY25 DNU25 DXQ25 EHM25 ERI25 FBE25 FLA25 FUW25 GES25 GOO25 GYK25 HIG25 HSC25 IBY25 ILU25 IVQ25 JFM25 JPI25 JZE25 KJA25 KSW25 LCS25 LMO25 LWK25 MGG25 MQC25 MZY25 NJU25 NTQ25 ODM25 ONI25 OXE25 PHA25 PQW25 QAS25 QKO25 QUK25 REG25 ROC25 RXY25 SHU25 SRQ25 TBM25 TLI25 TVE25 UFA25 UOW25 UYS25 VIO25 VSK25 WCG25 WMC25 WVY25 L65588 JM65588 TI65588 ADE65588 ANA65588 AWW65588 BGS65588 BQO65588 CAK65588 CKG65588 CUC65588 DDY65588 DNU65588 DXQ65588 EHM65588 ERI65588 FBE65588 FLA65588 FUW65588 GES65588 GOO65588 GYK65588 HIG65588 HSC65588 IBY65588 ILU65588 IVQ65588 JFM65588 JPI65588 JZE65588 KJA65588 KSW65588 LCS65588 LMO65588 LWK65588 MGG65588 MQC65588 MZY65588 NJU65588 NTQ65588 ODM65588 ONI65588 OXE65588 PHA65588 PQW65588 QAS65588 QKO65588 QUK65588 REG65588 ROC65588 RXY65588 SHU65588 SRQ65588 TBM65588 TLI65588 TVE65588 UFA65588 UOW65588 UYS65588 VIO65588 VSK65588 WCG65588 WMC65588 WVY65588 L131124 JM131124 TI131124 ADE131124 ANA131124 AWW131124 BGS131124 BQO131124 CAK131124 CKG131124 CUC131124 DDY131124 DNU131124 DXQ131124 EHM131124 ERI131124 FBE131124 FLA131124 FUW131124 GES131124 GOO131124 GYK131124 HIG131124 HSC131124 IBY131124 ILU131124 IVQ131124 JFM131124 JPI131124 JZE131124 KJA131124 KSW131124 LCS131124 LMO131124 LWK131124 MGG131124 MQC131124 MZY131124 NJU131124 NTQ131124 ODM131124 ONI131124 OXE131124 PHA131124 PQW131124 QAS131124 QKO131124 QUK131124 REG131124 ROC131124 RXY131124 SHU131124 SRQ131124 TBM131124 TLI131124 TVE131124 UFA131124 UOW131124 UYS131124 VIO131124 VSK131124 WCG131124 WMC131124 WVY131124 L196660 JM196660 TI196660 ADE196660 ANA196660 AWW196660 BGS196660 BQO196660 CAK196660 CKG196660 CUC196660 DDY196660 DNU196660 DXQ196660 EHM196660 ERI196660 FBE196660 FLA196660 FUW196660 GES196660 GOO196660 GYK196660 HIG196660 HSC196660 IBY196660 ILU196660 IVQ196660 JFM196660 JPI196660 JZE196660 KJA196660 KSW196660 LCS196660 LMO196660 LWK196660 MGG196660 MQC196660 MZY196660 NJU196660 NTQ196660 ODM196660 ONI196660 OXE196660 PHA196660 PQW196660 QAS196660 QKO196660 QUK196660 REG196660 ROC196660 RXY196660 SHU196660 SRQ196660 TBM196660 TLI196660 TVE196660 UFA196660 UOW196660 UYS196660 VIO196660 VSK196660 WCG196660 WMC196660 WVY196660 L262196 JM262196 TI262196 ADE262196 ANA262196 AWW262196 BGS262196 BQO262196 CAK262196 CKG262196 CUC262196 DDY262196 DNU262196 DXQ262196 EHM262196 ERI262196 FBE262196 FLA262196 FUW262196 GES262196 GOO262196 GYK262196 HIG262196 HSC262196 IBY262196 ILU262196 IVQ262196 JFM262196 JPI262196 JZE262196 KJA262196 KSW262196 LCS262196 LMO262196 LWK262196 MGG262196 MQC262196 MZY262196 NJU262196 NTQ262196 ODM262196 ONI262196 OXE262196 PHA262196 PQW262196 QAS262196 QKO262196 QUK262196 REG262196 ROC262196 RXY262196 SHU262196 SRQ262196 TBM262196 TLI262196 TVE262196 UFA262196 UOW262196 UYS262196 VIO262196 VSK262196 WCG262196 WMC262196 WVY262196 L327732 JM327732 TI327732 ADE327732 ANA327732 AWW327732 BGS327732 BQO327732 CAK327732 CKG327732 CUC327732 DDY327732 DNU327732 DXQ327732 EHM327732 ERI327732 FBE327732 FLA327732 FUW327732 GES327732 GOO327732 GYK327732 HIG327732 HSC327732 IBY327732 ILU327732 IVQ327732 JFM327732 JPI327732 JZE327732 KJA327732 KSW327732 LCS327732 LMO327732 LWK327732 MGG327732 MQC327732 MZY327732 NJU327732 NTQ327732 ODM327732 ONI327732 OXE327732 PHA327732 PQW327732 QAS327732 QKO327732 QUK327732 REG327732 ROC327732 RXY327732 SHU327732 SRQ327732 TBM327732 TLI327732 TVE327732 UFA327732 UOW327732 UYS327732 VIO327732 VSK327732 WCG327732 WMC327732 WVY327732 L393268 JM393268 TI393268 ADE393268 ANA393268 AWW393268 BGS393268 BQO393268 CAK393268 CKG393268 CUC393268 DDY393268 DNU393268 DXQ393268 EHM393268 ERI393268 FBE393268 FLA393268 FUW393268 GES393268 GOO393268 GYK393268 HIG393268 HSC393268 IBY393268 ILU393268 IVQ393268 JFM393268 JPI393268 JZE393268 KJA393268 KSW393268 LCS393268 LMO393268 LWK393268 MGG393268 MQC393268 MZY393268 NJU393268 NTQ393268 ODM393268 ONI393268 OXE393268 PHA393268 PQW393268 QAS393268 QKO393268 QUK393268 REG393268 ROC393268 RXY393268 SHU393268 SRQ393268 TBM393268 TLI393268 TVE393268 UFA393268 UOW393268 UYS393268 VIO393268 VSK393268 WCG393268 WMC393268 WVY393268 L458804 JM458804 TI458804 ADE458804 ANA458804 AWW458804 BGS458804 BQO458804 CAK458804 CKG458804 CUC458804 DDY458804 DNU458804 DXQ458804 EHM458804 ERI458804 FBE458804 FLA458804 FUW458804 GES458804 GOO458804 GYK458804 HIG458804 HSC458804 IBY458804 ILU458804 IVQ458804 JFM458804 JPI458804 JZE458804 KJA458804 KSW458804 LCS458804 LMO458804 LWK458804 MGG458804 MQC458804 MZY458804 NJU458804 NTQ458804 ODM458804 ONI458804 OXE458804 PHA458804 PQW458804 QAS458804 QKO458804 QUK458804 REG458804 ROC458804 RXY458804 SHU458804 SRQ458804 TBM458804 TLI458804 TVE458804 UFA458804 UOW458804 UYS458804 VIO458804 VSK458804 WCG458804 WMC458804 WVY458804 L524340 JM524340 TI524340 ADE524340 ANA524340 AWW524340 BGS524340 BQO524340 CAK524340 CKG524340 CUC524340 DDY524340 DNU524340 DXQ524340 EHM524340 ERI524340 FBE524340 FLA524340 FUW524340 GES524340 GOO524340 GYK524340 HIG524340 HSC524340 IBY524340 ILU524340 IVQ524340 JFM524340 JPI524340 JZE524340 KJA524340 KSW524340 LCS524340 LMO524340 LWK524340 MGG524340 MQC524340 MZY524340 NJU524340 NTQ524340 ODM524340 ONI524340 OXE524340 PHA524340 PQW524340 QAS524340 QKO524340 QUK524340 REG524340 ROC524340 RXY524340 SHU524340 SRQ524340 TBM524340 TLI524340 TVE524340 UFA524340 UOW524340 UYS524340 VIO524340 VSK524340 WCG524340 WMC524340 WVY524340 L589876 JM589876 TI589876 ADE589876 ANA589876 AWW589876 BGS589876 BQO589876 CAK589876 CKG589876 CUC589876 DDY589876 DNU589876 DXQ589876 EHM589876 ERI589876 FBE589876 FLA589876 FUW589876 GES589876 GOO589876 GYK589876 HIG589876 HSC589876 IBY589876 ILU589876 IVQ589876 JFM589876 JPI589876 JZE589876 KJA589876 KSW589876 LCS589876 LMO589876 LWK589876 MGG589876 MQC589876 MZY589876 NJU589876 NTQ589876 ODM589876 ONI589876 OXE589876 PHA589876 PQW589876 QAS589876 QKO589876 QUK589876 REG589876 ROC589876 RXY589876 SHU589876 SRQ589876 TBM589876 TLI589876 TVE589876 UFA589876 UOW589876 UYS589876 VIO589876 VSK589876 WCG589876 WMC589876 WVY589876 L655412 JM655412 TI655412 ADE655412 ANA655412 AWW655412 BGS655412 BQO655412 CAK655412 CKG655412 CUC655412 DDY655412 DNU655412 DXQ655412 EHM655412 ERI655412 FBE655412 FLA655412 FUW655412 GES655412 GOO655412 GYK655412 HIG655412 HSC655412 IBY655412 ILU655412 IVQ655412 JFM655412 JPI655412 JZE655412 KJA655412 KSW655412 LCS655412 LMO655412 LWK655412 MGG655412 MQC655412 MZY655412 NJU655412 NTQ655412 ODM655412 ONI655412 OXE655412 PHA655412 PQW655412 QAS655412 QKO655412 QUK655412 REG655412 ROC655412 RXY655412 SHU655412 SRQ655412 TBM655412 TLI655412 TVE655412 UFA655412 UOW655412 UYS655412 VIO655412 VSK655412 WCG655412 WMC655412 WVY655412 L720948 JM720948 TI720948 ADE720948 ANA720948 AWW720948 BGS720948 BQO720948 CAK720948 CKG720948 CUC720948 DDY720948 DNU720948 DXQ720948 EHM720948 ERI720948 FBE720948 FLA720948 FUW720948 GES720948 GOO720948 GYK720948 HIG720948 HSC720948 IBY720948 ILU720948 IVQ720948 JFM720948 JPI720948 JZE720948 KJA720948 KSW720948 LCS720948 LMO720948 LWK720948 MGG720948 MQC720948 MZY720948 NJU720948 NTQ720948 ODM720948 ONI720948 OXE720948 PHA720948 PQW720948 QAS720948 QKO720948 QUK720948 REG720948 ROC720948 RXY720948 SHU720948 SRQ720948 TBM720948 TLI720948 TVE720948 UFA720948 UOW720948 UYS720948 VIO720948 VSK720948 WCG720948 WMC720948 WVY720948 L786484 JM786484 TI786484 ADE786484 ANA786484 AWW786484 BGS786484 BQO786484 CAK786484 CKG786484 CUC786484 DDY786484 DNU786484 DXQ786484 EHM786484 ERI786484 FBE786484 FLA786484 FUW786484 GES786484 GOO786484 GYK786484 HIG786484 HSC786484 IBY786484 ILU786484 IVQ786484 JFM786484 JPI786484 JZE786484 KJA786484 KSW786484 LCS786484 LMO786484 LWK786484 MGG786484 MQC786484 MZY786484 NJU786484 NTQ786484 ODM786484 ONI786484 OXE786484 PHA786484 PQW786484 QAS786484 QKO786484 QUK786484 REG786484 ROC786484 RXY786484 SHU786484 SRQ786484 TBM786484 TLI786484 TVE786484 UFA786484 UOW786484 UYS786484 VIO786484 VSK786484 WCG786484 WMC786484 WVY786484 L852020 JM852020 TI852020 ADE852020 ANA852020 AWW852020 BGS852020 BQO852020 CAK852020 CKG852020 CUC852020 DDY852020 DNU852020 DXQ852020 EHM852020 ERI852020 FBE852020 FLA852020 FUW852020 GES852020 GOO852020 GYK852020 HIG852020 HSC852020 IBY852020 ILU852020 IVQ852020 JFM852020 JPI852020 JZE852020 KJA852020 KSW852020 LCS852020 LMO852020 LWK852020 MGG852020 MQC852020 MZY852020 NJU852020 NTQ852020 ODM852020 ONI852020 OXE852020 PHA852020 PQW852020 QAS852020 QKO852020 QUK852020 REG852020 ROC852020 RXY852020 SHU852020 SRQ852020 TBM852020 TLI852020 TVE852020 UFA852020 UOW852020 UYS852020 VIO852020 VSK852020 WCG852020 WMC852020 WVY852020 L917556 JM917556 TI917556 ADE917556 ANA917556 AWW917556 BGS917556 BQO917556 CAK917556 CKG917556 CUC917556 DDY917556 DNU917556 DXQ917556 EHM917556 ERI917556 FBE917556 FLA917556 FUW917556 GES917556 GOO917556 GYK917556 HIG917556 HSC917556 IBY917556 ILU917556 IVQ917556 JFM917556 JPI917556 JZE917556 KJA917556 KSW917556 LCS917556 LMO917556 LWK917556 MGG917556 MQC917556 MZY917556 NJU917556 NTQ917556 ODM917556 ONI917556 OXE917556 PHA917556 PQW917556 QAS917556 QKO917556 QUK917556 REG917556 ROC917556 RXY917556 SHU917556 SRQ917556 TBM917556 TLI917556 TVE917556 UFA917556 UOW917556 UYS917556 VIO917556 VSK917556 WCG917556 WMC917556 WVY917556 L983092 JM983092 TI983092 ADE983092 ANA983092 AWW983092 BGS983092 BQO983092 CAK983092 CKG983092 CUC983092 DDY983092 DNU983092 DXQ983092 EHM983092 ERI983092 FBE983092 FLA983092 FUW983092 GES983092 GOO983092 GYK983092 HIG983092 HSC983092 IBY983092 ILU983092 IVQ983092 JFM983092 JPI983092 JZE983092 KJA983092 KSW983092 LCS983092 LMO983092 LWK983092 MGG983092 MQC983092 MZY983092 NJU983092 NTQ983092 ODM983092 ONI983092 OXE983092 PHA983092 PQW983092 QAS983092 QKO983092 QUK983092 REG983092 ROC983092 RXY983092 SHU983092 SRQ983092 TBM983092 TLI983092 TVE983092 UFA983092 UOW983092 UYS983092 VIO983092 VSK983092 WCG983092 WMC983092 WVY983092 B23 JJ25 TF25 ADB25 AMX25 AWT25 BGP25 BQL25 CAH25 CKD25 CTZ25 DDV25 DNR25 DXN25 EHJ25 ERF25 FBB25 FKX25 FUT25 GEP25 GOL25 GYH25 HID25 HRZ25 IBV25 ILR25 IVN25 JFJ25 JPF25 JZB25 KIX25 KST25 LCP25 LML25 LWH25 MGD25 MPZ25 MZV25 NJR25 NTN25 ODJ25 ONF25 OXB25 PGX25 PQT25 QAP25 QKL25 QUH25 RED25 RNZ25 RXV25 SHR25 SRN25 TBJ25 TLF25 TVB25 UEX25 UOT25 UYP25 VIL25 VSH25 WCD25 WLZ25 WVV25 I65588 JJ65588 TF65588 ADB65588 AMX65588 AWT65588 BGP65588 BQL65588 CAH65588 CKD65588 CTZ65588 DDV65588 DNR65588 DXN65588 EHJ65588 ERF65588 FBB65588 FKX65588 FUT65588 GEP65588 GOL65588 GYH65588 HID65588 HRZ65588 IBV65588 ILR65588 IVN65588 JFJ65588 JPF65588 JZB65588 KIX65588 KST65588 LCP65588 LML65588 LWH65588 MGD65588 MPZ65588 MZV65588 NJR65588 NTN65588 ODJ65588 ONF65588 OXB65588 PGX65588 PQT65588 QAP65588 QKL65588 QUH65588 RED65588 RNZ65588 RXV65588 SHR65588 SRN65588 TBJ65588 TLF65588 TVB65588 UEX65588 UOT65588 UYP65588 VIL65588 VSH65588 WCD65588 WLZ65588 WVV65588 I131124 JJ131124 TF131124 ADB131124 AMX131124 AWT131124 BGP131124 BQL131124 CAH131124 CKD131124 CTZ131124 DDV131124 DNR131124 DXN131124 EHJ131124 ERF131124 FBB131124 FKX131124 FUT131124 GEP131124 GOL131124 GYH131124 HID131124 HRZ131124 IBV131124 ILR131124 IVN131124 JFJ131124 JPF131124 JZB131124 KIX131124 KST131124 LCP131124 LML131124 LWH131124 MGD131124 MPZ131124 MZV131124 NJR131124 NTN131124 ODJ131124 ONF131124 OXB131124 PGX131124 PQT131124 QAP131124 QKL131124 QUH131124 RED131124 RNZ131124 RXV131124 SHR131124 SRN131124 TBJ131124 TLF131124 TVB131124 UEX131124 UOT131124 UYP131124 VIL131124 VSH131124 WCD131124 WLZ131124 WVV131124 I196660 JJ196660 TF196660 ADB196660 AMX196660 AWT196660 BGP196660 BQL196660 CAH196660 CKD196660 CTZ196660 DDV196660 DNR196660 DXN196660 EHJ196660 ERF196660 FBB196660 FKX196660 FUT196660 GEP196660 GOL196660 GYH196660 HID196660 HRZ196660 IBV196660 ILR196660 IVN196660 JFJ196660 JPF196660 JZB196660 KIX196660 KST196660 LCP196660 LML196660 LWH196660 MGD196660 MPZ196660 MZV196660 NJR196660 NTN196660 ODJ196660 ONF196660 OXB196660 PGX196660 PQT196660 QAP196660 QKL196660 QUH196660 RED196660 RNZ196660 RXV196660 SHR196660 SRN196660 TBJ196660 TLF196660 TVB196660 UEX196660 UOT196660 UYP196660 VIL196660 VSH196660 WCD196660 WLZ196660 WVV196660 I262196 JJ262196 TF262196 ADB262196 AMX262196 AWT262196 BGP262196 BQL262196 CAH262196 CKD262196 CTZ262196 DDV262196 DNR262196 DXN262196 EHJ262196 ERF262196 FBB262196 FKX262196 FUT262196 GEP262196 GOL262196 GYH262196 HID262196 HRZ262196 IBV262196 ILR262196 IVN262196 JFJ262196 JPF262196 JZB262196 KIX262196 KST262196 LCP262196 LML262196 LWH262196 MGD262196 MPZ262196 MZV262196 NJR262196 NTN262196 ODJ262196 ONF262196 OXB262196 PGX262196 PQT262196 QAP262196 QKL262196 QUH262196 RED262196 RNZ262196 RXV262196 SHR262196 SRN262196 TBJ262196 TLF262196 TVB262196 UEX262196 UOT262196 UYP262196 VIL262196 VSH262196 WCD262196 WLZ262196 WVV262196 I327732 JJ327732 TF327732 ADB327732 AMX327732 AWT327732 BGP327732 BQL327732 CAH327732 CKD327732 CTZ327732 DDV327732 DNR327732 DXN327732 EHJ327732 ERF327732 FBB327732 FKX327732 FUT327732 GEP327732 GOL327732 GYH327732 HID327732 HRZ327732 IBV327732 ILR327732 IVN327732 JFJ327732 JPF327732 JZB327732 KIX327732 KST327732 LCP327732 LML327732 LWH327732 MGD327732 MPZ327732 MZV327732 NJR327732 NTN327732 ODJ327732 ONF327732 OXB327732 PGX327732 PQT327732 QAP327732 QKL327732 QUH327732 RED327732 RNZ327732 RXV327732 SHR327732 SRN327732 TBJ327732 TLF327732 TVB327732 UEX327732 UOT327732 UYP327732 VIL327732 VSH327732 WCD327732 WLZ327732 WVV327732 I393268 JJ393268 TF393268 ADB393268 AMX393268 AWT393268 BGP393268 BQL393268 CAH393268 CKD393268 CTZ393268 DDV393268 DNR393268 DXN393268 EHJ393268 ERF393268 FBB393268 FKX393268 FUT393268 GEP393268 GOL393268 GYH393268 HID393268 HRZ393268 IBV393268 ILR393268 IVN393268 JFJ393268 JPF393268 JZB393268 KIX393268 KST393268 LCP393268 LML393268 LWH393268 MGD393268 MPZ393268 MZV393268 NJR393268 NTN393268 ODJ393268 ONF393268 OXB393268 PGX393268 PQT393268 QAP393268 QKL393268 QUH393268 RED393268 RNZ393268 RXV393268 SHR393268 SRN393268 TBJ393268 TLF393268 TVB393268 UEX393268 UOT393268 UYP393268 VIL393268 VSH393268 WCD393268 WLZ393268 WVV393268 I458804 JJ458804 TF458804 ADB458804 AMX458804 AWT458804 BGP458804 BQL458804 CAH458804 CKD458804 CTZ458804 DDV458804 DNR458804 DXN458804 EHJ458804 ERF458804 FBB458804 FKX458804 FUT458804 GEP458804 GOL458804 GYH458804 HID458804 HRZ458804 IBV458804 ILR458804 IVN458804 JFJ458804 JPF458804 JZB458804 KIX458804 KST458804 LCP458804 LML458804 LWH458804 MGD458804 MPZ458804 MZV458804 NJR458804 NTN458804 ODJ458804 ONF458804 OXB458804 PGX458804 PQT458804 QAP458804 QKL458804 QUH458804 RED458804 RNZ458804 RXV458804 SHR458804 SRN458804 TBJ458804 TLF458804 TVB458804 UEX458804 UOT458804 UYP458804 VIL458804 VSH458804 WCD458804 WLZ458804 WVV458804 I524340 JJ524340 TF524340 ADB524340 AMX524340 AWT524340 BGP524340 BQL524340 CAH524340 CKD524340 CTZ524340 DDV524340 DNR524340 DXN524340 EHJ524340 ERF524340 FBB524340 FKX524340 FUT524340 GEP524340 GOL524340 GYH524340 HID524340 HRZ524340 IBV524340 ILR524340 IVN524340 JFJ524340 JPF524340 JZB524340 KIX524340 KST524340 LCP524340 LML524340 LWH524340 MGD524340 MPZ524340 MZV524340 NJR524340 NTN524340 ODJ524340 ONF524340 OXB524340 PGX524340 PQT524340 QAP524340 QKL524340 QUH524340 RED524340 RNZ524340 RXV524340 SHR524340 SRN524340 TBJ524340 TLF524340 TVB524340 UEX524340 UOT524340 UYP524340 VIL524340 VSH524340 WCD524340 WLZ524340 WVV524340 I589876 JJ589876 TF589876 ADB589876 AMX589876 AWT589876 BGP589876 BQL589876 CAH589876 CKD589876 CTZ589876 DDV589876 DNR589876 DXN589876 EHJ589876 ERF589876 FBB589876 FKX589876 FUT589876 GEP589876 GOL589876 GYH589876 HID589876 HRZ589876 IBV589876 ILR589876 IVN589876 JFJ589876 JPF589876 JZB589876 KIX589876 KST589876 LCP589876 LML589876 LWH589876 MGD589876 MPZ589876 MZV589876 NJR589876 NTN589876 ODJ589876 ONF589876 OXB589876 PGX589876 PQT589876 QAP589876 QKL589876 QUH589876 RED589876 RNZ589876 RXV589876 SHR589876 SRN589876 TBJ589876 TLF589876 TVB589876 UEX589876 UOT589876 UYP589876 VIL589876 VSH589876 WCD589876 WLZ589876 WVV589876 I655412 JJ655412 TF655412 ADB655412 AMX655412 AWT655412 BGP655412 BQL655412 CAH655412 CKD655412 CTZ655412 DDV655412 DNR655412 DXN655412 EHJ655412 ERF655412 FBB655412 FKX655412 FUT655412 GEP655412 GOL655412 GYH655412 HID655412 HRZ655412 IBV655412 ILR655412 IVN655412 JFJ655412 JPF655412 JZB655412 KIX655412 KST655412 LCP655412 LML655412 LWH655412 MGD655412 MPZ655412 MZV655412 NJR655412 NTN655412 ODJ655412 ONF655412 OXB655412 PGX655412 PQT655412 QAP655412 QKL655412 QUH655412 RED655412 RNZ655412 RXV655412 SHR655412 SRN655412 TBJ655412 TLF655412 TVB655412 UEX655412 UOT655412 UYP655412 VIL655412 VSH655412 WCD655412 WLZ655412 WVV655412 I720948 JJ720948 TF720948 ADB720948 AMX720948 AWT720948 BGP720948 BQL720948 CAH720948 CKD720948 CTZ720948 DDV720948 DNR720948 DXN720948 EHJ720948 ERF720948 FBB720948 FKX720948 FUT720948 GEP720948 GOL720948 GYH720948 HID720948 HRZ720948 IBV720948 ILR720948 IVN720948 JFJ720948 JPF720948 JZB720948 KIX720948 KST720948 LCP720948 LML720948 LWH720948 MGD720948 MPZ720948 MZV720948 NJR720948 NTN720948 ODJ720948 ONF720948 OXB720948 PGX720948 PQT720948 QAP720948 QKL720948 QUH720948 RED720948 RNZ720948 RXV720948 SHR720948 SRN720948 TBJ720948 TLF720948 TVB720948 UEX720948 UOT720948 UYP720948 VIL720948 VSH720948 WCD720948 WLZ720948 WVV720948 I786484 JJ786484 TF786484 ADB786484 AMX786484 AWT786484 BGP786484 BQL786484 CAH786484 CKD786484 CTZ786484 DDV786484 DNR786484 DXN786484 EHJ786484 ERF786484 FBB786484 FKX786484 FUT786484 GEP786484 GOL786484 GYH786484 HID786484 HRZ786484 IBV786484 ILR786484 IVN786484 JFJ786484 JPF786484 JZB786484 KIX786484 KST786484 LCP786484 LML786484 LWH786484 MGD786484 MPZ786484 MZV786484 NJR786484 NTN786484 ODJ786484 ONF786484 OXB786484 PGX786484 PQT786484 QAP786484 QKL786484 QUH786484 RED786484 RNZ786484 RXV786484 SHR786484 SRN786484 TBJ786484 TLF786484 TVB786484 UEX786484 UOT786484 UYP786484 VIL786484 VSH786484 WCD786484 WLZ786484 WVV786484 I852020 JJ852020 TF852020 ADB852020 AMX852020 AWT852020 BGP852020 BQL852020 CAH852020 CKD852020 CTZ852020 DDV852020 DNR852020 DXN852020 EHJ852020 ERF852020 FBB852020 FKX852020 FUT852020 GEP852020 GOL852020 GYH852020 HID852020 HRZ852020 IBV852020 ILR852020 IVN852020 JFJ852020 JPF852020 JZB852020 KIX852020 KST852020 LCP852020 LML852020 LWH852020 MGD852020 MPZ852020 MZV852020 NJR852020 NTN852020 ODJ852020 ONF852020 OXB852020 PGX852020 PQT852020 QAP852020 QKL852020 QUH852020 RED852020 RNZ852020 RXV852020 SHR852020 SRN852020 TBJ852020 TLF852020 TVB852020 UEX852020 UOT852020 UYP852020 VIL852020 VSH852020 WCD852020 WLZ852020 WVV852020 I917556 JJ917556 TF917556 ADB917556 AMX917556 AWT917556 BGP917556 BQL917556 CAH917556 CKD917556 CTZ917556 DDV917556 DNR917556 DXN917556 EHJ917556 ERF917556 FBB917556 FKX917556 FUT917556 GEP917556 GOL917556 GYH917556 HID917556 HRZ917556 IBV917556 ILR917556 IVN917556 JFJ917556 JPF917556 JZB917556 KIX917556 KST917556 LCP917556 LML917556 LWH917556 MGD917556 MPZ917556 MZV917556 NJR917556 NTN917556 ODJ917556 ONF917556 OXB917556 PGX917556 PQT917556 QAP917556 QKL917556 QUH917556 RED917556 RNZ917556 RXV917556 SHR917556 SRN917556 TBJ917556 TLF917556 TVB917556 UEX917556 UOT917556 UYP917556 VIL917556 VSH917556 WCD917556 WLZ917556 WVV917556 I983092 JJ983092 TF983092 ADB983092 AMX983092 AWT983092 BGP983092 BQL983092 CAH983092 CKD983092 CTZ983092 DDV983092 DNR983092 DXN983092 EHJ983092 ERF983092 FBB983092 FKX983092 FUT983092 GEP983092 GOL983092 GYH983092 HID983092 HRZ983092 IBV983092 ILR983092 IVN983092 JFJ983092 JPF983092 JZB983092 KIX983092 KST983092 LCP983092 LML983092 LWH983092 MGD983092 MPZ983092 MZV983092 NJR983092 NTN983092 ODJ983092 ONF983092 OXB983092 PGX983092 PQT983092 QAP983092 QKL983092 QUH983092 RED983092 RNZ983092 RXV983092 SHR983092 SRN983092 TBJ983092 TLF983092 TVB983092 UEX983092 UOT983092 UYP983092 VIL983092 VSH983092 WCD983092 WLZ983092 WVV983092 TVZ983094 JM23 TI23 ADE23 ANA23 AWW23 BGS23 BQO23 CAK23 CKG23 CUC23 DDY23 DNU23 DXQ23 EHM23 ERI23 FBE23 FLA23 FUW23 GES23 GOO23 GYK23 HIG23 HSC23 IBY23 ILU23 IVQ23 JFM23 JPI23 JZE23 KJA23 KSW23 LCS23 LMO23 LWK23 MGG23 MQC23 MZY23 NJU23 NTQ23 ODM23 ONI23 OXE23 PHA23 PQW23 QAS23 QKO23 QUK23 REG23 ROC23 RXY23 SHU23 SRQ23 TBM23 TLI23 TVE23 UFA23 UOW23 UYS23 VIO23 VSK23 WCG23 WMC23 WVY23 L65586 JM65586 TI65586 ADE65586 ANA65586 AWW65586 BGS65586 BQO65586 CAK65586 CKG65586 CUC65586 DDY65586 DNU65586 DXQ65586 EHM65586 ERI65586 FBE65586 FLA65586 FUW65586 GES65586 GOO65586 GYK65586 HIG65586 HSC65586 IBY65586 ILU65586 IVQ65586 JFM65586 JPI65586 JZE65586 KJA65586 KSW65586 LCS65586 LMO65586 LWK65586 MGG65586 MQC65586 MZY65586 NJU65586 NTQ65586 ODM65586 ONI65586 OXE65586 PHA65586 PQW65586 QAS65586 QKO65586 QUK65586 REG65586 ROC65586 RXY65586 SHU65586 SRQ65586 TBM65586 TLI65586 TVE65586 UFA65586 UOW65586 UYS65586 VIO65586 VSK65586 WCG65586 WMC65586 WVY65586 L131122 JM131122 TI131122 ADE131122 ANA131122 AWW131122 BGS131122 BQO131122 CAK131122 CKG131122 CUC131122 DDY131122 DNU131122 DXQ131122 EHM131122 ERI131122 FBE131122 FLA131122 FUW131122 GES131122 GOO131122 GYK131122 HIG131122 HSC131122 IBY131122 ILU131122 IVQ131122 JFM131122 JPI131122 JZE131122 KJA131122 KSW131122 LCS131122 LMO131122 LWK131122 MGG131122 MQC131122 MZY131122 NJU131122 NTQ131122 ODM131122 ONI131122 OXE131122 PHA131122 PQW131122 QAS131122 QKO131122 QUK131122 REG131122 ROC131122 RXY131122 SHU131122 SRQ131122 TBM131122 TLI131122 TVE131122 UFA131122 UOW131122 UYS131122 VIO131122 VSK131122 WCG131122 WMC131122 WVY131122 L196658 JM196658 TI196658 ADE196658 ANA196658 AWW196658 BGS196658 BQO196658 CAK196658 CKG196658 CUC196658 DDY196658 DNU196658 DXQ196658 EHM196658 ERI196658 FBE196658 FLA196658 FUW196658 GES196658 GOO196658 GYK196658 HIG196658 HSC196658 IBY196658 ILU196658 IVQ196658 JFM196658 JPI196658 JZE196658 KJA196658 KSW196658 LCS196658 LMO196658 LWK196658 MGG196658 MQC196658 MZY196658 NJU196658 NTQ196658 ODM196658 ONI196658 OXE196658 PHA196658 PQW196658 QAS196658 QKO196658 QUK196658 REG196658 ROC196658 RXY196658 SHU196658 SRQ196658 TBM196658 TLI196658 TVE196658 UFA196658 UOW196658 UYS196658 VIO196658 VSK196658 WCG196658 WMC196658 WVY196658 L262194 JM262194 TI262194 ADE262194 ANA262194 AWW262194 BGS262194 BQO262194 CAK262194 CKG262194 CUC262194 DDY262194 DNU262194 DXQ262194 EHM262194 ERI262194 FBE262194 FLA262194 FUW262194 GES262194 GOO262194 GYK262194 HIG262194 HSC262194 IBY262194 ILU262194 IVQ262194 JFM262194 JPI262194 JZE262194 KJA262194 KSW262194 LCS262194 LMO262194 LWK262194 MGG262194 MQC262194 MZY262194 NJU262194 NTQ262194 ODM262194 ONI262194 OXE262194 PHA262194 PQW262194 QAS262194 QKO262194 QUK262194 REG262194 ROC262194 RXY262194 SHU262194 SRQ262194 TBM262194 TLI262194 TVE262194 UFA262194 UOW262194 UYS262194 VIO262194 VSK262194 WCG262194 WMC262194 WVY262194 L327730 JM327730 TI327730 ADE327730 ANA327730 AWW327730 BGS327730 BQO327730 CAK327730 CKG327730 CUC327730 DDY327730 DNU327730 DXQ327730 EHM327730 ERI327730 FBE327730 FLA327730 FUW327730 GES327730 GOO327730 GYK327730 HIG327730 HSC327730 IBY327730 ILU327730 IVQ327730 JFM327730 JPI327730 JZE327730 KJA327730 KSW327730 LCS327730 LMO327730 LWK327730 MGG327730 MQC327730 MZY327730 NJU327730 NTQ327730 ODM327730 ONI327730 OXE327730 PHA327730 PQW327730 QAS327730 QKO327730 QUK327730 REG327730 ROC327730 RXY327730 SHU327730 SRQ327730 TBM327730 TLI327730 TVE327730 UFA327730 UOW327730 UYS327730 VIO327730 VSK327730 WCG327730 WMC327730 WVY327730 L393266 JM393266 TI393266 ADE393266 ANA393266 AWW393266 BGS393266 BQO393266 CAK393266 CKG393266 CUC393266 DDY393266 DNU393266 DXQ393266 EHM393266 ERI393266 FBE393266 FLA393266 FUW393266 GES393266 GOO393266 GYK393266 HIG393266 HSC393266 IBY393266 ILU393266 IVQ393266 JFM393266 JPI393266 JZE393266 KJA393266 KSW393266 LCS393266 LMO393266 LWK393266 MGG393266 MQC393266 MZY393266 NJU393266 NTQ393266 ODM393266 ONI393266 OXE393266 PHA393266 PQW393266 QAS393266 QKO393266 QUK393266 REG393266 ROC393266 RXY393266 SHU393266 SRQ393266 TBM393266 TLI393266 TVE393266 UFA393266 UOW393266 UYS393266 VIO393266 VSK393266 WCG393266 WMC393266 WVY393266 L458802 JM458802 TI458802 ADE458802 ANA458802 AWW458802 BGS458802 BQO458802 CAK458802 CKG458802 CUC458802 DDY458802 DNU458802 DXQ458802 EHM458802 ERI458802 FBE458802 FLA458802 FUW458802 GES458802 GOO458802 GYK458802 HIG458802 HSC458802 IBY458802 ILU458802 IVQ458802 JFM458802 JPI458802 JZE458802 KJA458802 KSW458802 LCS458802 LMO458802 LWK458802 MGG458802 MQC458802 MZY458802 NJU458802 NTQ458802 ODM458802 ONI458802 OXE458802 PHA458802 PQW458802 QAS458802 QKO458802 QUK458802 REG458802 ROC458802 RXY458802 SHU458802 SRQ458802 TBM458802 TLI458802 TVE458802 UFA458802 UOW458802 UYS458802 VIO458802 VSK458802 WCG458802 WMC458802 WVY458802 L524338 JM524338 TI524338 ADE524338 ANA524338 AWW524338 BGS524338 BQO524338 CAK524338 CKG524338 CUC524338 DDY524338 DNU524338 DXQ524338 EHM524338 ERI524338 FBE524338 FLA524338 FUW524338 GES524338 GOO524338 GYK524338 HIG524338 HSC524338 IBY524338 ILU524338 IVQ524338 JFM524338 JPI524338 JZE524338 KJA524338 KSW524338 LCS524338 LMO524338 LWK524338 MGG524338 MQC524338 MZY524338 NJU524338 NTQ524338 ODM524338 ONI524338 OXE524338 PHA524338 PQW524338 QAS524338 QKO524338 QUK524338 REG524338 ROC524338 RXY524338 SHU524338 SRQ524338 TBM524338 TLI524338 TVE524338 UFA524338 UOW524338 UYS524338 VIO524338 VSK524338 WCG524338 WMC524338 WVY524338 L589874 JM589874 TI589874 ADE589874 ANA589874 AWW589874 BGS589874 BQO589874 CAK589874 CKG589874 CUC589874 DDY589874 DNU589874 DXQ589874 EHM589874 ERI589874 FBE589874 FLA589874 FUW589874 GES589874 GOO589874 GYK589874 HIG589874 HSC589874 IBY589874 ILU589874 IVQ589874 JFM589874 JPI589874 JZE589874 KJA589874 KSW589874 LCS589874 LMO589874 LWK589874 MGG589874 MQC589874 MZY589874 NJU589874 NTQ589874 ODM589874 ONI589874 OXE589874 PHA589874 PQW589874 QAS589874 QKO589874 QUK589874 REG589874 ROC589874 RXY589874 SHU589874 SRQ589874 TBM589874 TLI589874 TVE589874 UFA589874 UOW589874 UYS589874 VIO589874 VSK589874 WCG589874 WMC589874 WVY589874 L655410 JM655410 TI655410 ADE655410 ANA655410 AWW655410 BGS655410 BQO655410 CAK655410 CKG655410 CUC655410 DDY655410 DNU655410 DXQ655410 EHM655410 ERI655410 FBE655410 FLA655410 FUW655410 GES655410 GOO655410 GYK655410 HIG655410 HSC655410 IBY655410 ILU655410 IVQ655410 JFM655410 JPI655410 JZE655410 KJA655410 KSW655410 LCS655410 LMO655410 LWK655410 MGG655410 MQC655410 MZY655410 NJU655410 NTQ655410 ODM655410 ONI655410 OXE655410 PHA655410 PQW655410 QAS655410 QKO655410 QUK655410 REG655410 ROC655410 RXY655410 SHU655410 SRQ655410 TBM655410 TLI655410 TVE655410 UFA655410 UOW655410 UYS655410 VIO655410 VSK655410 WCG655410 WMC655410 WVY655410 L720946 JM720946 TI720946 ADE720946 ANA720946 AWW720946 BGS720946 BQO720946 CAK720946 CKG720946 CUC720946 DDY720946 DNU720946 DXQ720946 EHM720946 ERI720946 FBE720946 FLA720946 FUW720946 GES720946 GOO720946 GYK720946 HIG720946 HSC720946 IBY720946 ILU720946 IVQ720946 JFM720946 JPI720946 JZE720946 KJA720946 KSW720946 LCS720946 LMO720946 LWK720946 MGG720946 MQC720946 MZY720946 NJU720946 NTQ720946 ODM720946 ONI720946 OXE720946 PHA720946 PQW720946 QAS720946 QKO720946 QUK720946 REG720946 ROC720946 RXY720946 SHU720946 SRQ720946 TBM720946 TLI720946 TVE720946 UFA720946 UOW720946 UYS720946 VIO720946 VSK720946 WCG720946 WMC720946 WVY720946 L786482 JM786482 TI786482 ADE786482 ANA786482 AWW786482 BGS786482 BQO786482 CAK786482 CKG786482 CUC786482 DDY786482 DNU786482 DXQ786482 EHM786482 ERI786482 FBE786482 FLA786482 FUW786482 GES786482 GOO786482 GYK786482 HIG786482 HSC786482 IBY786482 ILU786482 IVQ786482 JFM786482 JPI786482 JZE786482 KJA786482 KSW786482 LCS786482 LMO786482 LWK786482 MGG786482 MQC786482 MZY786482 NJU786482 NTQ786482 ODM786482 ONI786482 OXE786482 PHA786482 PQW786482 QAS786482 QKO786482 QUK786482 REG786482 ROC786482 RXY786482 SHU786482 SRQ786482 TBM786482 TLI786482 TVE786482 UFA786482 UOW786482 UYS786482 VIO786482 VSK786482 WCG786482 WMC786482 WVY786482 L852018 JM852018 TI852018 ADE852018 ANA852018 AWW852018 BGS852018 BQO852018 CAK852018 CKG852018 CUC852018 DDY852018 DNU852018 DXQ852018 EHM852018 ERI852018 FBE852018 FLA852018 FUW852018 GES852018 GOO852018 GYK852018 HIG852018 HSC852018 IBY852018 ILU852018 IVQ852018 JFM852018 JPI852018 JZE852018 KJA852018 KSW852018 LCS852018 LMO852018 LWK852018 MGG852018 MQC852018 MZY852018 NJU852018 NTQ852018 ODM852018 ONI852018 OXE852018 PHA852018 PQW852018 QAS852018 QKO852018 QUK852018 REG852018 ROC852018 RXY852018 SHU852018 SRQ852018 TBM852018 TLI852018 TVE852018 UFA852018 UOW852018 UYS852018 VIO852018 VSK852018 WCG852018 WMC852018 WVY852018 L917554 JM917554 TI917554 ADE917554 ANA917554 AWW917554 BGS917554 BQO917554 CAK917554 CKG917554 CUC917554 DDY917554 DNU917554 DXQ917554 EHM917554 ERI917554 FBE917554 FLA917554 FUW917554 GES917554 GOO917554 GYK917554 HIG917554 HSC917554 IBY917554 ILU917554 IVQ917554 JFM917554 JPI917554 JZE917554 KJA917554 KSW917554 LCS917554 LMO917554 LWK917554 MGG917554 MQC917554 MZY917554 NJU917554 NTQ917554 ODM917554 ONI917554 OXE917554 PHA917554 PQW917554 QAS917554 QKO917554 QUK917554 REG917554 ROC917554 RXY917554 SHU917554 SRQ917554 TBM917554 TLI917554 TVE917554 UFA917554 UOW917554 UYS917554 VIO917554 VSK917554 WCG917554 WMC917554 WVY917554 L983090 JM983090 TI983090 ADE983090 ANA983090 AWW983090 BGS983090 BQO983090 CAK983090 CKG983090 CUC983090 DDY983090 DNU983090 DXQ983090 EHM983090 ERI983090 FBE983090 FLA983090 FUW983090 GES983090 GOO983090 GYK983090 HIG983090 HSC983090 IBY983090 ILU983090 IVQ983090 JFM983090 JPI983090 JZE983090 KJA983090 KSW983090 LCS983090 LMO983090 LWK983090 MGG983090 MQC983090 MZY983090 NJU983090 NTQ983090 ODM983090 ONI983090 OXE983090 PHA983090 PQW983090 QAS983090 QKO983090 QUK983090 REG983090 ROC983090 RXY983090 SHU983090 SRQ983090 TBM983090 TLI983090 TVE983090 UFA983090 UOW983090 UYS983090 VIO983090 VSK983090 WCG983090 WMC983090 WVY983090 NUL983094 JJ23 TF23 ADB23 AMX23 AWT23 BGP23 BQL23 CAH23 CKD23 CTZ23 DDV23 DNR23 DXN23 EHJ23 ERF23 FBB23 FKX23 FUT23 GEP23 GOL23 GYH23 HID23 HRZ23 IBV23 ILR23 IVN23 JFJ23 JPF23 JZB23 KIX23 KST23 LCP23 LML23 LWH23 MGD23 MPZ23 MZV23 NJR23 NTN23 ODJ23 ONF23 OXB23 PGX23 PQT23 QAP23 QKL23 QUH23 RED23 RNZ23 RXV23 SHR23 SRN23 TBJ23 TLF23 TVB23 UEX23 UOT23 UYP23 VIL23 VSH23 WCD23 WLZ23 WVV23 I65586 JJ65586 TF65586 ADB65586 AMX65586 AWT65586 BGP65586 BQL65586 CAH65586 CKD65586 CTZ65586 DDV65586 DNR65586 DXN65586 EHJ65586 ERF65586 FBB65586 FKX65586 FUT65586 GEP65586 GOL65586 GYH65586 HID65586 HRZ65586 IBV65586 ILR65586 IVN65586 JFJ65586 JPF65586 JZB65586 KIX65586 KST65586 LCP65586 LML65586 LWH65586 MGD65586 MPZ65586 MZV65586 NJR65586 NTN65586 ODJ65586 ONF65586 OXB65586 PGX65586 PQT65586 QAP65586 QKL65586 QUH65586 RED65586 RNZ65586 RXV65586 SHR65586 SRN65586 TBJ65586 TLF65586 TVB65586 UEX65586 UOT65586 UYP65586 VIL65586 VSH65586 WCD65586 WLZ65586 WVV65586 I131122 JJ131122 TF131122 ADB131122 AMX131122 AWT131122 BGP131122 BQL131122 CAH131122 CKD131122 CTZ131122 DDV131122 DNR131122 DXN131122 EHJ131122 ERF131122 FBB131122 FKX131122 FUT131122 GEP131122 GOL131122 GYH131122 HID131122 HRZ131122 IBV131122 ILR131122 IVN131122 JFJ131122 JPF131122 JZB131122 KIX131122 KST131122 LCP131122 LML131122 LWH131122 MGD131122 MPZ131122 MZV131122 NJR131122 NTN131122 ODJ131122 ONF131122 OXB131122 PGX131122 PQT131122 QAP131122 QKL131122 QUH131122 RED131122 RNZ131122 RXV131122 SHR131122 SRN131122 TBJ131122 TLF131122 TVB131122 UEX131122 UOT131122 UYP131122 VIL131122 VSH131122 WCD131122 WLZ131122 WVV131122 I196658 JJ196658 TF196658 ADB196658 AMX196658 AWT196658 BGP196658 BQL196658 CAH196658 CKD196658 CTZ196658 DDV196658 DNR196658 DXN196658 EHJ196658 ERF196658 FBB196658 FKX196658 FUT196658 GEP196658 GOL196658 GYH196658 HID196658 HRZ196658 IBV196658 ILR196658 IVN196658 JFJ196658 JPF196658 JZB196658 KIX196658 KST196658 LCP196658 LML196658 LWH196658 MGD196658 MPZ196658 MZV196658 NJR196658 NTN196658 ODJ196658 ONF196658 OXB196658 PGX196658 PQT196658 QAP196658 QKL196658 QUH196658 RED196658 RNZ196658 RXV196658 SHR196658 SRN196658 TBJ196658 TLF196658 TVB196658 UEX196658 UOT196658 UYP196658 VIL196658 VSH196658 WCD196658 WLZ196658 WVV196658 I262194 JJ262194 TF262194 ADB262194 AMX262194 AWT262194 BGP262194 BQL262194 CAH262194 CKD262194 CTZ262194 DDV262194 DNR262194 DXN262194 EHJ262194 ERF262194 FBB262194 FKX262194 FUT262194 GEP262194 GOL262194 GYH262194 HID262194 HRZ262194 IBV262194 ILR262194 IVN262194 JFJ262194 JPF262194 JZB262194 KIX262194 KST262194 LCP262194 LML262194 LWH262194 MGD262194 MPZ262194 MZV262194 NJR262194 NTN262194 ODJ262194 ONF262194 OXB262194 PGX262194 PQT262194 QAP262194 QKL262194 QUH262194 RED262194 RNZ262194 RXV262194 SHR262194 SRN262194 TBJ262194 TLF262194 TVB262194 UEX262194 UOT262194 UYP262194 VIL262194 VSH262194 WCD262194 WLZ262194 WVV262194 I327730 JJ327730 TF327730 ADB327730 AMX327730 AWT327730 BGP327730 BQL327730 CAH327730 CKD327730 CTZ327730 DDV327730 DNR327730 DXN327730 EHJ327730 ERF327730 FBB327730 FKX327730 FUT327730 GEP327730 GOL327730 GYH327730 HID327730 HRZ327730 IBV327730 ILR327730 IVN327730 JFJ327730 JPF327730 JZB327730 KIX327730 KST327730 LCP327730 LML327730 LWH327730 MGD327730 MPZ327730 MZV327730 NJR327730 NTN327730 ODJ327730 ONF327730 OXB327730 PGX327730 PQT327730 QAP327730 QKL327730 QUH327730 RED327730 RNZ327730 RXV327730 SHR327730 SRN327730 TBJ327730 TLF327730 TVB327730 UEX327730 UOT327730 UYP327730 VIL327730 VSH327730 WCD327730 WLZ327730 WVV327730 I393266 JJ393266 TF393266 ADB393266 AMX393266 AWT393266 BGP393266 BQL393266 CAH393266 CKD393266 CTZ393266 DDV393266 DNR393266 DXN393266 EHJ393266 ERF393266 FBB393266 FKX393266 FUT393266 GEP393266 GOL393266 GYH393266 HID393266 HRZ393266 IBV393266 ILR393266 IVN393266 JFJ393266 JPF393266 JZB393266 KIX393266 KST393266 LCP393266 LML393266 LWH393266 MGD393266 MPZ393266 MZV393266 NJR393266 NTN393266 ODJ393266 ONF393266 OXB393266 PGX393266 PQT393266 QAP393266 QKL393266 QUH393266 RED393266 RNZ393266 RXV393266 SHR393266 SRN393266 TBJ393266 TLF393266 TVB393266 UEX393266 UOT393266 UYP393266 VIL393266 VSH393266 WCD393266 WLZ393266 WVV393266 I458802 JJ458802 TF458802 ADB458802 AMX458802 AWT458802 BGP458802 BQL458802 CAH458802 CKD458802 CTZ458802 DDV458802 DNR458802 DXN458802 EHJ458802 ERF458802 FBB458802 FKX458802 FUT458802 GEP458802 GOL458802 GYH458802 HID458802 HRZ458802 IBV458802 ILR458802 IVN458802 JFJ458802 JPF458802 JZB458802 KIX458802 KST458802 LCP458802 LML458802 LWH458802 MGD458802 MPZ458802 MZV458802 NJR458802 NTN458802 ODJ458802 ONF458802 OXB458802 PGX458802 PQT458802 QAP458802 QKL458802 QUH458802 RED458802 RNZ458802 RXV458802 SHR458802 SRN458802 TBJ458802 TLF458802 TVB458802 UEX458802 UOT458802 UYP458802 VIL458802 VSH458802 WCD458802 WLZ458802 WVV458802 I524338 JJ524338 TF524338 ADB524338 AMX524338 AWT524338 BGP524338 BQL524338 CAH524338 CKD524338 CTZ524338 DDV524338 DNR524338 DXN524338 EHJ524338 ERF524338 FBB524338 FKX524338 FUT524338 GEP524338 GOL524338 GYH524338 HID524338 HRZ524338 IBV524338 ILR524338 IVN524338 JFJ524338 JPF524338 JZB524338 KIX524338 KST524338 LCP524338 LML524338 LWH524338 MGD524338 MPZ524338 MZV524338 NJR524338 NTN524338 ODJ524338 ONF524338 OXB524338 PGX524338 PQT524338 QAP524338 QKL524338 QUH524338 RED524338 RNZ524338 RXV524338 SHR524338 SRN524338 TBJ524338 TLF524338 TVB524338 UEX524338 UOT524338 UYP524338 VIL524338 VSH524338 WCD524338 WLZ524338 WVV524338 I589874 JJ589874 TF589874 ADB589874 AMX589874 AWT589874 BGP589874 BQL589874 CAH589874 CKD589874 CTZ589874 DDV589874 DNR589874 DXN589874 EHJ589874 ERF589874 FBB589874 FKX589874 FUT589874 GEP589874 GOL589874 GYH589874 HID589874 HRZ589874 IBV589874 ILR589874 IVN589874 JFJ589874 JPF589874 JZB589874 KIX589874 KST589874 LCP589874 LML589874 LWH589874 MGD589874 MPZ589874 MZV589874 NJR589874 NTN589874 ODJ589874 ONF589874 OXB589874 PGX589874 PQT589874 QAP589874 QKL589874 QUH589874 RED589874 RNZ589874 RXV589874 SHR589874 SRN589874 TBJ589874 TLF589874 TVB589874 UEX589874 UOT589874 UYP589874 VIL589874 VSH589874 WCD589874 WLZ589874 WVV589874 I655410 JJ655410 TF655410 ADB655410 AMX655410 AWT655410 BGP655410 BQL655410 CAH655410 CKD655410 CTZ655410 DDV655410 DNR655410 DXN655410 EHJ655410 ERF655410 FBB655410 FKX655410 FUT655410 GEP655410 GOL655410 GYH655410 HID655410 HRZ655410 IBV655410 ILR655410 IVN655410 JFJ655410 JPF655410 JZB655410 KIX655410 KST655410 LCP655410 LML655410 LWH655410 MGD655410 MPZ655410 MZV655410 NJR655410 NTN655410 ODJ655410 ONF655410 OXB655410 PGX655410 PQT655410 QAP655410 QKL655410 QUH655410 RED655410 RNZ655410 RXV655410 SHR655410 SRN655410 TBJ655410 TLF655410 TVB655410 UEX655410 UOT655410 UYP655410 VIL655410 VSH655410 WCD655410 WLZ655410 WVV655410 I720946 JJ720946 TF720946 ADB720946 AMX720946 AWT720946 BGP720946 BQL720946 CAH720946 CKD720946 CTZ720946 DDV720946 DNR720946 DXN720946 EHJ720946 ERF720946 FBB720946 FKX720946 FUT720946 GEP720946 GOL720946 GYH720946 HID720946 HRZ720946 IBV720946 ILR720946 IVN720946 JFJ720946 JPF720946 JZB720946 KIX720946 KST720946 LCP720946 LML720946 LWH720946 MGD720946 MPZ720946 MZV720946 NJR720946 NTN720946 ODJ720946 ONF720946 OXB720946 PGX720946 PQT720946 QAP720946 QKL720946 QUH720946 RED720946 RNZ720946 RXV720946 SHR720946 SRN720946 TBJ720946 TLF720946 TVB720946 UEX720946 UOT720946 UYP720946 VIL720946 VSH720946 WCD720946 WLZ720946 WVV720946 I786482 JJ786482 TF786482 ADB786482 AMX786482 AWT786482 BGP786482 BQL786482 CAH786482 CKD786482 CTZ786482 DDV786482 DNR786482 DXN786482 EHJ786482 ERF786482 FBB786482 FKX786482 FUT786482 GEP786482 GOL786482 GYH786482 HID786482 HRZ786482 IBV786482 ILR786482 IVN786482 JFJ786482 JPF786482 JZB786482 KIX786482 KST786482 LCP786482 LML786482 LWH786482 MGD786482 MPZ786482 MZV786482 NJR786482 NTN786482 ODJ786482 ONF786482 OXB786482 PGX786482 PQT786482 QAP786482 QKL786482 QUH786482 RED786482 RNZ786482 RXV786482 SHR786482 SRN786482 TBJ786482 TLF786482 TVB786482 UEX786482 UOT786482 UYP786482 VIL786482 VSH786482 WCD786482 WLZ786482 WVV786482 I852018 JJ852018 TF852018 ADB852018 AMX852018 AWT852018 BGP852018 BQL852018 CAH852018 CKD852018 CTZ852018 DDV852018 DNR852018 DXN852018 EHJ852018 ERF852018 FBB852018 FKX852018 FUT852018 GEP852018 GOL852018 GYH852018 HID852018 HRZ852018 IBV852018 ILR852018 IVN852018 JFJ852018 JPF852018 JZB852018 KIX852018 KST852018 LCP852018 LML852018 LWH852018 MGD852018 MPZ852018 MZV852018 NJR852018 NTN852018 ODJ852018 ONF852018 OXB852018 PGX852018 PQT852018 QAP852018 QKL852018 QUH852018 RED852018 RNZ852018 RXV852018 SHR852018 SRN852018 TBJ852018 TLF852018 TVB852018 UEX852018 UOT852018 UYP852018 VIL852018 VSH852018 WCD852018 WLZ852018 WVV852018 I917554 JJ917554 TF917554 ADB917554 AMX917554 AWT917554 BGP917554 BQL917554 CAH917554 CKD917554 CTZ917554 DDV917554 DNR917554 DXN917554 EHJ917554 ERF917554 FBB917554 FKX917554 FUT917554 GEP917554 GOL917554 GYH917554 HID917554 HRZ917554 IBV917554 ILR917554 IVN917554 JFJ917554 JPF917554 JZB917554 KIX917554 KST917554 LCP917554 LML917554 LWH917554 MGD917554 MPZ917554 MZV917554 NJR917554 NTN917554 ODJ917554 ONF917554 OXB917554 PGX917554 PQT917554 QAP917554 QKL917554 QUH917554 RED917554 RNZ917554 RXV917554 SHR917554 SRN917554 TBJ917554 TLF917554 TVB917554 UEX917554 UOT917554 UYP917554 VIL917554 VSH917554 WCD917554 WLZ917554 WVV917554 I983090 JJ983090 TF983090 ADB983090 AMX983090 AWT983090 BGP983090 BQL983090 CAH983090 CKD983090 CTZ983090 DDV983090 DNR983090 DXN983090 EHJ983090 ERF983090 FBB983090 FKX983090 FUT983090 GEP983090 GOL983090 GYH983090 HID983090 HRZ983090 IBV983090 ILR983090 IVN983090 JFJ983090 JPF983090 JZB983090 KIX983090 KST983090 LCP983090 LML983090 LWH983090 MGD983090 MPZ983090 MZV983090 NJR983090 NTN983090 ODJ983090 ONF983090 OXB983090 PGX983090 PQT983090 QAP983090 QKL983090 QUH983090 RED983090 RNZ983090 RXV983090 SHR983090 SRN983090 TBJ983090 TLF983090 TVB983090 UEX983090 UOT983090 UYP983090 VIL983090 VSH983090 WCD983090 WLZ983090 WVV983090 VTF983094 JY25 TU25 ADQ25 ANM25 AXI25 BHE25 BRA25 CAW25 CKS25 CUO25 DEK25 DOG25 DYC25 EHY25 ERU25 FBQ25 FLM25 FVI25 GFE25 GPA25 GYW25 HIS25 HSO25 ICK25 IMG25 IWC25 JFY25 JPU25 JZQ25 KJM25 KTI25 LDE25 LNA25 LWW25 MGS25 MQO25 NAK25 NKG25 NUC25 ODY25 ONU25 OXQ25 PHM25 PRI25 QBE25 QLA25 QUW25 RES25 ROO25 RYK25 SIG25 SSC25 TBY25 TLU25 TVQ25 UFM25 UPI25 UZE25 VJA25 VSW25 WCS25 WMO25 WWK25 AB65588 JY65588 TU65588 ADQ65588 ANM65588 AXI65588 BHE65588 BRA65588 CAW65588 CKS65588 CUO65588 DEK65588 DOG65588 DYC65588 EHY65588 ERU65588 FBQ65588 FLM65588 FVI65588 GFE65588 GPA65588 GYW65588 HIS65588 HSO65588 ICK65588 IMG65588 IWC65588 JFY65588 JPU65588 JZQ65588 KJM65588 KTI65588 LDE65588 LNA65588 LWW65588 MGS65588 MQO65588 NAK65588 NKG65588 NUC65588 ODY65588 ONU65588 OXQ65588 PHM65588 PRI65588 QBE65588 QLA65588 QUW65588 RES65588 ROO65588 RYK65588 SIG65588 SSC65588 TBY65588 TLU65588 TVQ65588 UFM65588 UPI65588 UZE65588 VJA65588 VSW65588 WCS65588 WMO65588 WWK65588 AB131124 JY131124 TU131124 ADQ131124 ANM131124 AXI131124 BHE131124 BRA131124 CAW131124 CKS131124 CUO131124 DEK131124 DOG131124 DYC131124 EHY131124 ERU131124 FBQ131124 FLM131124 FVI131124 GFE131124 GPA131124 GYW131124 HIS131124 HSO131124 ICK131124 IMG131124 IWC131124 JFY131124 JPU131124 JZQ131124 KJM131124 KTI131124 LDE131124 LNA131124 LWW131124 MGS131124 MQO131124 NAK131124 NKG131124 NUC131124 ODY131124 ONU131124 OXQ131124 PHM131124 PRI131124 QBE131124 QLA131124 QUW131124 RES131124 ROO131124 RYK131124 SIG131124 SSC131124 TBY131124 TLU131124 TVQ131124 UFM131124 UPI131124 UZE131124 VJA131124 VSW131124 WCS131124 WMO131124 WWK131124 AB196660 JY196660 TU196660 ADQ196660 ANM196660 AXI196660 BHE196660 BRA196660 CAW196660 CKS196660 CUO196660 DEK196660 DOG196660 DYC196660 EHY196660 ERU196660 FBQ196660 FLM196660 FVI196660 GFE196660 GPA196660 GYW196660 HIS196660 HSO196660 ICK196660 IMG196660 IWC196660 JFY196660 JPU196660 JZQ196660 KJM196660 KTI196660 LDE196660 LNA196660 LWW196660 MGS196660 MQO196660 NAK196660 NKG196660 NUC196660 ODY196660 ONU196660 OXQ196660 PHM196660 PRI196660 QBE196660 QLA196660 QUW196660 RES196660 ROO196660 RYK196660 SIG196660 SSC196660 TBY196660 TLU196660 TVQ196660 UFM196660 UPI196660 UZE196660 VJA196660 VSW196660 WCS196660 WMO196660 WWK196660 AB262196 JY262196 TU262196 ADQ262196 ANM262196 AXI262196 BHE262196 BRA262196 CAW262196 CKS262196 CUO262196 DEK262196 DOG262196 DYC262196 EHY262196 ERU262196 FBQ262196 FLM262196 FVI262196 GFE262196 GPA262196 GYW262196 HIS262196 HSO262196 ICK262196 IMG262196 IWC262196 JFY262196 JPU262196 JZQ262196 KJM262196 KTI262196 LDE262196 LNA262196 LWW262196 MGS262196 MQO262196 NAK262196 NKG262196 NUC262196 ODY262196 ONU262196 OXQ262196 PHM262196 PRI262196 QBE262196 QLA262196 QUW262196 RES262196 ROO262196 RYK262196 SIG262196 SSC262196 TBY262196 TLU262196 TVQ262196 UFM262196 UPI262196 UZE262196 VJA262196 VSW262196 WCS262196 WMO262196 WWK262196 AB327732 JY327732 TU327732 ADQ327732 ANM327732 AXI327732 BHE327732 BRA327732 CAW327732 CKS327732 CUO327732 DEK327732 DOG327732 DYC327732 EHY327732 ERU327732 FBQ327732 FLM327732 FVI327732 GFE327732 GPA327732 GYW327732 HIS327732 HSO327732 ICK327732 IMG327732 IWC327732 JFY327732 JPU327732 JZQ327732 KJM327732 KTI327732 LDE327732 LNA327732 LWW327732 MGS327732 MQO327732 NAK327732 NKG327732 NUC327732 ODY327732 ONU327732 OXQ327732 PHM327732 PRI327732 QBE327732 QLA327732 QUW327732 RES327732 ROO327732 RYK327732 SIG327732 SSC327732 TBY327732 TLU327732 TVQ327732 UFM327732 UPI327732 UZE327732 VJA327732 VSW327732 WCS327732 WMO327732 WWK327732 AB393268 JY393268 TU393268 ADQ393268 ANM393268 AXI393268 BHE393268 BRA393268 CAW393268 CKS393268 CUO393268 DEK393268 DOG393268 DYC393268 EHY393268 ERU393268 FBQ393268 FLM393268 FVI393268 GFE393268 GPA393268 GYW393268 HIS393268 HSO393268 ICK393268 IMG393268 IWC393268 JFY393268 JPU393268 JZQ393268 KJM393268 KTI393268 LDE393268 LNA393268 LWW393268 MGS393268 MQO393268 NAK393268 NKG393268 NUC393268 ODY393268 ONU393268 OXQ393268 PHM393268 PRI393268 QBE393268 QLA393268 QUW393268 RES393268 ROO393268 RYK393268 SIG393268 SSC393268 TBY393268 TLU393268 TVQ393268 UFM393268 UPI393268 UZE393268 VJA393268 VSW393268 WCS393268 WMO393268 WWK393268 AB458804 JY458804 TU458804 ADQ458804 ANM458804 AXI458804 BHE458804 BRA458804 CAW458804 CKS458804 CUO458804 DEK458804 DOG458804 DYC458804 EHY458804 ERU458804 FBQ458804 FLM458804 FVI458804 GFE458804 GPA458804 GYW458804 HIS458804 HSO458804 ICK458804 IMG458804 IWC458804 JFY458804 JPU458804 JZQ458804 KJM458804 KTI458804 LDE458804 LNA458804 LWW458804 MGS458804 MQO458804 NAK458804 NKG458804 NUC458804 ODY458804 ONU458804 OXQ458804 PHM458804 PRI458804 QBE458804 QLA458804 QUW458804 RES458804 ROO458804 RYK458804 SIG458804 SSC458804 TBY458804 TLU458804 TVQ458804 UFM458804 UPI458804 UZE458804 VJA458804 VSW458804 WCS458804 WMO458804 WWK458804 AB524340 JY524340 TU524340 ADQ524340 ANM524340 AXI524340 BHE524340 BRA524340 CAW524340 CKS524340 CUO524340 DEK524340 DOG524340 DYC524340 EHY524340 ERU524340 FBQ524340 FLM524340 FVI524340 GFE524340 GPA524340 GYW524340 HIS524340 HSO524340 ICK524340 IMG524340 IWC524340 JFY524340 JPU524340 JZQ524340 KJM524340 KTI524340 LDE524340 LNA524340 LWW524340 MGS524340 MQO524340 NAK524340 NKG524340 NUC524340 ODY524340 ONU524340 OXQ524340 PHM524340 PRI524340 QBE524340 QLA524340 QUW524340 RES524340 ROO524340 RYK524340 SIG524340 SSC524340 TBY524340 TLU524340 TVQ524340 UFM524340 UPI524340 UZE524340 VJA524340 VSW524340 WCS524340 WMO524340 WWK524340 AB589876 JY589876 TU589876 ADQ589876 ANM589876 AXI589876 BHE589876 BRA589876 CAW589876 CKS589876 CUO589876 DEK589876 DOG589876 DYC589876 EHY589876 ERU589876 FBQ589876 FLM589876 FVI589876 GFE589876 GPA589876 GYW589876 HIS589876 HSO589876 ICK589876 IMG589876 IWC589876 JFY589876 JPU589876 JZQ589876 KJM589876 KTI589876 LDE589876 LNA589876 LWW589876 MGS589876 MQO589876 NAK589876 NKG589876 NUC589876 ODY589876 ONU589876 OXQ589876 PHM589876 PRI589876 QBE589876 QLA589876 QUW589876 RES589876 ROO589876 RYK589876 SIG589876 SSC589876 TBY589876 TLU589876 TVQ589876 UFM589876 UPI589876 UZE589876 VJA589876 VSW589876 WCS589876 WMO589876 WWK589876 AB655412 JY655412 TU655412 ADQ655412 ANM655412 AXI655412 BHE655412 BRA655412 CAW655412 CKS655412 CUO655412 DEK655412 DOG655412 DYC655412 EHY655412 ERU655412 FBQ655412 FLM655412 FVI655412 GFE655412 GPA655412 GYW655412 HIS655412 HSO655412 ICK655412 IMG655412 IWC655412 JFY655412 JPU655412 JZQ655412 KJM655412 KTI655412 LDE655412 LNA655412 LWW655412 MGS655412 MQO655412 NAK655412 NKG655412 NUC655412 ODY655412 ONU655412 OXQ655412 PHM655412 PRI655412 QBE655412 QLA655412 QUW655412 RES655412 ROO655412 RYK655412 SIG655412 SSC655412 TBY655412 TLU655412 TVQ655412 UFM655412 UPI655412 UZE655412 VJA655412 VSW655412 WCS655412 WMO655412 WWK655412 AB720948 JY720948 TU720948 ADQ720948 ANM720948 AXI720948 BHE720948 BRA720948 CAW720948 CKS720948 CUO720948 DEK720948 DOG720948 DYC720948 EHY720948 ERU720948 FBQ720948 FLM720948 FVI720948 GFE720948 GPA720948 GYW720948 HIS720948 HSO720948 ICK720948 IMG720948 IWC720948 JFY720948 JPU720948 JZQ720948 KJM720948 KTI720948 LDE720948 LNA720948 LWW720948 MGS720948 MQO720948 NAK720948 NKG720948 NUC720948 ODY720948 ONU720948 OXQ720948 PHM720948 PRI720948 QBE720948 QLA720948 QUW720948 RES720948 ROO720948 RYK720948 SIG720948 SSC720948 TBY720948 TLU720948 TVQ720948 UFM720948 UPI720948 UZE720948 VJA720948 VSW720948 WCS720948 WMO720948 WWK720948 AB786484 JY786484 TU786484 ADQ786484 ANM786484 AXI786484 BHE786484 BRA786484 CAW786484 CKS786484 CUO786484 DEK786484 DOG786484 DYC786484 EHY786484 ERU786484 FBQ786484 FLM786484 FVI786484 GFE786484 GPA786484 GYW786484 HIS786484 HSO786484 ICK786484 IMG786484 IWC786484 JFY786484 JPU786484 JZQ786484 KJM786484 KTI786484 LDE786484 LNA786484 LWW786484 MGS786484 MQO786484 NAK786484 NKG786484 NUC786484 ODY786484 ONU786484 OXQ786484 PHM786484 PRI786484 QBE786484 QLA786484 QUW786484 RES786484 ROO786484 RYK786484 SIG786484 SSC786484 TBY786484 TLU786484 TVQ786484 UFM786484 UPI786484 UZE786484 VJA786484 VSW786484 WCS786484 WMO786484 WWK786484 AB852020 JY852020 TU852020 ADQ852020 ANM852020 AXI852020 BHE852020 BRA852020 CAW852020 CKS852020 CUO852020 DEK852020 DOG852020 DYC852020 EHY852020 ERU852020 FBQ852020 FLM852020 FVI852020 GFE852020 GPA852020 GYW852020 HIS852020 HSO852020 ICK852020 IMG852020 IWC852020 JFY852020 JPU852020 JZQ852020 KJM852020 KTI852020 LDE852020 LNA852020 LWW852020 MGS852020 MQO852020 NAK852020 NKG852020 NUC852020 ODY852020 ONU852020 OXQ852020 PHM852020 PRI852020 QBE852020 QLA852020 QUW852020 RES852020 ROO852020 RYK852020 SIG852020 SSC852020 TBY852020 TLU852020 TVQ852020 UFM852020 UPI852020 UZE852020 VJA852020 VSW852020 WCS852020 WMO852020 WWK852020 AB917556 JY917556 TU917556 ADQ917556 ANM917556 AXI917556 BHE917556 BRA917556 CAW917556 CKS917556 CUO917556 DEK917556 DOG917556 DYC917556 EHY917556 ERU917556 FBQ917556 FLM917556 FVI917556 GFE917556 GPA917556 GYW917556 HIS917556 HSO917556 ICK917556 IMG917556 IWC917556 JFY917556 JPU917556 JZQ917556 KJM917556 KTI917556 LDE917556 LNA917556 LWW917556 MGS917556 MQO917556 NAK917556 NKG917556 NUC917556 ODY917556 ONU917556 OXQ917556 PHM917556 PRI917556 QBE917556 QLA917556 QUW917556 RES917556 ROO917556 RYK917556 SIG917556 SSC917556 TBY917556 TLU917556 TVQ917556 UFM917556 UPI917556 UZE917556 VJA917556 VSW917556 WCS917556 WMO917556 WWK917556 AB983092 JY983092 TU983092 ADQ983092 ANM983092 AXI983092 BHE983092 BRA983092 CAW983092 CKS983092 CUO983092 DEK983092 DOG983092 DYC983092 EHY983092 ERU983092 FBQ983092 FLM983092 FVI983092 GFE983092 GPA983092 GYW983092 HIS983092 HSO983092 ICK983092 IMG983092 IWC983092 JFY983092 JPU983092 JZQ983092 KJM983092 KTI983092 LDE983092 LNA983092 LWW983092 MGS983092 MQO983092 NAK983092 NKG983092 NUC983092 ODY983092 ONU983092 OXQ983092 PHM983092 PRI983092 QBE983092 QLA983092 QUW983092 RES983092 ROO983092 RYK983092 SIG983092 SSC983092 TBY983092 TLU983092 TVQ983092 UFM983092 UPI983092 UZE983092 VJA983092 VSW983092 WCS983092 WMO983092 WWK983092 WDB983094 JY23 TU23 ADQ23 ANM23 AXI23 BHE23 BRA23 CAW23 CKS23 CUO23 DEK23 DOG23 DYC23 EHY23 ERU23 FBQ23 FLM23 FVI23 GFE23 GPA23 GYW23 HIS23 HSO23 ICK23 IMG23 IWC23 JFY23 JPU23 JZQ23 KJM23 KTI23 LDE23 LNA23 LWW23 MGS23 MQO23 NAK23 NKG23 NUC23 ODY23 ONU23 OXQ23 PHM23 PRI23 QBE23 QLA23 QUW23 RES23 ROO23 RYK23 SIG23 SSC23 TBY23 TLU23 TVQ23 UFM23 UPI23 UZE23 VJA23 VSW23 WCS23 WMO23 WWK23 AB65586 JY65586 TU65586 ADQ65586 ANM65586 AXI65586 BHE65586 BRA65586 CAW65586 CKS65586 CUO65586 DEK65586 DOG65586 DYC65586 EHY65586 ERU65586 FBQ65586 FLM65586 FVI65586 GFE65586 GPA65586 GYW65586 HIS65586 HSO65586 ICK65586 IMG65586 IWC65586 JFY65586 JPU65586 JZQ65586 KJM65586 KTI65586 LDE65586 LNA65586 LWW65586 MGS65586 MQO65586 NAK65586 NKG65586 NUC65586 ODY65586 ONU65586 OXQ65586 PHM65586 PRI65586 QBE65586 QLA65586 QUW65586 RES65586 ROO65586 RYK65586 SIG65586 SSC65586 TBY65586 TLU65586 TVQ65586 UFM65586 UPI65586 UZE65586 VJA65586 VSW65586 WCS65586 WMO65586 WWK65586 AB131122 JY131122 TU131122 ADQ131122 ANM131122 AXI131122 BHE131122 BRA131122 CAW131122 CKS131122 CUO131122 DEK131122 DOG131122 DYC131122 EHY131122 ERU131122 FBQ131122 FLM131122 FVI131122 GFE131122 GPA131122 GYW131122 HIS131122 HSO131122 ICK131122 IMG131122 IWC131122 JFY131122 JPU131122 JZQ131122 KJM131122 KTI131122 LDE131122 LNA131122 LWW131122 MGS131122 MQO131122 NAK131122 NKG131122 NUC131122 ODY131122 ONU131122 OXQ131122 PHM131122 PRI131122 QBE131122 QLA131122 QUW131122 RES131122 ROO131122 RYK131122 SIG131122 SSC131122 TBY131122 TLU131122 TVQ131122 UFM131122 UPI131122 UZE131122 VJA131122 VSW131122 WCS131122 WMO131122 WWK131122 AB196658 JY196658 TU196658 ADQ196658 ANM196658 AXI196658 BHE196658 BRA196658 CAW196658 CKS196658 CUO196658 DEK196658 DOG196658 DYC196658 EHY196658 ERU196658 FBQ196658 FLM196658 FVI196658 GFE196658 GPA196658 GYW196658 HIS196658 HSO196658 ICK196658 IMG196658 IWC196658 JFY196658 JPU196658 JZQ196658 KJM196658 KTI196658 LDE196658 LNA196658 LWW196658 MGS196658 MQO196658 NAK196658 NKG196658 NUC196658 ODY196658 ONU196658 OXQ196658 PHM196658 PRI196658 QBE196658 QLA196658 QUW196658 RES196658 ROO196658 RYK196658 SIG196658 SSC196658 TBY196658 TLU196658 TVQ196658 UFM196658 UPI196658 UZE196658 VJA196658 VSW196658 WCS196658 WMO196658 WWK196658 AB262194 JY262194 TU262194 ADQ262194 ANM262194 AXI262194 BHE262194 BRA262194 CAW262194 CKS262194 CUO262194 DEK262194 DOG262194 DYC262194 EHY262194 ERU262194 FBQ262194 FLM262194 FVI262194 GFE262194 GPA262194 GYW262194 HIS262194 HSO262194 ICK262194 IMG262194 IWC262194 JFY262194 JPU262194 JZQ262194 KJM262194 KTI262194 LDE262194 LNA262194 LWW262194 MGS262194 MQO262194 NAK262194 NKG262194 NUC262194 ODY262194 ONU262194 OXQ262194 PHM262194 PRI262194 QBE262194 QLA262194 QUW262194 RES262194 ROO262194 RYK262194 SIG262194 SSC262194 TBY262194 TLU262194 TVQ262194 UFM262194 UPI262194 UZE262194 VJA262194 VSW262194 WCS262194 WMO262194 WWK262194 AB327730 JY327730 TU327730 ADQ327730 ANM327730 AXI327730 BHE327730 BRA327730 CAW327730 CKS327730 CUO327730 DEK327730 DOG327730 DYC327730 EHY327730 ERU327730 FBQ327730 FLM327730 FVI327730 GFE327730 GPA327730 GYW327730 HIS327730 HSO327730 ICK327730 IMG327730 IWC327730 JFY327730 JPU327730 JZQ327730 KJM327730 KTI327730 LDE327730 LNA327730 LWW327730 MGS327730 MQO327730 NAK327730 NKG327730 NUC327730 ODY327730 ONU327730 OXQ327730 PHM327730 PRI327730 QBE327730 QLA327730 QUW327730 RES327730 ROO327730 RYK327730 SIG327730 SSC327730 TBY327730 TLU327730 TVQ327730 UFM327730 UPI327730 UZE327730 VJA327730 VSW327730 WCS327730 WMO327730 WWK327730 AB393266 JY393266 TU393266 ADQ393266 ANM393266 AXI393266 BHE393266 BRA393266 CAW393266 CKS393266 CUO393266 DEK393266 DOG393266 DYC393266 EHY393266 ERU393266 FBQ393266 FLM393266 FVI393266 GFE393266 GPA393266 GYW393266 HIS393266 HSO393266 ICK393266 IMG393266 IWC393266 JFY393266 JPU393266 JZQ393266 KJM393266 KTI393266 LDE393266 LNA393266 LWW393266 MGS393266 MQO393266 NAK393266 NKG393266 NUC393266 ODY393266 ONU393266 OXQ393266 PHM393266 PRI393266 QBE393266 QLA393266 QUW393266 RES393266 ROO393266 RYK393266 SIG393266 SSC393266 TBY393266 TLU393266 TVQ393266 UFM393266 UPI393266 UZE393266 VJA393266 VSW393266 WCS393266 WMO393266 WWK393266 AB458802 JY458802 TU458802 ADQ458802 ANM458802 AXI458802 BHE458802 BRA458802 CAW458802 CKS458802 CUO458802 DEK458802 DOG458802 DYC458802 EHY458802 ERU458802 FBQ458802 FLM458802 FVI458802 GFE458802 GPA458802 GYW458802 HIS458802 HSO458802 ICK458802 IMG458802 IWC458802 JFY458802 JPU458802 JZQ458802 KJM458802 KTI458802 LDE458802 LNA458802 LWW458802 MGS458802 MQO458802 NAK458802 NKG458802 NUC458802 ODY458802 ONU458802 OXQ458802 PHM458802 PRI458802 QBE458802 QLA458802 QUW458802 RES458802 ROO458802 RYK458802 SIG458802 SSC458802 TBY458802 TLU458802 TVQ458802 UFM458802 UPI458802 UZE458802 VJA458802 VSW458802 WCS458802 WMO458802 WWK458802 AB524338 JY524338 TU524338 ADQ524338 ANM524338 AXI524338 BHE524338 BRA524338 CAW524338 CKS524338 CUO524338 DEK524338 DOG524338 DYC524338 EHY524338 ERU524338 FBQ524338 FLM524338 FVI524338 GFE524338 GPA524338 GYW524338 HIS524338 HSO524338 ICK524338 IMG524338 IWC524338 JFY524338 JPU524338 JZQ524338 KJM524338 KTI524338 LDE524338 LNA524338 LWW524338 MGS524338 MQO524338 NAK524338 NKG524338 NUC524338 ODY524338 ONU524338 OXQ524338 PHM524338 PRI524338 QBE524338 QLA524338 QUW524338 RES524338 ROO524338 RYK524338 SIG524338 SSC524338 TBY524338 TLU524338 TVQ524338 UFM524338 UPI524338 UZE524338 VJA524338 VSW524338 WCS524338 WMO524338 WWK524338 AB589874 JY589874 TU589874 ADQ589874 ANM589874 AXI589874 BHE589874 BRA589874 CAW589874 CKS589874 CUO589874 DEK589874 DOG589874 DYC589874 EHY589874 ERU589874 FBQ589874 FLM589874 FVI589874 GFE589874 GPA589874 GYW589874 HIS589874 HSO589874 ICK589874 IMG589874 IWC589874 JFY589874 JPU589874 JZQ589874 KJM589874 KTI589874 LDE589874 LNA589874 LWW589874 MGS589874 MQO589874 NAK589874 NKG589874 NUC589874 ODY589874 ONU589874 OXQ589874 PHM589874 PRI589874 QBE589874 QLA589874 QUW589874 RES589874 ROO589874 RYK589874 SIG589874 SSC589874 TBY589874 TLU589874 TVQ589874 UFM589874 UPI589874 UZE589874 VJA589874 VSW589874 WCS589874 WMO589874 WWK589874 AB655410 JY655410 TU655410 ADQ655410 ANM655410 AXI655410 BHE655410 BRA655410 CAW655410 CKS655410 CUO655410 DEK655410 DOG655410 DYC655410 EHY655410 ERU655410 FBQ655410 FLM655410 FVI655410 GFE655410 GPA655410 GYW655410 HIS655410 HSO655410 ICK655410 IMG655410 IWC655410 JFY655410 JPU655410 JZQ655410 KJM655410 KTI655410 LDE655410 LNA655410 LWW655410 MGS655410 MQO655410 NAK655410 NKG655410 NUC655410 ODY655410 ONU655410 OXQ655410 PHM655410 PRI655410 QBE655410 QLA655410 QUW655410 RES655410 ROO655410 RYK655410 SIG655410 SSC655410 TBY655410 TLU655410 TVQ655410 UFM655410 UPI655410 UZE655410 VJA655410 VSW655410 WCS655410 WMO655410 WWK655410 AB720946 JY720946 TU720946 ADQ720946 ANM720946 AXI720946 BHE720946 BRA720946 CAW720946 CKS720946 CUO720946 DEK720946 DOG720946 DYC720946 EHY720946 ERU720946 FBQ720946 FLM720946 FVI720946 GFE720946 GPA720946 GYW720946 HIS720946 HSO720946 ICK720946 IMG720946 IWC720946 JFY720946 JPU720946 JZQ720946 KJM720946 KTI720946 LDE720946 LNA720946 LWW720946 MGS720946 MQO720946 NAK720946 NKG720946 NUC720946 ODY720946 ONU720946 OXQ720946 PHM720946 PRI720946 QBE720946 QLA720946 QUW720946 RES720946 ROO720946 RYK720946 SIG720946 SSC720946 TBY720946 TLU720946 TVQ720946 UFM720946 UPI720946 UZE720946 VJA720946 VSW720946 WCS720946 WMO720946 WWK720946 AB786482 JY786482 TU786482 ADQ786482 ANM786482 AXI786482 BHE786482 BRA786482 CAW786482 CKS786482 CUO786482 DEK786482 DOG786482 DYC786482 EHY786482 ERU786482 FBQ786482 FLM786482 FVI786482 GFE786482 GPA786482 GYW786482 HIS786482 HSO786482 ICK786482 IMG786482 IWC786482 JFY786482 JPU786482 JZQ786482 KJM786482 KTI786482 LDE786482 LNA786482 LWW786482 MGS786482 MQO786482 NAK786482 NKG786482 NUC786482 ODY786482 ONU786482 OXQ786482 PHM786482 PRI786482 QBE786482 QLA786482 QUW786482 RES786482 ROO786482 RYK786482 SIG786482 SSC786482 TBY786482 TLU786482 TVQ786482 UFM786482 UPI786482 UZE786482 VJA786482 VSW786482 WCS786482 WMO786482 WWK786482 AB852018 JY852018 TU852018 ADQ852018 ANM852018 AXI852018 BHE852018 BRA852018 CAW852018 CKS852018 CUO852018 DEK852018 DOG852018 DYC852018 EHY852018 ERU852018 FBQ852018 FLM852018 FVI852018 GFE852018 GPA852018 GYW852018 HIS852018 HSO852018 ICK852018 IMG852018 IWC852018 JFY852018 JPU852018 JZQ852018 KJM852018 KTI852018 LDE852018 LNA852018 LWW852018 MGS852018 MQO852018 NAK852018 NKG852018 NUC852018 ODY852018 ONU852018 OXQ852018 PHM852018 PRI852018 QBE852018 QLA852018 QUW852018 RES852018 ROO852018 RYK852018 SIG852018 SSC852018 TBY852018 TLU852018 TVQ852018 UFM852018 UPI852018 UZE852018 VJA852018 VSW852018 WCS852018 WMO852018 WWK852018 AB917554 JY917554 TU917554 ADQ917554 ANM917554 AXI917554 BHE917554 BRA917554 CAW917554 CKS917554 CUO917554 DEK917554 DOG917554 DYC917554 EHY917554 ERU917554 FBQ917554 FLM917554 FVI917554 GFE917554 GPA917554 GYW917554 HIS917554 HSO917554 ICK917554 IMG917554 IWC917554 JFY917554 JPU917554 JZQ917554 KJM917554 KTI917554 LDE917554 LNA917554 LWW917554 MGS917554 MQO917554 NAK917554 NKG917554 NUC917554 ODY917554 ONU917554 OXQ917554 PHM917554 PRI917554 QBE917554 QLA917554 QUW917554 RES917554 ROO917554 RYK917554 SIG917554 SSC917554 TBY917554 TLU917554 TVQ917554 UFM917554 UPI917554 UZE917554 VJA917554 VSW917554 WCS917554 WMO917554 WWK917554 AB983090 JY983090 TU983090 ADQ983090 ANM983090 AXI983090 BHE983090 BRA983090 CAW983090 CKS983090 CUO983090 DEK983090 DOG983090 DYC983090 EHY983090 ERU983090 FBQ983090 FLM983090 FVI983090 GFE983090 GPA983090 GYW983090 HIS983090 HSO983090 ICK983090 IMG983090 IWC983090 JFY983090 JPU983090 JZQ983090 KJM983090 KTI983090 LDE983090 LNA983090 LWW983090 MGS983090 MQO983090 NAK983090 NKG983090 NUC983090 ODY983090 ONU983090 OXQ983090 PHM983090 PRI983090 QBE983090 QLA983090 QUW983090 RES983090 ROO983090 RYK983090 SIG983090 SSC983090 TBY983090 TLU983090 TVQ983090 UFM983090 UPI983090 UZE983090 VJA983090 VSW983090 WCS983090 WMO983090 WWK983090 UFV983094 KE25 UA25 ADW25 ANS25 AXO25 BHK25 BRG25 CBC25 CKY25 CUU25 DEQ25 DOM25 DYI25 EIE25 ESA25 FBW25 FLS25 FVO25 GFK25 GPG25 GZC25 HIY25 HSU25 ICQ25 IMM25 IWI25 JGE25 JQA25 JZW25 KJS25 KTO25 LDK25 LNG25 LXC25 MGY25 MQU25 NAQ25 NKM25 NUI25 OEE25 OOA25 OXW25 PHS25 PRO25 QBK25 QLG25 QVC25 REY25 ROU25 RYQ25 SIM25 SSI25 TCE25 TMA25 TVW25 UFS25 UPO25 UZK25 VJG25 VTC25 WCY25 WMU25 WWQ25 AH65588 KE65588 UA65588 ADW65588 ANS65588 AXO65588 BHK65588 BRG65588 CBC65588 CKY65588 CUU65588 DEQ65588 DOM65588 DYI65588 EIE65588 ESA65588 FBW65588 FLS65588 FVO65588 GFK65588 GPG65588 GZC65588 HIY65588 HSU65588 ICQ65588 IMM65588 IWI65588 JGE65588 JQA65588 JZW65588 KJS65588 KTO65588 LDK65588 LNG65588 LXC65588 MGY65588 MQU65588 NAQ65588 NKM65588 NUI65588 OEE65588 OOA65588 OXW65588 PHS65588 PRO65588 QBK65588 QLG65588 QVC65588 REY65588 ROU65588 RYQ65588 SIM65588 SSI65588 TCE65588 TMA65588 TVW65588 UFS65588 UPO65588 UZK65588 VJG65588 VTC65588 WCY65588 WMU65588 WWQ65588 AH131124 KE131124 UA131124 ADW131124 ANS131124 AXO131124 BHK131124 BRG131124 CBC131124 CKY131124 CUU131124 DEQ131124 DOM131124 DYI131124 EIE131124 ESA131124 FBW131124 FLS131124 FVO131124 GFK131124 GPG131124 GZC131124 HIY131124 HSU131124 ICQ131124 IMM131124 IWI131124 JGE131124 JQA131124 JZW131124 KJS131124 KTO131124 LDK131124 LNG131124 LXC131124 MGY131124 MQU131124 NAQ131124 NKM131124 NUI131124 OEE131124 OOA131124 OXW131124 PHS131124 PRO131124 QBK131124 QLG131124 QVC131124 REY131124 ROU131124 RYQ131124 SIM131124 SSI131124 TCE131124 TMA131124 TVW131124 UFS131124 UPO131124 UZK131124 VJG131124 VTC131124 WCY131124 WMU131124 WWQ131124 AH196660 KE196660 UA196660 ADW196660 ANS196660 AXO196660 BHK196660 BRG196660 CBC196660 CKY196660 CUU196660 DEQ196660 DOM196660 DYI196660 EIE196660 ESA196660 FBW196660 FLS196660 FVO196660 GFK196660 GPG196660 GZC196660 HIY196660 HSU196660 ICQ196660 IMM196660 IWI196660 JGE196660 JQA196660 JZW196660 KJS196660 KTO196660 LDK196660 LNG196660 LXC196660 MGY196660 MQU196660 NAQ196660 NKM196660 NUI196660 OEE196660 OOA196660 OXW196660 PHS196660 PRO196660 QBK196660 QLG196660 QVC196660 REY196660 ROU196660 RYQ196660 SIM196660 SSI196660 TCE196660 TMA196660 TVW196660 UFS196660 UPO196660 UZK196660 VJG196660 VTC196660 WCY196660 WMU196660 WWQ196660 AH262196 KE262196 UA262196 ADW262196 ANS262196 AXO262196 BHK262196 BRG262196 CBC262196 CKY262196 CUU262196 DEQ262196 DOM262196 DYI262196 EIE262196 ESA262196 FBW262196 FLS262196 FVO262196 GFK262196 GPG262196 GZC262196 HIY262196 HSU262196 ICQ262196 IMM262196 IWI262196 JGE262196 JQA262196 JZW262196 KJS262196 KTO262196 LDK262196 LNG262196 LXC262196 MGY262196 MQU262196 NAQ262196 NKM262196 NUI262196 OEE262196 OOA262196 OXW262196 PHS262196 PRO262196 QBK262196 QLG262196 QVC262196 REY262196 ROU262196 RYQ262196 SIM262196 SSI262196 TCE262196 TMA262196 TVW262196 UFS262196 UPO262196 UZK262196 VJG262196 VTC262196 WCY262196 WMU262196 WWQ262196 AH327732 KE327732 UA327732 ADW327732 ANS327732 AXO327732 BHK327732 BRG327732 CBC327732 CKY327732 CUU327732 DEQ327732 DOM327732 DYI327732 EIE327732 ESA327732 FBW327732 FLS327732 FVO327732 GFK327732 GPG327732 GZC327732 HIY327732 HSU327732 ICQ327732 IMM327732 IWI327732 JGE327732 JQA327732 JZW327732 KJS327732 KTO327732 LDK327732 LNG327732 LXC327732 MGY327732 MQU327732 NAQ327732 NKM327732 NUI327732 OEE327732 OOA327732 OXW327732 PHS327732 PRO327732 QBK327732 QLG327732 QVC327732 REY327732 ROU327732 RYQ327732 SIM327732 SSI327732 TCE327732 TMA327732 TVW327732 UFS327732 UPO327732 UZK327732 VJG327732 VTC327732 WCY327732 WMU327732 WWQ327732 AH393268 KE393268 UA393268 ADW393268 ANS393268 AXO393268 BHK393268 BRG393268 CBC393268 CKY393268 CUU393268 DEQ393268 DOM393268 DYI393268 EIE393268 ESA393268 FBW393268 FLS393268 FVO393268 GFK393268 GPG393268 GZC393268 HIY393268 HSU393268 ICQ393268 IMM393268 IWI393268 JGE393268 JQA393268 JZW393268 KJS393268 KTO393268 LDK393268 LNG393268 LXC393268 MGY393268 MQU393268 NAQ393268 NKM393268 NUI393268 OEE393268 OOA393268 OXW393268 PHS393268 PRO393268 QBK393268 QLG393268 QVC393268 REY393268 ROU393268 RYQ393268 SIM393268 SSI393268 TCE393268 TMA393268 TVW393268 UFS393268 UPO393268 UZK393268 VJG393268 VTC393268 WCY393268 WMU393268 WWQ393268 AH458804 KE458804 UA458804 ADW458804 ANS458804 AXO458804 BHK458804 BRG458804 CBC458804 CKY458804 CUU458804 DEQ458804 DOM458804 DYI458804 EIE458804 ESA458804 FBW458804 FLS458804 FVO458804 GFK458804 GPG458804 GZC458804 HIY458804 HSU458804 ICQ458804 IMM458804 IWI458804 JGE458804 JQA458804 JZW458804 KJS458804 KTO458804 LDK458804 LNG458804 LXC458804 MGY458804 MQU458804 NAQ458804 NKM458804 NUI458804 OEE458804 OOA458804 OXW458804 PHS458804 PRO458804 QBK458804 QLG458804 QVC458804 REY458804 ROU458804 RYQ458804 SIM458804 SSI458804 TCE458804 TMA458804 TVW458804 UFS458804 UPO458804 UZK458804 VJG458804 VTC458804 WCY458804 WMU458804 WWQ458804 AH524340 KE524340 UA524340 ADW524340 ANS524340 AXO524340 BHK524340 BRG524340 CBC524340 CKY524340 CUU524340 DEQ524340 DOM524340 DYI524340 EIE524340 ESA524340 FBW524340 FLS524340 FVO524340 GFK524340 GPG524340 GZC524340 HIY524340 HSU524340 ICQ524340 IMM524340 IWI524340 JGE524340 JQA524340 JZW524340 KJS524340 KTO524340 LDK524340 LNG524340 LXC524340 MGY524340 MQU524340 NAQ524340 NKM524340 NUI524340 OEE524340 OOA524340 OXW524340 PHS524340 PRO524340 QBK524340 QLG524340 QVC524340 REY524340 ROU524340 RYQ524340 SIM524340 SSI524340 TCE524340 TMA524340 TVW524340 UFS524340 UPO524340 UZK524340 VJG524340 VTC524340 WCY524340 WMU524340 WWQ524340 AH589876 KE589876 UA589876 ADW589876 ANS589876 AXO589876 BHK589876 BRG589876 CBC589876 CKY589876 CUU589876 DEQ589876 DOM589876 DYI589876 EIE589876 ESA589876 FBW589876 FLS589876 FVO589876 GFK589876 GPG589876 GZC589876 HIY589876 HSU589876 ICQ589876 IMM589876 IWI589876 JGE589876 JQA589876 JZW589876 KJS589876 KTO589876 LDK589876 LNG589876 LXC589876 MGY589876 MQU589876 NAQ589876 NKM589876 NUI589876 OEE589876 OOA589876 OXW589876 PHS589876 PRO589876 QBK589876 QLG589876 QVC589876 REY589876 ROU589876 RYQ589876 SIM589876 SSI589876 TCE589876 TMA589876 TVW589876 UFS589876 UPO589876 UZK589876 VJG589876 VTC589876 WCY589876 WMU589876 WWQ589876 AH655412 KE655412 UA655412 ADW655412 ANS655412 AXO655412 BHK655412 BRG655412 CBC655412 CKY655412 CUU655412 DEQ655412 DOM655412 DYI655412 EIE655412 ESA655412 FBW655412 FLS655412 FVO655412 GFK655412 GPG655412 GZC655412 HIY655412 HSU655412 ICQ655412 IMM655412 IWI655412 JGE655412 JQA655412 JZW655412 KJS655412 KTO655412 LDK655412 LNG655412 LXC655412 MGY655412 MQU655412 NAQ655412 NKM655412 NUI655412 OEE655412 OOA655412 OXW655412 PHS655412 PRO655412 QBK655412 QLG655412 QVC655412 REY655412 ROU655412 RYQ655412 SIM655412 SSI655412 TCE655412 TMA655412 TVW655412 UFS655412 UPO655412 UZK655412 VJG655412 VTC655412 WCY655412 WMU655412 WWQ655412 AH720948 KE720948 UA720948 ADW720948 ANS720948 AXO720948 BHK720948 BRG720948 CBC720948 CKY720948 CUU720948 DEQ720948 DOM720948 DYI720948 EIE720948 ESA720948 FBW720948 FLS720948 FVO720948 GFK720948 GPG720948 GZC720948 HIY720948 HSU720948 ICQ720948 IMM720948 IWI720948 JGE720948 JQA720948 JZW720948 KJS720948 KTO720948 LDK720948 LNG720948 LXC720948 MGY720948 MQU720948 NAQ720948 NKM720948 NUI720948 OEE720948 OOA720948 OXW720948 PHS720948 PRO720948 QBK720948 QLG720948 QVC720948 REY720948 ROU720948 RYQ720948 SIM720948 SSI720948 TCE720948 TMA720948 TVW720948 UFS720948 UPO720948 UZK720948 VJG720948 VTC720948 WCY720948 WMU720948 WWQ720948 AH786484 KE786484 UA786484 ADW786484 ANS786484 AXO786484 BHK786484 BRG786484 CBC786484 CKY786484 CUU786484 DEQ786484 DOM786484 DYI786484 EIE786484 ESA786484 FBW786484 FLS786484 FVO786484 GFK786484 GPG786484 GZC786484 HIY786484 HSU786484 ICQ786484 IMM786484 IWI786484 JGE786484 JQA786484 JZW786484 KJS786484 KTO786484 LDK786484 LNG786484 LXC786484 MGY786484 MQU786484 NAQ786484 NKM786484 NUI786484 OEE786484 OOA786484 OXW786484 PHS786484 PRO786484 QBK786484 QLG786484 QVC786484 REY786484 ROU786484 RYQ786484 SIM786484 SSI786484 TCE786484 TMA786484 TVW786484 UFS786484 UPO786484 UZK786484 VJG786484 VTC786484 WCY786484 WMU786484 WWQ786484 AH852020 KE852020 UA852020 ADW852020 ANS852020 AXO852020 BHK852020 BRG852020 CBC852020 CKY852020 CUU852020 DEQ852020 DOM852020 DYI852020 EIE852020 ESA852020 FBW852020 FLS852020 FVO852020 GFK852020 GPG852020 GZC852020 HIY852020 HSU852020 ICQ852020 IMM852020 IWI852020 JGE852020 JQA852020 JZW852020 KJS852020 KTO852020 LDK852020 LNG852020 LXC852020 MGY852020 MQU852020 NAQ852020 NKM852020 NUI852020 OEE852020 OOA852020 OXW852020 PHS852020 PRO852020 QBK852020 QLG852020 QVC852020 REY852020 ROU852020 RYQ852020 SIM852020 SSI852020 TCE852020 TMA852020 TVW852020 UFS852020 UPO852020 UZK852020 VJG852020 VTC852020 WCY852020 WMU852020 WWQ852020 AH917556 KE917556 UA917556 ADW917556 ANS917556 AXO917556 BHK917556 BRG917556 CBC917556 CKY917556 CUU917556 DEQ917556 DOM917556 DYI917556 EIE917556 ESA917556 FBW917556 FLS917556 FVO917556 GFK917556 GPG917556 GZC917556 HIY917556 HSU917556 ICQ917556 IMM917556 IWI917556 JGE917556 JQA917556 JZW917556 KJS917556 KTO917556 LDK917556 LNG917556 LXC917556 MGY917556 MQU917556 NAQ917556 NKM917556 NUI917556 OEE917556 OOA917556 OXW917556 PHS917556 PRO917556 QBK917556 QLG917556 QVC917556 REY917556 ROU917556 RYQ917556 SIM917556 SSI917556 TCE917556 TMA917556 TVW917556 UFS917556 UPO917556 UZK917556 VJG917556 VTC917556 WCY917556 WMU917556 WWQ917556 AH983092 KE983092 UA983092 ADW983092 ANS983092 AXO983092 BHK983092 BRG983092 CBC983092 CKY983092 CUU983092 DEQ983092 DOM983092 DYI983092 EIE983092 ESA983092 FBW983092 FLS983092 FVO983092 GFK983092 GPG983092 GZC983092 HIY983092 HSU983092 ICQ983092 IMM983092 IWI983092 JGE983092 JQA983092 JZW983092 KJS983092 KTO983092 LDK983092 LNG983092 LXC983092 MGY983092 MQU983092 NAQ983092 NKM983092 NUI983092 OEE983092 OOA983092 OXW983092 PHS983092 PRO983092 QBK983092 QLG983092 QVC983092 REY983092 ROU983092 RYQ983092 SIM983092 SSI983092 TCE983092 TMA983092 TVW983092 UFS983092 UPO983092 UZK983092 VJG983092 VTC983092 WCY983092 WMU983092 WWQ983092 OEH983094 KE23 UA23 ADW23 ANS23 AXO23 BHK23 BRG23 CBC23 CKY23 CUU23 DEQ23 DOM23 DYI23 EIE23 ESA23 FBW23 FLS23 FVO23 GFK23 GPG23 GZC23 HIY23 HSU23 ICQ23 IMM23 IWI23 JGE23 JQA23 JZW23 KJS23 KTO23 LDK23 LNG23 LXC23 MGY23 MQU23 NAQ23 NKM23 NUI23 OEE23 OOA23 OXW23 PHS23 PRO23 QBK23 QLG23 QVC23 REY23 ROU23 RYQ23 SIM23 SSI23 TCE23 TMA23 TVW23 UFS23 UPO23 UZK23 VJG23 VTC23 WCY23 WMU23 WWQ23 AH65586 KE65586 UA65586 ADW65586 ANS65586 AXO65586 BHK65586 BRG65586 CBC65586 CKY65586 CUU65586 DEQ65586 DOM65586 DYI65586 EIE65586 ESA65586 FBW65586 FLS65586 FVO65586 GFK65586 GPG65586 GZC65586 HIY65586 HSU65586 ICQ65586 IMM65586 IWI65586 JGE65586 JQA65586 JZW65586 KJS65586 KTO65586 LDK65586 LNG65586 LXC65586 MGY65586 MQU65586 NAQ65586 NKM65586 NUI65586 OEE65586 OOA65586 OXW65586 PHS65586 PRO65586 QBK65586 QLG65586 QVC65586 REY65586 ROU65586 RYQ65586 SIM65586 SSI65586 TCE65586 TMA65586 TVW65586 UFS65586 UPO65586 UZK65586 VJG65586 VTC65586 WCY65586 WMU65586 WWQ65586 AH131122 KE131122 UA131122 ADW131122 ANS131122 AXO131122 BHK131122 BRG131122 CBC131122 CKY131122 CUU131122 DEQ131122 DOM131122 DYI131122 EIE131122 ESA131122 FBW131122 FLS131122 FVO131122 GFK131122 GPG131122 GZC131122 HIY131122 HSU131122 ICQ131122 IMM131122 IWI131122 JGE131122 JQA131122 JZW131122 KJS131122 KTO131122 LDK131122 LNG131122 LXC131122 MGY131122 MQU131122 NAQ131122 NKM131122 NUI131122 OEE131122 OOA131122 OXW131122 PHS131122 PRO131122 QBK131122 QLG131122 QVC131122 REY131122 ROU131122 RYQ131122 SIM131122 SSI131122 TCE131122 TMA131122 TVW131122 UFS131122 UPO131122 UZK131122 VJG131122 VTC131122 WCY131122 WMU131122 WWQ131122 AH196658 KE196658 UA196658 ADW196658 ANS196658 AXO196658 BHK196658 BRG196658 CBC196658 CKY196658 CUU196658 DEQ196658 DOM196658 DYI196658 EIE196658 ESA196658 FBW196658 FLS196658 FVO196658 GFK196658 GPG196658 GZC196658 HIY196658 HSU196658 ICQ196658 IMM196658 IWI196658 JGE196658 JQA196658 JZW196658 KJS196658 KTO196658 LDK196658 LNG196658 LXC196658 MGY196658 MQU196658 NAQ196658 NKM196658 NUI196658 OEE196658 OOA196658 OXW196658 PHS196658 PRO196658 QBK196658 QLG196658 QVC196658 REY196658 ROU196658 RYQ196658 SIM196658 SSI196658 TCE196658 TMA196658 TVW196658 UFS196658 UPO196658 UZK196658 VJG196658 VTC196658 WCY196658 WMU196658 WWQ196658 AH262194 KE262194 UA262194 ADW262194 ANS262194 AXO262194 BHK262194 BRG262194 CBC262194 CKY262194 CUU262194 DEQ262194 DOM262194 DYI262194 EIE262194 ESA262194 FBW262194 FLS262194 FVO262194 GFK262194 GPG262194 GZC262194 HIY262194 HSU262194 ICQ262194 IMM262194 IWI262194 JGE262194 JQA262194 JZW262194 KJS262194 KTO262194 LDK262194 LNG262194 LXC262194 MGY262194 MQU262194 NAQ262194 NKM262194 NUI262194 OEE262194 OOA262194 OXW262194 PHS262194 PRO262194 QBK262194 QLG262194 QVC262194 REY262194 ROU262194 RYQ262194 SIM262194 SSI262194 TCE262194 TMA262194 TVW262194 UFS262194 UPO262194 UZK262194 VJG262194 VTC262194 WCY262194 WMU262194 WWQ262194 AH327730 KE327730 UA327730 ADW327730 ANS327730 AXO327730 BHK327730 BRG327730 CBC327730 CKY327730 CUU327730 DEQ327730 DOM327730 DYI327730 EIE327730 ESA327730 FBW327730 FLS327730 FVO327730 GFK327730 GPG327730 GZC327730 HIY327730 HSU327730 ICQ327730 IMM327730 IWI327730 JGE327730 JQA327730 JZW327730 KJS327730 KTO327730 LDK327730 LNG327730 LXC327730 MGY327730 MQU327730 NAQ327730 NKM327730 NUI327730 OEE327730 OOA327730 OXW327730 PHS327730 PRO327730 QBK327730 QLG327730 QVC327730 REY327730 ROU327730 RYQ327730 SIM327730 SSI327730 TCE327730 TMA327730 TVW327730 UFS327730 UPO327730 UZK327730 VJG327730 VTC327730 WCY327730 WMU327730 WWQ327730 AH393266 KE393266 UA393266 ADW393266 ANS393266 AXO393266 BHK393266 BRG393266 CBC393266 CKY393266 CUU393266 DEQ393266 DOM393266 DYI393266 EIE393266 ESA393266 FBW393266 FLS393266 FVO393266 GFK393266 GPG393266 GZC393266 HIY393266 HSU393266 ICQ393266 IMM393266 IWI393266 JGE393266 JQA393266 JZW393266 KJS393266 KTO393266 LDK393266 LNG393266 LXC393266 MGY393266 MQU393266 NAQ393266 NKM393266 NUI393266 OEE393266 OOA393266 OXW393266 PHS393266 PRO393266 QBK393266 QLG393266 QVC393266 REY393266 ROU393266 RYQ393266 SIM393266 SSI393266 TCE393266 TMA393266 TVW393266 UFS393266 UPO393266 UZK393266 VJG393266 VTC393266 WCY393266 WMU393266 WWQ393266 AH458802 KE458802 UA458802 ADW458802 ANS458802 AXO458802 BHK458802 BRG458802 CBC458802 CKY458802 CUU458802 DEQ458802 DOM458802 DYI458802 EIE458802 ESA458802 FBW458802 FLS458802 FVO458802 GFK458802 GPG458802 GZC458802 HIY458802 HSU458802 ICQ458802 IMM458802 IWI458802 JGE458802 JQA458802 JZW458802 KJS458802 KTO458802 LDK458802 LNG458802 LXC458802 MGY458802 MQU458802 NAQ458802 NKM458802 NUI458802 OEE458802 OOA458802 OXW458802 PHS458802 PRO458802 QBK458802 QLG458802 QVC458802 REY458802 ROU458802 RYQ458802 SIM458802 SSI458802 TCE458802 TMA458802 TVW458802 UFS458802 UPO458802 UZK458802 VJG458802 VTC458802 WCY458802 WMU458802 WWQ458802 AH524338 KE524338 UA524338 ADW524338 ANS524338 AXO524338 BHK524338 BRG524338 CBC524338 CKY524338 CUU524338 DEQ524338 DOM524338 DYI524338 EIE524338 ESA524338 FBW524338 FLS524338 FVO524338 GFK524338 GPG524338 GZC524338 HIY524338 HSU524338 ICQ524338 IMM524338 IWI524338 JGE524338 JQA524338 JZW524338 KJS524338 KTO524338 LDK524338 LNG524338 LXC524338 MGY524338 MQU524338 NAQ524338 NKM524338 NUI524338 OEE524338 OOA524338 OXW524338 PHS524338 PRO524338 QBK524338 QLG524338 QVC524338 REY524338 ROU524338 RYQ524338 SIM524338 SSI524338 TCE524338 TMA524338 TVW524338 UFS524338 UPO524338 UZK524338 VJG524338 VTC524338 WCY524338 WMU524338 WWQ524338 AH589874 KE589874 UA589874 ADW589874 ANS589874 AXO589874 BHK589874 BRG589874 CBC589874 CKY589874 CUU589874 DEQ589874 DOM589874 DYI589874 EIE589874 ESA589874 FBW589874 FLS589874 FVO589874 GFK589874 GPG589874 GZC589874 HIY589874 HSU589874 ICQ589874 IMM589874 IWI589874 JGE589874 JQA589874 JZW589874 KJS589874 KTO589874 LDK589874 LNG589874 LXC589874 MGY589874 MQU589874 NAQ589874 NKM589874 NUI589874 OEE589874 OOA589874 OXW589874 PHS589874 PRO589874 QBK589874 QLG589874 QVC589874 REY589874 ROU589874 RYQ589874 SIM589874 SSI589874 TCE589874 TMA589874 TVW589874 UFS589874 UPO589874 UZK589874 VJG589874 VTC589874 WCY589874 WMU589874 WWQ589874 AH655410 KE655410 UA655410 ADW655410 ANS655410 AXO655410 BHK655410 BRG655410 CBC655410 CKY655410 CUU655410 DEQ655410 DOM655410 DYI655410 EIE655410 ESA655410 FBW655410 FLS655410 FVO655410 GFK655410 GPG655410 GZC655410 HIY655410 HSU655410 ICQ655410 IMM655410 IWI655410 JGE655410 JQA655410 JZW655410 KJS655410 KTO655410 LDK655410 LNG655410 LXC655410 MGY655410 MQU655410 NAQ655410 NKM655410 NUI655410 OEE655410 OOA655410 OXW655410 PHS655410 PRO655410 QBK655410 QLG655410 QVC655410 REY655410 ROU655410 RYQ655410 SIM655410 SSI655410 TCE655410 TMA655410 TVW655410 UFS655410 UPO655410 UZK655410 VJG655410 VTC655410 WCY655410 WMU655410 WWQ655410 AH720946 KE720946 UA720946 ADW720946 ANS720946 AXO720946 BHK720946 BRG720946 CBC720946 CKY720946 CUU720946 DEQ720946 DOM720946 DYI720946 EIE720946 ESA720946 FBW720946 FLS720946 FVO720946 GFK720946 GPG720946 GZC720946 HIY720946 HSU720946 ICQ720946 IMM720946 IWI720946 JGE720946 JQA720946 JZW720946 KJS720946 KTO720946 LDK720946 LNG720946 LXC720946 MGY720946 MQU720946 NAQ720946 NKM720946 NUI720946 OEE720946 OOA720946 OXW720946 PHS720946 PRO720946 QBK720946 QLG720946 QVC720946 REY720946 ROU720946 RYQ720946 SIM720946 SSI720946 TCE720946 TMA720946 TVW720946 UFS720946 UPO720946 UZK720946 VJG720946 VTC720946 WCY720946 WMU720946 WWQ720946 AH786482 KE786482 UA786482 ADW786482 ANS786482 AXO786482 BHK786482 BRG786482 CBC786482 CKY786482 CUU786482 DEQ786482 DOM786482 DYI786482 EIE786482 ESA786482 FBW786482 FLS786482 FVO786482 GFK786482 GPG786482 GZC786482 HIY786482 HSU786482 ICQ786482 IMM786482 IWI786482 JGE786482 JQA786482 JZW786482 KJS786482 KTO786482 LDK786482 LNG786482 LXC786482 MGY786482 MQU786482 NAQ786482 NKM786482 NUI786482 OEE786482 OOA786482 OXW786482 PHS786482 PRO786482 QBK786482 QLG786482 QVC786482 REY786482 ROU786482 RYQ786482 SIM786482 SSI786482 TCE786482 TMA786482 TVW786482 UFS786482 UPO786482 UZK786482 VJG786482 VTC786482 WCY786482 WMU786482 WWQ786482 AH852018 KE852018 UA852018 ADW852018 ANS852018 AXO852018 BHK852018 BRG852018 CBC852018 CKY852018 CUU852018 DEQ852018 DOM852018 DYI852018 EIE852018 ESA852018 FBW852018 FLS852018 FVO852018 GFK852018 GPG852018 GZC852018 HIY852018 HSU852018 ICQ852018 IMM852018 IWI852018 JGE852018 JQA852018 JZW852018 KJS852018 KTO852018 LDK852018 LNG852018 LXC852018 MGY852018 MQU852018 NAQ852018 NKM852018 NUI852018 OEE852018 OOA852018 OXW852018 PHS852018 PRO852018 QBK852018 QLG852018 QVC852018 REY852018 ROU852018 RYQ852018 SIM852018 SSI852018 TCE852018 TMA852018 TVW852018 UFS852018 UPO852018 UZK852018 VJG852018 VTC852018 WCY852018 WMU852018 WWQ852018 AH917554 KE917554 UA917554 ADW917554 ANS917554 AXO917554 BHK917554 BRG917554 CBC917554 CKY917554 CUU917554 DEQ917554 DOM917554 DYI917554 EIE917554 ESA917554 FBW917554 FLS917554 FVO917554 GFK917554 GPG917554 GZC917554 HIY917554 HSU917554 ICQ917554 IMM917554 IWI917554 JGE917554 JQA917554 JZW917554 KJS917554 KTO917554 LDK917554 LNG917554 LXC917554 MGY917554 MQU917554 NAQ917554 NKM917554 NUI917554 OEE917554 OOA917554 OXW917554 PHS917554 PRO917554 QBK917554 QLG917554 QVC917554 REY917554 ROU917554 RYQ917554 SIM917554 SSI917554 TCE917554 TMA917554 TVW917554 UFS917554 UPO917554 UZK917554 VJG917554 VTC917554 WCY917554 WMU917554 WWQ917554 AH983090 KE983090 UA983090 ADW983090 ANS983090 AXO983090 BHK983090 BRG983090 CBC983090 CKY983090 CUU983090 DEQ983090 DOM983090 DYI983090 EIE983090 ESA983090 FBW983090 FLS983090 FVO983090 GFK983090 GPG983090 GZC983090 HIY983090 HSU983090 ICQ983090 IMM983090 IWI983090 JGE983090 JQA983090 JZW983090 KJS983090 KTO983090 LDK983090 LNG983090 LXC983090 MGY983090 MQU983090 NAQ983090 NKM983090 NUI983090 OEE983090 OOA983090 OXW983090 PHS983090 PRO983090 QBK983090 QLG983090 QVC983090 REY983090 ROU983090 RYQ983090 SIM983090 SSI983090 TCE983090 TMA983090 TVW983090 UFS983090 UPO983090 UZK983090 VJG983090 VTC983090 WCY983090 WMU983090 WWQ983090 VJJ983094 KH23 UD23 ADZ23 ANV23 AXR23 BHN23 BRJ23 CBF23 CLB23 CUX23 DET23 DOP23 DYL23 EIH23 ESD23 FBZ23 FLV23 FVR23 GFN23 GPJ23 GZF23 HJB23 HSX23 ICT23 IMP23 IWL23 JGH23 JQD23 JZZ23 KJV23 KTR23 LDN23 LNJ23 LXF23 MHB23 MQX23 NAT23 NKP23 NUL23 OEH23 OOD23 OXZ23 PHV23 PRR23 QBN23 QLJ23 QVF23 RFB23 ROX23 RYT23 SIP23 SSL23 TCH23 TMD23 TVZ23 UFV23 UPR23 UZN23 VJJ23 VTF23 WDB23 WMX23 WWT23 AK65586 KH65586 UD65586 ADZ65586 ANV65586 AXR65586 BHN65586 BRJ65586 CBF65586 CLB65586 CUX65586 DET65586 DOP65586 DYL65586 EIH65586 ESD65586 FBZ65586 FLV65586 FVR65586 GFN65586 GPJ65586 GZF65586 HJB65586 HSX65586 ICT65586 IMP65586 IWL65586 JGH65586 JQD65586 JZZ65586 KJV65586 KTR65586 LDN65586 LNJ65586 LXF65586 MHB65586 MQX65586 NAT65586 NKP65586 NUL65586 OEH65586 OOD65586 OXZ65586 PHV65586 PRR65586 QBN65586 QLJ65586 QVF65586 RFB65586 ROX65586 RYT65586 SIP65586 SSL65586 TCH65586 TMD65586 TVZ65586 UFV65586 UPR65586 UZN65586 VJJ65586 VTF65586 WDB65586 WMX65586 WWT65586 AK131122 KH131122 UD131122 ADZ131122 ANV131122 AXR131122 BHN131122 BRJ131122 CBF131122 CLB131122 CUX131122 DET131122 DOP131122 DYL131122 EIH131122 ESD131122 FBZ131122 FLV131122 FVR131122 GFN131122 GPJ131122 GZF131122 HJB131122 HSX131122 ICT131122 IMP131122 IWL131122 JGH131122 JQD131122 JZZ131122 KJV131122 KTR131122 LDN131122 LNJ131122 LXF131122 MHB131122 MQX131122 NAT131122 NKP131122 NUL131122 OEH131122 OOD131122 OXZ131122 PHV131122 PRR131122 QBN131122 QLJ131122 QVF131122 RFB131122 ROX131122 RYT131122 SIP131122 SSL131122 TCH131122 TMD131122 TVZ131122 UFV131122 UPR131122 UZN131122 VJJ131122 VTF131122 WDB131122 WMX131122 WWT131122 AK196658 KH196658 UD196658 ADZ196658 ANV196658 AXR196658 BHN196658 BRJ196658 CBF196658 CLB196658 CUX196658 DET196658 DOP196658 DYL196658 EIH196658 ESD196658 FBZ196658 FLV196658 FVR196658 GFN196658 GPJ196658 GZF196658 HJB196658 HSX196658 ICT196658 IMP196658 IWL196658 JGH196658 JQD196658 JZZ196658 KJV196658 KTR196658 LDN196658 LNJ196658 LXF196658 MHB196658 MQX196658 NAT196658 NKP196658 NUL196658 OEH196658 OOD196658 OXZ196658 PHV196658 PRR196658 QBN196658 QLJ196658 QVF196658 RFB196658 ROX196658 RYT196658 SIP196658 SSL196658 TCH196658 TMD196658 TVZ196658 UFV196658 UPR196658 UZN196658 VJJ196658 VTF196658 WDB196658 WMX196658 WWT196658 AK262194 KH262194 UD262194 ADZ262194 ANV262194 AXR262194 BHN262194 BRJ262194 CBF262194 CLB262194 CUX262194 DET262194 DOP262194 DYL262194 EIH262194 ESD262194 FBZ262194 FLV262194 FVR262194 GFN262194 GPJ262194 GZF262194 HJB262194 HSX262194 ICT262194 IMP262194 IWL262194 JGH262194 JQD262194 JZZ262194 KJV262194 KTR262194 LDN262194 LNJ262194 LXF262194 MHB262194 MQX262194 NAT262194 NKP262194 NUL262194 OEH262194 OOD262194 OXZ262194 PHV262194 PRR262194 QBN262194 QLJ262194 QVF262194 RFB262194 ROX262194 RYT262194 SIP262194 SSL262194 TCH262194 TMD262194 TVZ262194 UFV262194 UPR262194 UZN262194 VJJ262194 VTF262194 WDB262194 WMX262194 WWT262194 AK327730 KH327730 UD327730 ADZ327730 ANV327730 AXR327730 BHN327730 BRJ327730 CBF327730 CLB327730 CUX327730 DET327730 DOP327730 DYL327730 EIH327730 ESD327730 FBZ327730 FLV327730 FVR327730 GFN327730 GPJ327730 GZF327730 HJB327730 HSX327730 ICT327730 IMP327730 IWL327730 JGH327730 JQD327730 JZZ327730 KJV327730 KTR327730 LDN327730 LNJ327730 LXF327730 MHB327730 MQX327730 NAT327730 NKP327730 NUL327730 OEH327730 OOD327730 OXZ327730 PHV327730 PRR327730 QBN327730 QLJ327730 QVF327730 RFB327730 ROX327730 RYT327730 SIP327730 SSL327730 TCH327730 TMD327730 TVZ327730 UFV327730 UPR327730 UZN327730 VJJ327730 VTF327730 WDB327730 WMX327730 WWT327730 AK393266 KH393266 UD393266 ADZ393266 ANV393266 AXR393266 BHN393266 BRJ393266 CBF393266 CLB393266 CUX393266 DET393266 DOP393266 DYL393266 EIH393266 ESD393266 FBZ393266 FLV393266 FVR393266 GFN393266 GPJ393266 GZF393266 HJB393266 HSX393266 ICT393266 IMP393266 IWL393266 JGH393266 JQD393266 JZZ393266 KJV393266 KTR393266 LDN393266 LNJ393266 LXF393266 MHB393266 MQX393266 NAT393266 NKP393266 NUL393266 OEH393266 OOD393266 OXZ393266 PHV393266 PRR393266 QBN393266 QLJ393266 QVF393266 RFB393266 ROX393266 RYT393266 SIP393266 SSL393266 TCH393266 TMD393266 TVZ393266 UFV393266 UPR393266 UZN393266 VJJ393266 VTF393266 WDB393266 WMX393266 WWT393266 AK458802 KH458802 UD458802 ADZ458802 ANV458802 AXR458802 BHN458802 BRJ458802 CBF458802 CLB458802 CUX458802 DET458802 DOP458802 DYL458802 EIH458802 ESD458802 FBZ458802 FLV458802 FVR458802 GFN458802 GPJ458802 GZF458802 HJB458802 HSX458802 ICT458802 IMP458802 IWL458802 JGH458802 JQD458802 JZZ458802 KJV458802 KTR458802 LDN458802 LNJ458802 LXF458802 MHB458802 MQX458802 NAT458802 NKP458802 NUL458802 OEH458802 OOD458802 OXZ458802 PHV458802 PRR458802 QBN458802 QLJ458802 QVF458802 RFB458802 ROX458802 RYT458802 SIP458802 SSL458802 TCH458802 TMD458802 TVZ458802 UFV458802 UPR458802 UZN458802 VJJ458802 VTF458802 WDB458802 WMX458802 WWT458802 AK524338 KH524338 UD524338 ADZ524338 ANV524338 AXR524338 BHN524338 BRJ524338 CBF524338 CLB524338 CUX524338 DET524338 DOP524338 DYL524338 EIH524338 ESD524338 FBZ524338 FLV524338 FVR524338 GFN524338 GPJ524338 GZF524338 HJB524338 HSX524338 ICT524338 IMP524338 IWL524338 JGH524338 JQD524338 JZZ524338 KJV524338 KTR524338 LDN524338 LNJ524338 LXF524338 MHB524338 MQX524338 NAT524338 NKP524338 NUL524338 OEH524338 OOD524338 OXZ524338 PHV524338 PRR524338 QBN524338 QLJ524338 QVF524338 RFB524338 ROX524338 RYT524338 SIP524338 SSL524338 TCH524338 TMD524338 TVZ524338 UFV524338 UPR524338 UZN524338 VJJ524338 VTF524338 WDB524338 WMX524338 WWT524338 AK589874 KH589874 UD589874 ADZ589874 ANV589874 AXR589874 BHN589874 BRJ589874 CBF589874 CLB589874 CUX589874 DET589874 DOP589874 DYL589874 EIH589874 ESD589874 FBZ589874 FLV589874 FVR589874 GFN589874 GPJ589874 GZF589874 HJB589874 HSX589874 ICT589874 IMP589874 IWL589874 JGH589874 JQD589874 JZZ589874 KJV589874 KTR589874 LDN589874 LNJ589874 LXF589874 MHB589874 MQX589874 NAT589874 NKP589874 NUL589874 OEH589874 OOD589874 OXZ589874 PHV589874 PRR589874 QBN589874 QLJ589874 QVF589874 RFB589874 ROX589874 RYT589874 SIP589874 SSL589874 TCH589874 TMD589874 TVZ589874 UFV589874 UPR589874 UZN589874 VJJ589874 VTF589874 WDB589874 WMX589874 WWT589874 AK655410 KH655410 UD655410 ADZ655410 ANV655410 AXR655410 BHN655410 BRJ655410 CBF655410 CLB655410 CUX655410 DET655410 DOP655410 DYL655410 EIH655410 ESD655410 FBZ655410 FLV655410 FVR655410 GFN655410 GPJ655410 GZF655410 HJB655410 HSX655410 ICT655410 IMP655410 IWL655410 JGH655410 JQD655410 JZZ655410 KJV655410 KTR655410 LDN655410 LNJ655410 LXF655410 MHB655410 MQX655410 NAT655410 NKP655410 NUL655410 OEH655410 OOD655410 OXZ655410 PHV655410 PRR655410 QBN655410 QLJ655410 QVF655410 RFB655410 ROX655410 RYT655410 SIP655410 SSL655410 TCH655410 TMD655410 TVZ655410 UFV655410 UPR655410 UZN655410 VJJ655410 VTF655410 WDB655410 WMX655410 WWT655410 AK720946 KH720946 UD720946 ADZ720946 ANV720946 AXR720946 BHN720946 BRJ720946 CBF720946 CLB720946 CUX720946 DET720946 DOP720946 DYL720946 EIH720946 ESD720946 FBZ720946 FLV720946 FVR720946 GFN720946 GPJ720946 GZF720946 HJB720946 HSX720946 ICT720946 IMP720946 IWL720946 JGH720946 JQD720946 JZZ720946 KJV720946 KTR720946 LDN720946 LNJ720946 LXF720946 MHB720946 MQX720946 NAT720946 NKP720946 NUL720946 OEH720946 OOD720946 OXZ720946 PHV720946 PRR720946 QBN720946 QLJ720946 QVF720946 RFB720946 ROX720946 RYT720946 SIP720946 SSL720946 TCH720946 TMD720946 TVZ720946 UFV720946 UPR720946 UZN720946 VJJ720946 VTF720946 WDB720946 WMX720946 WWT720946 AK786482 KH786482 UD786482 ADZ786482 ANV786482 AXR786482 BHN786482 BRJ786482 CBF786482 CLB786482 CUX786482 DET786482 DOP786482 DYL786482 EIH786482 ESD786482 FBZ786482 FLV786482 FVR786482 GFN786482 GPJ786482 GZF786482 HJB786482 HSX786482 ICT786482 IMP786482 IWL786482 JGH786482 JQD786482 JZZ786482 KJV786482 KTR786482 LDN786482 LNJ786482 LXF786482 MHB786482 MQX786482 NAT786482 NKP786482 NUL786482 OEH786482 OOD786482 OXZ786482 PHV786482 PRR786482 QBN786482 QLJ786482 QVF786482 RFB786482 ROX786482 RYT786482 SIP786482 SSL786482 TCH786482 TMD786482 TVZ786482 UFV786482 UPR786482 UZN786482 VJJ786482 VTF786482 WDB786482 WMX786482 WWT786482 AK852018 KH852018 UD852018 ADZ852018 ANV852018 AXR852018 BHN852018 BRJ852018 CBF852018 CLB852018 CUX852018 DET852018 DOP852018 DYL852018 EIH852018 ESD852018 FBZ852018 FLV852018 FVR852018 GFN852018 GPJ852018 GZF852018 HJB852018 HSX852018 ICT852018 IMP852018 IWL852018 JGH852018 JQD852018 JZZ852018 KJV852018 KTR852018 LDN852018 LNJ852018 LXF852018 MHB852018 MQX852018 NAT852018 NKP852018 NUL852018 OEH852018 OOD852018 OXZ852018 PHV852018 PRR852018 QBN852018 QLJ852018 QVF852018 RFB852018 ROX852018 RYT852018 SIP852018 SSL852018 TCH852018 TMD852018 TVZ852018 UFV852018 UPR852018 UZN852018 VJJ852018 VTF852018 WDB852018 WMX852018 WWT852018 AK917554 KH917554 UD917554 ADZ917554 ANV917554 AXR917554 BHN917554 BRJ917554 CBF917554 CLB917554 CUX917554 DET917554 DOP917554 DYL917554 EIH917554 ESD917554 FBZ917554 FLV917554 FVR917554 GFN917554 GPJ917554 GZF917554 HJB917554 HSX917554 ICT917554 IMP917554 IWL917554 JGH917554 JQD917554 JZZ917554 KJV917554 KTR917554 LDN917554 LNJ917554 LXF917554 MHB917554 MQX917554 NAT917554 NKP917554 NUL917554 OEH917554 OOD917554 OXZ917554 PHV917554 PRR917554 QBN917554 QLJ917554 QVF917554 RFB917554 ROX917554 RYT917554 SIP917554 SSL917554 TCH917554 TMD917554 TVZ917554 UFV917554 UPR917554 UZN917554 VJJ917554 VTF917554 WDB917554 WMX917554 WWT917554 AK983090 KH983090 UD983090 ADZ983090 ANV983090 AXR983090 BHN983090 BRJ983090 CBF983090 CLB983090 CUX983090 DET983090 DOP983090 DYL983090 EIH983090 ESD983090 FBZ983090 FLV983090 FVR983090 GFN983090 GPJ983090 GZF983090 HJB983090 HSX983090 ICT983090 IMP983090 IWL983090 JGH983090 JQD983090 JZZ983090 KJV983090 KTR983090 LDN983090 LNJ983090 LXF983090 MHB983090 MQX983090 NAT983090 NKP983090 NUL983090 OEH983090 OOD983090 OXZ983090 PHV983090 PRR983090 QBN983090 QLJ983090 QVF983090 RFB983090 ROX983090 RYT983090 SIP983090 SSL983090 TCH983090 TMD983090 TVZ983090 UFV983090 UPR983090 UZN983090 VJJ983090 VTF983090 WDB983090 WMX983090 WWT983090 OOD983094 KH25 UD25 ADZ25 ANV25 AXR25 BHN25 BRJ25 CBF25 CLB25 CUX25 DET25 DOP25 DYL25 EIH25 ESD25 FBZ25 FLV25 FVR25 GFN25 GPJ25 GZF25 HJB25 HSX25 ICT25 IMP25 IWL25 JGH25 JQD25 JZZ25 KJV25 KTR25 LDN25 LNJ25 LXF25 MHB25 MQX25 NAT25 NKP25 NUL25 OEH25 OOD25 OXZ25 PHV25 PRR25 QBN25 QLJ25 QVF25 RFB25 ROX25 RYT25 SIP25 SSL25 TCH25 TMD25 TVZ25 UFV25 UPR25 UZN25 VJJ25 VTF25 WDB25 WMX25 WWT25 AK65588 KH65588 UD65588 ADZ65588 ANV65588 AXR65588 BHN65588 BRJ65588 CBF65588 CLB65588 CUX65588 DET65588 DOP65588 DYL65588 EIH65588 ESD65588 FBZ65588 FLV65588 FVR65588 GFN65588 GPJ65588 GZF65588 HJB65588 HSX65588 ICT65588 IMP65588 IWL65588 JGH65588 JQD65588 JZZ65588 KJV65588 KTR65588 LDN65588 LNJ65588 LXF65588 MHB65588 MQX65588 NAT65588 NKP65588 NUL65588 OEH65588 OOD65588 OXZ65588 PHV65588 PRR65588 QBN65588 QLJ65588 QVF65588 RFB65588 ROX65588 RYT65588 SIP65588 SSL65588 TCH65588 TMD65588 TVZ65588 UFV65588 UPR65588 UZN65588 VJJ65588 VTF65588 WDB65588 WMX65588 WWT65588 AK131124 KH131124 UD131124 ADZ131124 ANV131124 AXR131124 BHN131124 BRJ131124 CBF131124 CLB131124 CUX131124 DET131124 DOP131124 DYL131124 EIH131124 ESD131124 FBZ131124 FLV131124 FVR131124 GFN131124 GPJ131124 GZF131124 HJB131124 HSX131124 ICT131124 IMP131124 IWL131124 JGH131124 JQD131124 JZZ131124 KJV131124 KTR131124 LDN131124 LNJ131124 LXF131124 MHB131124 MQX131124 NAT131124 NKP131124 NUL131124 OEH131124 OOD131124 OXZ131124 PHV131124 PRR131124 QBN131124 QLJ131124 QVF131124 RFB131124 ROX131124 RYT131124 SIP131124 SSL131124 TCH131124 TMD131124 TVZ131124 UFV131124 UPR131124 UZN131124 VJJ131124 VTF131124 WDB131124 WMX131124 WWT131124 AK196660 KH196660 UD196660 ADZ196660 ANV196660 AXR196660 BHN196660 BRJ196660 CBF196660 CLB196660 CUX196660 DET196660 DOP196660 DYL196660 EIH196660 ESD196660 FBZ196660 FLV196660 FVR196660 GFN196660 GPJ196660 GZF196660 HJB196660 HSX196660 ICT196660 IMP196660 IWL196660 JGH196660 JQD196660 JZZ196660 KJV196660 KTR196660 LDN196660 LNJ196660 LXF196660 MHB196660 MQX196660 NAT196660 NKP196660 NUL196660 OEH196660 OOD196660 OXZ196660 PHV196660 PRR196660 QBN196660 QLJ196660 QVF196660 RFB196660 ROX196660 RYT196660 SIP196660 SSL196660 TCH196660 TMD196660 TVZ196660 UFV196660 UPR196660 UZN196660 VJJ196660 VTF196660 WDB196660 WMX196660 WWT196660 AK262196 KH262196 UD262196 ADZ262196 ANV262196 AXR262196 BHN262196 BRJ262196 CBF262196 CLB262196 CUX262196 DET262196 DOP262196 DYL262196 EIH262196 ESD262196 FBZ262196 FLV262196 FVR262196 GFN262196 GPJ262196 GZF262196 HJB262196 HSX262196 ICT262196 IMP262196 IWL262196 JGH262196 JQD262196 JZZ262196 KJV262196 KTR262196 LDN262196 LNJ262196 LXF262196 MHB262196 MQX262196 NAT262196 NKP262196 NUL262196 OEH262196 OOD262196 OXZ262196 PHV262196 PRR262196 QBN262196 QLJ262196 QVF262196 RFB262196 ROX262196 RYT262196 SIP262196 SSL262196 TCH262196 TMD262196 TVZ262196 UFV262196 UPR262196 UZN262196 VJJ262196 VTF262196 WDB262196 WMX262196 WWT262196 AK327732 KH327732 UD327732 ADZ327732 ANV327732 AXR327732 BHN327732 BRJ327732 CBF327732 CLB327732 CUX327732 DET327732 DOP327732 DYL327732 EIH327732 ESD327732 FBZ327732 FLV327732 FVR327732 GFN327732 GPJ327732 GZF327732 HJB327732 HSX327732 ICT327732 IMP327732 IWL327732 JGH327732 JQD327732 JZZ327732 KJV327732 KTR327732 LDN327732 LNJ327732 LXF327732 MHB327732 MQX327732 NAT327732 NKP327732 NUL327732 OEH327732 OOD327732 OXZ327732 PHV327732 PRR327732 QBN327732 QLJ327732 QVF327732 RFB327732 ROX327732 RYT327732 SIP327732 SSL327732 TCH327732 TMD327732 TVZ327732 UFV327732 UPR327732 UZN327732 VJJ327732 VTF327732 WDB327732 WMX327732 WWT327732 AK393268 KH393268 UD393268 ADZ393268 ANV393268 AXR393268 BHN393268 BRJ393268 CBF393268 CLB393268 CUX393268 DET393268 DOP393268 DYL393268 EIH393268 ESD393268 FBZ393268 FLV393268 FVR393268 GFN393268 GPJ393268 GZF393268 HJB393268 HSX393268 ICT393268 IMP393268 IWL393268 JGH393268 JQD393268 JZZ393268 KJV393268 KTR393268 LDN393268 LNJ393268 LXF393268 MHB393268 MQX393268 NAT393268 NKP393268 NUL393268 OEH393268 OOD393268 OXZ393268 PHV393268 PRR393268 QBN393268 QLJ393268 QVF393268 RFB393268 ROX393268 RYT393268 SIP393268 SSL393268 TCH393268 TMD393268 TVZ393268 UFV393268 UPR393268 UZN393268 VJJ393268 VTF393268 WDB393268 WMX393268 WWT393268 AK458804 KH458804 UD458804 ADZ458804 ANV458804 AXR458804 BHN458804 BRJ458804 CBF458804 CLB458804 CUX458804 DET458804 DOP458804 DYL458804 EIH458804 ESD458804 FBZ458804 FLV458804 FVR458804 GFN458804 GPJ458804 GZF458804 HJB458804 HSX458804 ICT458804 IMP458804 IWL458804 JGH458804 JQD458804 JZZ458804 KJV458804 KTR458804 LDN458804 LNJ458804 LXF458804 MHB458804 MQX458804 NAT458804 NKP458804 NUL458804 OEH458804 OOD458804 OXZ458804 PHV458804 PRR458804 QBN458804 QLJ458804 QVF458804 RFB458804 ROX458804 RYT458804 SIP458804 SSL458804 TCH458804 TMD458804 TVZ458804 UFV458804 UPR458804 UZN458804 VJJ458804 VTF458804 WDB458804 WMX458804 WWT458804 AK524340 KH524340 UD524340 ADZ524340 ANV524340 AXR524340 BHN524340 BRJ524340 CBF524340 CLB524340 CUX524340 DET524340 DOP524340 DYL524340 EIH524340 ESD524340 FBZ524340 FLV524340 FVR524340 GFN524340 GPJ524340 GZF524340 HJB524340 HSX524340 ICT524340 IMP524340 IWL524340 JGH524340 JQD524340 JZZ524340 KJV524340 KTR524340 LDN524340 LNJ524340 LXF524340 MHB524340 MQX524340 NAT524340 NKP524340 NUL524340 OEH524340 OOD524340 OXZ524340 PHV524340 PRR524340 QBN524340 QLJ524340 QVF524340 RFB524340 ROX524340 RYT524340 SIP524340 SSL524340 TCH524340 TMD524340 TVZ524340 UFV524340 UPR524340 UZN524340 VJJ524340 VTF524340 WDB524340 WMX524340 WWT524340 AK589876 KH589876 UD589876 ADZ589876 ANV589876 AXR589876 BHN589876 BRJ589876 CBF589876 CLB589876 CUX589876 DET589876 DOP589876 DYL589876 EIH589876 ESD589876 FBZ589876 FLV589876 FVR589876 GFN589876 GPJ589876 GZF589876 HJB589876 HSX589876 ICT589876 IMP589876 IWL589876 JGH589876 JQD589876 JZZ589876 KJV589876 KTR589876 LDN589876 LNJ589876 LXF589876 MHB589876 MQX589876 NAT589876 NKP589876 NUL589876 OEH589876 OOD589876 OXZ589876 PHV589876 PRR589876 QBN589876 QLJ589876 QVF589876 RFB589876 ROX589876 RYT589876 SIP589876 SSL589876 TCH589876 TMD589876 TVZ589876 UFV589876 UPR589876 UZN589876 VJJ589876 VTF589876 WDB589876 WMX589876 WWT589876 AK655412 KH655412 UD655412 ADZ655412 ANV655412 AXR655412 BHN655412 BRJ655412 CBF655412 CLB655412 CUX655412 DET655412 DOP655412 DYL655412 EIH655412 ESD655412 FBZ655412 FLV655412 FVR655412 GFN655412 GPJ655412 GZF655412 HJB655412 HSX655412 ICT655412 IMP655412 IWL655412 JGH655412 JQD655412 JZZ655412 KJV655412 KTR655412 LDN655412 LNJ655412 LXF655412 MHB655412 MQX655412 NAT655412 NKP655412 NUL655412 OEH655412 OOD655412 OXZ655412 PHV655412 PRR655412 QBN655412 QLJ655412 QVF655412 RFB655412 ROX655412 RYT655412 SIP655412 SSL655412 TCH655412 TMD655412 TVZ655412 UFV655412 UPR655412 UZN655412 VJJ655412 VTF655412 WDB655412 WMX655412 WWT655412 AK720948 KH720948 UD720948 ADZ720948 ANV720948 AXR720948 BHN720948 BRJ720948 CBF720948 CLB720948 CUX720948 DET720948 DOP720948 DYL720948 EIH720948 ESD720948 FBZ720948 FLV720948 FVR720948 GFN720948 GPJ720948 GZF720948 HJB720948 HSX720948 ICT720948 IMP720948 IWL720948 JGH720948 JQD720948 JZZ720948 KJV720948 KTR720948 LDN720948 LNJ720948 LXF720948 MHB720948 MQX720948 NAT720948 NKP720948 NUL720948 OEH720948 OOD720948 OXZ720948 PHV720948 PRR720948 QBN720948 QLJ720948 QVF720948 RFB720948 ROX720948 RYT720948 SIP720948 SSL720948 TCH720948 TMD720948 TVZ720948 UFV720948 UPR720948 UZN720948 VJJ720948 VTF720948 WDB720948 WMX720948 WWT720948 AK786484 KH786484 UD786484 ADZ786484 ANV786484 AXR786484 BHN786484 BRJ786484 CBF786484 CLB786484 CUX786484 DET786484 DOP786484 DYL786484 EIH786484 ESD786484 FBZ786484 FLV786484 FVR786484 GFN786484 GPJ786484 GZF786484 HJB786484 HSX786484 ICT786484 IMP786484 IWL786484 JGH786484 JQD786484 JZZ786484 KJV786484 KTR786484 LDN786484 LNJ786484 LXF786484 MHB786484 MQX786484 NAT786484 NKP786484 NUL786484 OEH786484 OOD786484 OXZ786484 PHV786484 PRR786484 QBN786484 QLJ786484 QVF786484 RFB786484 ROX786484 RYT786484 SIP786484 SSL786484 TCH786484 TMD786484 TVZ786484 UFV786484 UPR786484 UZN786484 VJJ786484 VTF786484 WDB786484 WMX786484 WWT786484 AK852020 KH852020 UD852020 ADZ852020 ANV852020 AXR852020 BHN852020 BRJ852020 CBF852020 CLB852020 CUX852020 DET852020 DOP852020 DYL852020 EIH852020 ESD852020 FBZ852020 FLV852020 FVR852020 GFN852020 GPJ852020 GZF852020 HJB852020 HSX852020 ICT852020 IMP852020 IWL852020 JGH852020 JQD852020 JZZ852020 KJV852020 KTR852020 LDN852020 LNJ852020 LXF852020 MHB852020 MQX852020 NAT852020 NKP852020 NUL852020 OEH852020 OOD852020 OXZ852020 PHV852020 PRR852020 QBN852020 QLJ852020 QVF852020 RFB852020 ROX852020 RYT852020 SIP852020 SSL852020 TCH852020 TMD852020 TVZ852020 UFV852020 UPR852020 UZN852020 VJJ852020 VTF852020 WDB852020 WMX852020 WWT852020 AK917556 KH917556 UD917556 ADZ917556 ANV917556 AXR917556 BHN917556 BRJ917556 CBF917556 CLB917556 CUX917556 DET917556 DOP917556 DYL917556 EIH917556 ESD917556 FBZ917556 FLV917556 FVR917556 GFN917556 GPJ917556 GZF917556 HJB917556 HSX917556 ICT917556 IMP917556 IWL917556 JGH917556 JQD917556 JZZ917556 KJV917556 KTR917556 LDN917556 LNJ917556 LXF917556 MHB917556 MQX917556 NAT917556 NKP917556 NUL917556 OEH917556 OOD917556 OXZ917556 PHV917556 PRR917556 QBN917556 QLJ917556 QVF917556 RFB917556 ROX917556 RYT917556 SIP917556 SSL917556 TCH917556 TMD917556 TVZ917556 UFV917556 UPR917556 UZN917556 VJJ917556 VTF917556 WDB917556 WMX917556 WWT917556 AK983092 KH983092 UD983092 ADZ983092 ANV983092 AXR983092 BHN983092 BRJ983092 CBF983092 CLB983092 CUX983092 DET983092 DOP983092 DYL983092 EIH983092 ESD983092 FBZ983092 FLV983092 FVR983092 GFN983092 GPJ983092 GZF983092 HJB983092 HSX983092 ICT983092 IMP983092 IWL983092 JGH983092 JQD983092 JZZ983092 KJV983092 KTR983092 LDN983092 LNJ983092 LXF983092 MHB983092 MQX983092 NAT983092 NKP983092 NUL983092 OEH983092 OOD983092 OXZ983092 PHV983092 PRR983092 QBN983092 QLJ983092 QVF983092 RFB983092 ROX983092 RYT983092 SIP983092 SSL983092 TCH983092 TMD983092 TVZ983092 UFV983092 UPR983092 UZN983092 VJJ983092 VTF983092 WDB983092 WMX983092 WWT983092 B25 JD27 SZ27 ACV27 AMR27 AWN27 BGJ27 BQF27 CAB27 CJX27 CTT27 DDP27 DNL27 DXH27 EHD27 EQZ27 FAV27 FKR27 FUN27 GEJ27 GOF27 GYB27 HHX27 HRT27 IBP27 ILL27 IVH27 JFD27 JOZ27 JYV27 KIR27 KSN27 LCJ27 LMF27 LWB27 MFX27 MPT27 MZP27 NJL27 NTH27 ODD27 OMZ27 OWV27 PGR27 PQN27 QAJ27 QKF27 QUB27 RDX27 RNT27 RXP27 SHL27 SRH27 TBD27 TKZ27 TUV27 UER27 UON27 UYJ27 VIF27 VSB27 WBX27 WLT27 WVP27 B65590 JD65590 SZ65590 ACV65590 AMR65590 AWN65590 BGJ65590 BQF65590 CAB65590 CJX65590 CTT65590 DDP65590 DNL65590 DXH65590 EHD65590 EQZ65590 FAV65590 FKR65590 FUN65590 GEJ65590 GOF65590 GYB65590 HHX65590 HRT65590 IBP65590 ILL65590 IVH65590 JFD65590 JOZ65590 JYV65590 KIR65590 KSN65590 LCJ65590 LMF65590 LWB65590 MFX65590 MPT65590 MZP65590 NJL65590 NTH65590 ODD65590 OMZ65590 OWV65590 PGR65590 PQN65590 QAJ65590 QKF65590 QUB65590 RDX65590 RNT65590 RXP65590 SHL65590 SRH65590 TBD65590 TKZ65590 TUV65590 UER65590 UON65590 UYJ65590 VIF65590 VSB65590 WBX65590 WLT65590 WVP65590 B131126 JD131126 SZ131126 ACV131126 AMR131126 AWN131126 BGJ131126 BQF131126 CAB131126 CJX131126 CTT131126 DDP131126 DNL131126 DXH131126 EHD131126 EQZ131126 FAV131126 FKR131126 FUN131126 GEJ131126 GOF131126 GYB131126 HHX131126 HRT131126 IBP131126 ILL131126 IVH131126 JFD131126 JOZ131126 JYV131126 KIR131126 KSN131126 LCJ131126 LMF131126 LWB131126 MFX131126 MPT131126 MZP131126 NJL131126 NTH131126 ODD131126 OMZ131126 OWV131126 PGR131126 PQN131126 QAJ131126 QKF131126 QUB131126 RDX131126 RNT131126 RXP131126 SHL131126 SRH131126 TBD131126 TKZ131126 TUV131126 UER131126 UON131126 UYJ131126 VIF131126 VSB131126 WBX131126 WLT131126 WVP131126 B196662 JD196662 SZ196662 ACV196662 AMR196662 AWN196662 BGJ196662 BQF196662 CAB196662 CJX196662 CTT196662 DDP196662 DNL196662 DXH196662 EHD196662 EQZ196662 FAV196662 FKR196662 FUN196662 GEJ196662 GOF196662 GYB196662 HHX196662 HRT196662 IBP196662 ILL196662 IVH196662 JFD196662 JOZ196662 JYV196662 KIR196662 KSN196662 LCJ196662 LMF196662 LWB196662 MFX196662 MPT196662 MZP196662 NJL196662 NTH196662 ODD196662 OMZ196662 OWV196662 PGR196662 PQN196662 QAJ196662 QKF196662 QUB196662 RDX196662 RNT196662 RXP196662 SHL196662 SRH196662 TBD196662 TKZ196662 TUV196662 UER196662 UON196662 UYJ196662 VIF196662 VSB196662 WBX196662 WLT196662 WVP196662 B262198 JD262198 SZ262198 ACV262198 AMR262198 AWN262198 BGJ262198 BQF262198 CAB262198 CJX262198 CTT262198 DDP262198 DNL262198 DXH262198 EHD262198 EQZ262198 FAV262198 FKR262198 FUN262198 GEJ262198 GOF262198 GYB262198 HHX262198 HRT262198 IBP262198 ILL262198 IVH262198 JFD262198 JOZ262198 JYV262198 KIR262198 KSN262198 LCJ262198 LMF262198 LWB262198 MFX262198 MPT262198 MZP262198 NJL262198 NTH262198 ODD262198 OMZ262198 OWV262198 PGR262198 PQN262198 QAJ262198 QKF262198 QUB262198 RDX262198 RNT262198 RXP262198 SHL262198 SRH262198 TBD262198 TKZ262198 TUV262198 UER262198 UON262198 UYJ262198 VIF262198 VSB262198 WBX262198 WLT262198 WVP262198 B327734 JD327734 SZ327734 ACV327734 AMR327734 AWN327734 BGJ327734 BQF327734 CAB327734 CJX327734 CTT327734 DDP327734 DNL327734 DXH327734 EHD327734 EQZ327734 FAV327734 FKR327734 FUN327734 GEJ327734 GOF327734 GYB327734 HHX327734 HRT327734 IBP327734 ILL327734 IVH327734 JFD327734 JOZ327734 JYV327734 KIR327734 KSN327734 LCJ327734 LMF327734 LWB327734 MFX327734 MPT327734 MZP327734 NJL327734 NTH327734 ODD327734 OMZ327734 OWV327734 PGR327734 PQN327734 QAJ327734 QKF327734 QUB327734 RDX327734 RNT327734 RXP327734 SHL327734 SRH327734 TBD327734 TKZ327734 TUV327734 UER327734 UON327734 UYJ327734 VIF327734 VSB327734 WBX327734 WLT327734 WVP327734 B393270 JD393270 SZ393270 ACV393270 AMR393270 AWN393270 BGJ393270 BQF393270 CAB393270 CJX393270 CTT393270 DDP393270 DNL393270 DXH393270 EHD393270 EQZ393270 FAV393270 FKR393270 FUN393270 GEJ393270 GOF393270 GYB393270 HHX393270 HRT393270 IBP393270 ILL393270 IVH393270 JFD393270 JOZ393270 JYV393270 KIR393270 KSN393270 LCJ393270 LMF393270 LWB393270 MFX393270 MPT393270 MZP393270 NJL393270 NTH393270 ODD393270 OMZ393270 OWV393270 PGR393270 PQN393270 QAJ393270 QKF393270 QUB393270 RDX393270 RNT393270 RXP393270 SHL393270 SRH393270 TBD393270 TKZ393270 TUV393270 UER393270 UON393270 UYJ393270 VIF393270 VSB393270 WBX393270 WLT393270 WVP393270 B458806 JD458806 SZ458806 ACV458806 AMR458806 AWN458806 BGJ458806 BQF458806 CAB458806 CJX458806 CTT458806 DDP458806 DNL458806 DXH458806 EHD458806 EQZ458806 FAV458806 FKR458806 FUN458806 GEJ458806 GOF458806 GYB458806 HHX458806 HRT458806 IBP458806 ILL458806 IVH458806 JFD458806 JOZ458806 JYV458806 KIR458806 KSN458806 LCJ458806 LMF458806 LWB458806 MFX458806 MPT458806 MZP458806 NJL458806 NTH458806 ODD458806 OMZ458806 OWV458806 PGR458806 PQN458806 QAJ458806 QKF458806 QUB458806 RDX458806 RNT458806 RXP458806 SHL458806 SRH458806 TBD458806 TKZ458806 TUV458806 UER458806 UON458806 UYJ458806 VIF458806 VSB458806 WBX458806 WLT458806 WVP458806 B524342 JD524342 SZ524342 ACV524342 AMR524342 AWN524342 BGJ524342 BQF524342 CAB524342 CJX524342 CTT524342 DDP524342 DNL524342 DXH524342 EHD524342 EQZ524342 FAV524342 FKR524342 FUN524342 GEJ524342 GOF524342 GYB524342 HHX524342 HRT524342 IBP524342 ILL524342 IVH524342 JFD524342 JOZ524342 JYV524342 KIR524342 KSN524342 LCJ524342 LMF524342 LWB524342 MFX524342 MPT524342 MZP524342 NJL524342 NTH524342 ODD524342 OMZ524342 OWV524342 PGR524342 PQN524342 QAJ524342 QKF524342 QUB524342 RDX524342 RNT524342 RXP524342 SHL524342 SRH524342 TBD524342 TKZ524342 TUV524342 UER524342 UON524342 UYJ524342 VIF524342 VSB524342 WBX524342 WLT524342 WVP524342 B589878 JD589878 SZ589878 ACV589878 AMR589878 AWN589878 BGJ589878 BQF589878 CAB589878 CJX589878 CTT589878 DDP589878 DNL589878 DXH589878 EHD589878 EQZ589878 FAV589878 FKR589878 FUN589878 GEJ589878 GOF589878 GYB589878 HHX589878 HRT589878 IBP589878 ILL589878 IVH589878 JFD589878 JOZ589878 JYV589878 KIR589878 KSN589878 LCJ589878 LMF589878 LWB589878 MFX589878 MPT589878 MZP589878 NJL589878 NTH589878 ODD589878 OMZ589878 OWV589878 PGR589878 PQN589878 QAJ589878 QKF589878 QUB589878 RDX589878 RNT589878 RXP589878 SHL589878 SRH589878 TBD589878 TKZ589878 TUV589878 UER589878 UON589878 UYJ589878 VIF589878 VSB589878 WBX589878 WLT589878 WVP589878 B655414 JD655414 SZ655414 ACV655414 AMR655414 AWN655414 BGJ655414 BQF655414 CAB655414 CJX655414 CTT655414 DDP655414 DNL655414 DXH655414 EHD655414 EQZ655414 FAV655414 FKR655414 FUN655414 GEJ655414 GOF655414 GYB655414 HHX655414 HRT655414 IBP655414 ILL655414 IVH655414 JFD655414 JOZ655414 JYV655414 KIR655414 KSN655414 LCJ655414 LMF655414 LWB655414 MFX655414 MPT655414 MZP655414 NJL655414 NTH655414 ODD655414 OMZ655414 OWV655414 PGR655414 PQN655414 QAJ655414 QKF655414 QUB655414 RDX655414 RNT655414 RXP655414 SHL655414 SRH655414 TBD655414 TKZ655414 TUV655414 UER655414 UON655414 UYJ655414 VIF655414 VSB655414 WBX655414 WLT655414 WVP655414 B720950 JD720950 SZ720950 ACV720950 AMR720950 AWN720950 BGJ720950 BQF720950 CAB720950 CJX720950 CTT720950 DDP720950 DNL720950 DXH720950 EHD720950 EQZ720950 FAV720950 FKR720950 FUN720950 GEJ720950 GOF720950 GYB720950 HHX720950 HRT720950 IBP720950 ILL720950 IVH720950 JFD720950 JOZ720950 JYV720950 KIR720950 KSN720950 LCJ720950 LMF720950 LWB720950 MFX720950 MPT720950 MZP720950 NJL720950 NTH720950 ODD720950 OMZ720950 OWV720950 PGR720950 PQN720950 QAJ720950 QKF720950 QUB720950 RDX720950 RNT720950 RXP720950 SHL720950 SRH720950 TBD720950 TKZ720950 TUV720950 UER720950 UON720950 UYJ720950 VIF720950 VSB720950 WBX720950 WLT720950 WVP720950 B786486 JD786486 SZ786486 ACV786486 AMR786486 AWN786486 BGJ786486 BQF786486 CAB786486 CJX786486 CTT786486 DDP786486 DNL786486 DXH786486 EHD786486 EQZ786486 FAV786486 FKR786486 FUN786486 GEJ786486 GOF786486 GYB786486 HHX786486 HRT786486 IBP786486 ILL786486 IVH786486 JFD786486 JOZ786486 JYV786486 KIR786486 KSN786486 LCJ786486 LMF786486 LWB786486 MFX786486 MPT786486 MZP786486 NJL786486 NTH786486 ODD786486 OMZ786486 OWV786486 PGR786486 PQN786486 QAJ786486 QKF786486 QUB786486 RDX786486 RNT786486 RXP786486 SHL786486 SRH786486 TBD786486 TKZ786486 TUV786486 UER786486 UON786486 UYJ786486 VIF786486 VSB786486 WBX786486 WLT786486 WVP786486 B852022 JD852022 SZ852022 ACV852022 AMR852022 AWN852022 BGJ852022 BQF852022 CAB852022 CJX852022 CTT852022 DDP852022 DNL852022 DXH852022 EHD852022 EQZ852022 FAV852022 FKR852022 FUN852022 GEJ852022 GOF852022 GYB852022 HHX852022 HRT852022 IBP852022 ILL852022 IVH852022 JFD852022 JOZ852022 JYV852022 KIR852022 KSN852022 LCJ852022 LMF852022 LWB852022 MFX852022 MPT852022 MZP852022 NJL852022 NTH852022 ODD852022 OMZ852022 OWV852022 PGR852022 PQN852022 QAJ852022 QKF852022 QUB852022 RDX852022 RNT852022 RXP852022 SHL852022 SRH852022 TBD852022 TKZ852022 TUV852022 UER852022 UON852022 UYJ852022 VIF852022 VSB852022 WBX852022 WLT852022 WVP852022 B917558 JD917558 SZ917558 ACV917558 AMR917558 AWN917558 BGJ917558 BQF917558 CAB917558 CJX917558 CTT917558 DDP917558 DNL917558 DXH917558 EHD917558 EQZ917558 FAV917558 FKR917558 FUN917558 GEJ917558 GOF917558 GYB917558 HHX917558 HRT917558 IBP917558 ILL917558 IVH917558 JFD917558 JOZ917558 JYV917558 KIR917558 KSN917558 LCJ917558 LMF917558 LWB917558 MFX917558 MPT917558 MZP917558 NJL917558 NTH917558 ODD917558 OMZ917558 OWV917558 PGR917558 PQN917558 QAJ917558 QKF917558 QUB917558 RDX917558 RNT917558 RXP917558 SHL917558 SRH917558 TBD917558 TKZ917558 TUV917558 UER917558 UON917558 UYJ917558 VIF917558 VSB917558 WBX917558 WLT917558 WVP917558 B983094 JD983094 SZ983094 ACV983094 AMR983094 AWN983094 BGJ983094 BQF983094 CAB983094 CJX983094 CTT983094 DDP983094 DNL983094 DXH983094 EHD983094 EQZ983094 FAV983094 FKR983094 FUN983094 GEJ983094 GOF983094 GYB983094 HHX983094 HRT983094 IBP983094 ILL983094 IVH983094 JFD983094 JOZ983094 JYV983094 KIR983094 KSN983094 LCJ983094 LMF983094 LWB983094 MFX983094 MPT983094 MZP983094 NJL983094 NTH983094 ODD983094 OMZ983094 OWV983094 PGR983094 PQN983094 QAJ983094 QKF983094 QUB983094 RDX983094 RNT983094 RXP983094 SHL983094 SRH983094 TBD983094 TKZ983094 TUV983094 UER983094 UON983094 UYJ983094 VIF983094 VSB983094 WBX983094 WLT983094 WVP983094 OXZ983094 JP27 TL27 ADH27 AND27 AWZ27 BGV27 BQR27 CAN27 CKJ27 CUF27 DEB27 DNX27 DXT27 EHP27 ERL27 FBH27 FLD27 FUZ27 GEV27 GOR27 GYN27 HIJ27 HSF27 ICB27 ILX27 IVT27 JFP27 JPL27 JZH27 KJD27 KSZ27 LCV27 LMR27 LWN27 MGJ27 MQF27 NAB27 NJX27 NTT27 ODP27 ONL27 OXH27 PHD27 PQZ27 QAV27 QKR27 QUN27 REJ27 ROF27 RYB27 SHX27 SRT27 TBP27 TLL27 TVH27 UFD27 UOZ27 UYV27 VIR27 VSN27 WCJ27 WMF27 WWB27 S65590 JP65590 TL65590 ADH65590 AND65590 AWZ65590 BGV65590 BQR65590 CAN65590 CKJ65590 CUF65590 DEB65590 DNX65590 DXT65590 EHP65590 ERL65590 FBH65590 FLD65590 FUZ65590 GEV65590 GOR65590 GYN65590 HIJ65590 HSF65590 ICB65590 ILX65590 IVT65590 JFP65590 JPL65590 JZH65590 KJD65590 KSZ65590 LCV65590 LMR65590 LWN65590 MGJ65590 MQF65590 NAB65590 NJX65590 NTT65590 ODP65590 ONL65590 OXH65590 PHD65590 PQZ65590 QAV65590 QKR65590 QUN65590 REJ65590 ROF65590 RYB65590 SHX65590 SRT65590 TBP65590 TLL65590 TVH65590 UFD65590 UOZ65590 UYV65590 VIR65590 VSN65590 WCJ65590 WMF65590 WWB65590 S131126 JP131126 TL131126 ADH131126 AND131126 AWZ131126 BGV131126 BQR131126 CAN131126 CKJ131126 CUF131126 DEB131126 DNX131126 DXT131126 EHP131126 ERL131126 FBH131126 FLD131126 FUZ131126 GEV131126 GOR131126 GYN131126 HIJ131126 HSF131126 ICB131126 ILX131126 IVT131126 JFP131126 JPL131126 JZH131126 KJD131126 KSZ131126 LCV131126 LMR131126 LWN131126 MGJ131126 MQF131126 NAB131126 NJX131126 NTT131126 ODP131126 ONL131126 OXH131126 PHD131126 PQZ131126 QAV131126 QKR131126 QUN131126 REJ131126 ROF131126 RYB131126 SHX131126 SRT131126 TBP131126 TLL131126 TVH131126 UFD131126 UOZ131126 UYV131126 VIR131126 VSN131126 WCJ131126 WMF131126 WWB131126 S196662 JP196662 TL196662 ADH196662 AND196662 AWZ196662 BGV196662 BQR196662 CAN196662 CKJ196662 CUF196662 DEB196662 DNX196662 DXT196662 EHP196662 ERL196662 FBH196662 FLD196662 FUZ196662 GEV196662 GOR196662 GYN196662 HIJ196662 HSF196662 ICB196662 ILX196662 IVT196662 JFP196662 JPL196662 JZH196662 KJD196662 KSZ196662 LCV196662 LMR196662 LWN196662 MGJ196662 MQF196662 NAB196662 NJX196662 NTT196662 ODP196662 ONL196662 OXH196662 PHD196662 PQZ196662 QAV196662 QKR196662 QUN196662 REJ196662 ROF196662 RYB196662 SHX196662 SRT196662 TBP196662 TLL196662 TVH196662 UFD196662 UOZ196662 UYV196662 VIR196662 VSN196662 WCJ196662 WMF196662 WWB196662 S262198 JP262198 TL262198 ADH262198 AND262198 AWZ262198 BGV262198 BQR262198 CAN262198 CKJ262198 CUF262198 DEB262198 DNX262198 DXT262198 EHP262198 ERL262198 FBH262198 FLD262198 FUZ262198 GEV262198 GOR262198 GYN262198 HIJ262198 HSF262198 ICB262198 ILX262198 IVT262198 JFP262198 JPL262198 JZH262198 KJD262198 KSZ262198 LCV262198 LMR262198 LWN262198 MGJ262198 MQF262198 NAB262198 NJX262198 NTT262198 ODP262198 ONL262198 OXH262198 PHD262198 PQZ262198 QAV262198 QKR262198 QUN262198 REJ262198 ROF262198 RYB262198 SHX262198 SRT262198 TBP262198 TLL262198 TVH262198 UFD262198 UOZ262198 UYV262198 VIR262198 VSN262198 WCJ262198 WMF262198 WWB262198 S327734 JP327734 TL327734 ADH327734 AND327734 AWZ327734 BGV327734 BQR327734 CAN327734 CKJ327734 CUF327734 DEB327734 DNX327734 DXT327734 EHP327734 ERL327734 FBH327734 FLD327734 FUZ327734 GEV327734 GOR327734 GYN327734 HIJ327734 HSF327734 ICB327734 ILX327734 IVT327734 JFP327734 JPL327734 JZH327734 KJD327734 KSZ327734 LCV327734 LMR327734 LWN327734 MGJ327734 MQF327734 NAB327734 NJX327734 NTT327734 ODP327734 ONL327734 OXH327734 PHD327734 PQZ327734 QAV327734 QKR327734 QUN327734 REJ327734 ROF327734 RYB327734 SHX327734 SRT327734 TBP327734 TLL327734 TVH327734 UFD327734 UOZ327734 UYV327734 VIR327734 VSN327734 WCJ327734 WMF327734 WWB327734 S393270 JP393270 TL393270 ADH393270 AND393270 AWZ393270 BGV393270 BQR393270 CAN393270 CKJ393270 CUF393270 DEB393270 DNX393270 DXT393270 EHP393270 ERL393270 FBH393270 FLD393270 FUZ393270 GEV393270 GOR393270 GYN393270 HIJ393270 HSF393270 ICB393270 ILX393270 IVT393270 JFP393270 JPL393270 JZH393270 KJD393270 KSZ393270 LCV393270 LMR393270 LWN393270 MGJ393270 MQF393270 NAB393270 NJX393270 NTT393270 ODP393270 ONL393270 OXH393270 PHD393270 PQZ393270 QAV393270 QKR393270 QUN393270 REJ393270 ROF393270 RYB393270 SHX393270 SRT393270 TBP393270 TLL393270 TVH393270 UFD393270 UOZ393270 UYV393270 VIR393270 VSN393270 WCJ393270 WMF393270 WWB393270 S458806 JP458806 TL458806 ADH458806 AND458806 AWZ458806 BGV458806 BQR458806 CAN458806 CKJ458806 CUF458806 DEB458806 DNX458806 DXT458806 EHP458806 ERL458806 FBH458806 FLD458806 FUZ458806 GEV458806 GOR458806 GYN458806 HIJ458806 HSF458806 ICB458806 ILX458806 IVT458806 JFP458806 JPL458806 JZH458806 KJD458806 KSZ458806 LCV458806 LMR458806 LWN458806 MGJ458806 MQF458806 NAB458806 NJX458806 NTT458806 ODP458806 ONL458806 OXH458806 PHD458806 PQZ458806 QAV458806 QKR458806 QUN458806 REJ458806 ROF458806 RYB458806 SHX458806 SRT458806 TBP458806 TLL458806 TVH458806 UFD458806 UOZ458806 UYV458806 VIR458806 VSN458806 WCJ458806 WMF458806 WWB458806 S524342 JP524342 TL524342 ADH524342 AND524342 AWZ524342 BGV524342 BQR524342 CAN524342 CKJ524342 CUF524342 DEB524342 DNX524342 DXT524342 EHP524342 ERL524342 FBH524342 FLD524342 FUZ524342 GEV524342 GOR524342 GYN524342 HIJ524342 HSF524342 ICB524342 ILX524342 IVT524342 JFP524342 JPL524342 JZH524342 KJD524342 KSZ524342 LCV524342 LMR524342 LWN524342 MGJ524342 MQF524342 NAB524342 NJX524342 NTT524342 ODP524342 ONL524342 OXH524342 PHD524342 PQZ524342 QAV524342 QKR524342 QUN524342 REJ524342 ROF524342 RYB524342 SHX524342 SRT524342 TBP524342 TLL524342 TVH524342 UFD524342 UOZ524342 UYV524342 VIR524342 VSN524342 WCJ524342 WMF524342 WWB524342 S589878 JP589878 TL589878 ADH589878 AND589878 AWZ589878 BGV589878 BQR589878 CAN589878 CKJ589878 CUF589878 DEB589878 DNX589878 DXT589878 EHP589878 ERL589878 FBH589878 FLD589878 FUZ589878 GEV589878 GOR589878 GYN589878 HIJ589878 HSF589878 ICB589878 ILX589878 IVT589878 JFP589878 JPL589878 JZH589878 KJD589878 KSZ589878 LCV589878 LMR589878 LWN589878 MGJ589878 MQF589878 NAB589878 NJX589878 NTT589878 ODP589878 ONL589878 OXH589878 PHD589878 PQZ589878 QAV589878 QKR589878 QUN589878 REJ589878 ROF589878 RYB589878 SHX589878 SRT589878 TBP589878 TLL589878 TVH589878 UFD589878 UOZ589878 UYV589878 VIR589878 VSN589878 WCJ589878 WMF589878 WWB589878 S655414 JP655414 TL655414 ADH655414 AND655414 AWZ655414 BGV655414 BQR655414 CAN655414 CKJ655414 CUF655414 DEB655414 DNX655414 DXT655414 EHP655414 ERL655414 FBH655414 FLD655414 FUZ655414 GEV655414 GOR655414 GYN655414 HIJ655414 HSF655414 ICB655414 ILX655414 IVT655414 JFP655414 JPL655414 JZH655414 KJD655414 KSZ655414 LCV655414 LMR655414 LWN655414 MGJ655414 MQF655414 NAB655414 NJX655414 NTT655414 ODP655414 ONL655414 OXH655414 PHD655414 PQZ655414 QAV655414 QKR655414 QUN655414 REJ655414 ROF655414 RYB655414 SHX655414 SRT655414 TBP655414 TLL655414 TVH655414 UFD655414 UOZ655414 UYV655414 VIR655414 VSN655414 WCJ655414 WMF655414 WWB655414 S720950 JP720950 TL720950 ADH720950 AND720950 AWZ720950 BGV720950 BQR720950 CAN720950 CKJ720950 CUF720950 DEB720950 DNX720950 DXT720950 EHP720950 ERL720950 FBH720950 FLD720950 FUZ720950 GEV720950 GOR720950 GYN720950 HIJ720950 HSF720950 ICB720950 ILX720950 IVT720950 JFP720950 JPL720950 JZH720950 KJD720950 KSZ720950 LCV720950 LMR720950 LWN720950 MGJ720950 MQF720950 NAB720950 NJX720950 NTT720950 ODP720950 ONL720950 OXH720950 PHD720950 PQZ720950 QAV720950 QKR720950 QUN720950 REJ720950 ROF720950 RYB720950 SHX720950 SRT720950 TBP720950 TLL720950 TVH720950 UFD720950 UOZ720950 UYV720950 VIR720950 VSN720950 WCJ720950 WMF720950 WWB720950 S786486 JP786486 TL786486 ADH786486 AND786486 AWZ786486 BGV786486 BQR786486 CAN786486 CKJ786486 CUF786486 DEB786486 DNX786486 DXT786486 EHP786486 ERL786486 FBH786486 FLD786486 FUZ786486 GEV786486 GOR786486 GYN786486 HIJ786486 HSF786486 ICB786486 ILX786486 IVT786486 JFP786486 JPL786486 JZH786486 KJD786486 KSZ786486 LCV786486 LMR786486 LWN786486 MGJ786486 MQF786486 NAB786486 NJX786486 NTT786486 ODP786486 ONL786486 OXH786486 PHD786486 PQZ786486 QAV786486 QKR786486 QUN786486 REJ786486 ROF786486 RYB786486 SHX786486 SRT786486 TBP786486 TLL786486 TVH786486 UFD786486 UOZ786486 UYV786486 VIR786486 VSN786486 WCJ786486 WMF786486 WWB786486 S852022 JP852022 TL852022 ADH852022 AND852022 AWZ852022 BGV852022 BQR852022 CAN852022 CKJ852022 CUF852022 DEB852022 DNX852022 DXT852022 EHP852022 ERL852022 FBH852022 FLD852022 FUZ852022 GEV852022 GOR852022 GYN852022 HIJ852022 HSF852022 ICB852022 ILX852022 IVT852022 JFP852022 JPL852022 JZH852022 KJD852022 KSZ852022 LCV852022 LMR852022 LWN852022 MGJ852022 MQF852022 NAB852022 NJX852022 NTT852022 ODP852022 ONL852022 OXH852022 PHD852022 PQZ852022 QAV852022 QKR852022 QUN852022 REJ852022 ROF852022 RYB852022 SHX852022 SRT852022 TBP852022 TLL852022 TVH852022 UFD852022 UOZ852022 UYV852022 VIR852022 VSN852022 WCJ852022 WMF852022 WWB852022 S917558 JP917558 TL917558 ADH917558 AND917558 AWZ917558 BGV917558 BQR917558 CAN917558 CKJ917558 CUF917558 DEB917558 DNX917558 DXT917558 EHP917558 ERL917558 FBH917558 FLD917558 FUZ917558 GEV917558 GOR917558 GYN917558 HIJ917558 HSF917558 ICB917558 ILX917558 IVT917558 JFP917558 JPL917558 JZH917558 KJD917558 KSZ917558 LCV917558 LMR917558 LWN917558 MGJ917558 MQF917558 NAB917558 NJX917558 NTT917558 ODP917558 ONL917558 OXH917558 PHD917558 PQZ917558 QAV917558 QKR917558 QUN917558 REJ917558 ROF917558 RYB917558 SHX917558 SRT917558 TBP917558 TLL917558 TVH917558 UFD917558 UOZ917558 UYV917558 VIR917558 VSN917558 WCJ917558 WMF917558 WWB917558 S983094 JP983094 TL983094 ADH983094 AND983094 AWZ983094 BGV983094 BQR983094 CAN983094 CKJ983094 CUF983094 DEB983094 DNX983094 DXT983094 EHP983094 ERL983094 FBH983094 FLD983094 FUZ983094 GEV983094 GOR983094 GYN983094 HIJ983094 HSF983094 ICB983094 ILX983094 IVT983094 JFP983094 JPL983094 JZH983094 KJD983094 KSZ983094 LCV983094 LMR983094 LWN983094 MGJ983094 MQF983094 NAB983094 NJX983094 NTT983094 ODP983094 ONL983094 OXH983094 PHD983094 PQZ983094 QAV983094 QKR983094 QUN983094 REJ983094 ROF983094 RYB983094 SHX983094 SRT983094 TBP983094 TLL983094 TVH983094 UFD983094 UOZ983094 UYV983094 VIR983094 VSN983094 WCJ983094 WMF983094 WWB983094 PHV983094 KB27 TX27 ADT27 ANP27 AXL27 BHH27 BRD27 CAZ27 CKV27 CUR27 DEN27 DOJ27 DYF27 EIB27 ERX27 FBT27 FLP27 FVL27 GFH27 GPD27 GYZ27 HIV27 HSR27 ICN27 IMJ27 IWF27 JGB27 JPX27 JZT27 KJP27 KTL27 LDH27 LND27 LWZ27 MGV27 MQR27 NAN27 NKJ27 NUF27 OEB27 ONX27 OXT27 PHP27 PRL27 QBH27 QLD27 QUZ27 REV27 ROR27 RYN27 SIJ27 SSF27 TCB27 TLX27 TVT27 UFP27 UPL27 UZH27 VJD27 VSZ27 WCV27 WMR27 WWN27 AE65590 KB65590 TX65590 ADT65590 ANP65590 AXL65590 BHH65590 BRD65590 CAZ65590 CKV65590 CUR65590 DEN65590 DOJ65590 DYF65590 EIB65590 ERX65590 FBT65590 FLP65590 FVL65590 GFH65590 GPD65590 GYZ65590 HIV65590 HSR65590 ICN65590 IMJ65590 IWF65590 JGB65590 JPX65590 JZT65590 KJP65590 KTL65590 LDH65590 LND65590 LWZ65590 MGV65590 MQR65590 NAN65590 NKJ65590 NUF65590 OEB65590 ONX65590 OXT65590 PHP65590 PRL65590 QBH65590 QLD65590 QUZ65590 REV65590 ROR65590 RYN65590 SIJ65590 SSF65590 TCB65590 TLX65590 TVT65590 UFP65590 UPL65590 UZH65590 VJD65590 VSZ65590 WCV65590 WMR65590 WWN65590 AE131126 KB131126 TX131126 ADT131126 ANP131126 AXL131126 BHH131126 BRD131126 CAZ131126 CKV131126 CUR131126 DEN131126 DOJ131126 DYF131126 EIB131126 ERX131126 FBT131126 FLP131126 FVL131126 GFH131126 GPD131126 GYZ131126 HIV131126 HSR131126 ICN131126 IMJ131126 IWF131126 JGB131126 JPX131126 JZT131126 KJP131126 KTL131126 LDH131126 LND131126 LWZ131126 MGV131126 MQR131126 NAN131126 NKJ131126 NUF131126 OEB131126 ONX131126 OXT131126 PHP131126 PRL131126 QBH131126 QLD131126 QUZ131126 REV131126 ROR131126 RYN131126 SIJ131126 SSF131126 TCB131126 TLX131126 TVT131126 UFP131126 UPL131126 UZH131126 VJD131126 VSZ131126 WCV131126 WMR131126 WWN131126 AE196662 KB196662 TX196662 ADT196662 ANP196662 AXL196662 BHH196662 BRD196662 CAZ196662 CKV196662 CUR196662 DEN196662 DOJ196662 DYF196662 EIB196662 ERX196662 FBT196662 FLP196662 FVL196662 GFH196662 GPD196662 GYZ196662 HIV196662 HSR196662 ICN196662 IMJ196662 IWF196662 JGB196662 JPX196662 JZT196662 KJP196662 KTL196662 LDH196662 LND196662 LWZ196662 MGV196662 MQR196662 NAN196662 NKJ196662 NUF196662 OEB196662 ONX196662 OXT196662 PHP196662 PRL196662 QBH196662 QLD196662 QUZ196662 REV196662 ROR196662 RYN196662 SIJ196662 SSF196662 TCB196662 TLX196662 TVT196662 UFP196662 UPL196662 UZH196662 VJD196662 VSZ196662 WCV196662 WMR196662 WWN196662 AE262198 KB262198 TX262198 ADT262198 ANP262198 AXL262198 BHH262198 BRD262198 CAZ262198 CKV262198 CUR262198 DEN262198 DOJ262198 DYF262198 EIB262198 ERX262198 FBT262198 FLP262198 FVL262198 GFH262198 GPD262198 GYZ262198 HIV262198 HSR262198 ICN262198 IMJ262198 IWF262198 JGB262198 JPX262198 JZT262198 KJP262198 KTL262198 LDH262198 LND262198 LWZ262198 MGV262198 MQR262198 NAN262198 NKJ262198 NUF262198 OEB262198 ONX262198 OXT262198 PHP262198 PRL262198 QBH262198 QLD262198 QUZ262198 REV262198 ROR262198 RYN262198 SIJ262198 SSF262198 TCB262198 TLX262198 TVT262198 UFP262198 UPL262198 UZH262198 VJD262198 VSZ262198 WCV262198 WMR262198 WWN262198 AE327734 KB327734 TX327734 ADT327734 ANP327734 AXL327734 BHH327734 BRD327734 CAZ327734 CKV327734 CUR327734 DEN327734 DOJ327734 DYF327734 EIB327734 ERX327734 FBT327734 FLP327734 FVL327734 GFH327734 GPD327734 GYZ327734 HIV327734 HSR327734 ICN327734 IMJ327734 IWF327734 JGB327734 JPX327734 JZT327734 KJP327734 KTL327734 LDH327734 LND327734 LWZ327734 MGV327734 MQR327734 NAN327734 NKJ327734 NUF327734 OEB327734 ONX327734 OXT327734 PHP327734 PRL327734 QBH327734 QLD327734 QUZ327734 REV327734 ROR327734 RYN327734 SIJ327734 SSF327734 TCB327734 TLX327734 TVT327734 UFP327734 UPL327734 UZH327734 VJD327734 VSZ327734 WCV327734 WMR327734 WWN327734 AE393270 KB393270 TX393270 ADT393270 ANP393270 AXL393270 BHH393270 BRD393270 CAZ393270 CKV393270 CUR393270 DEN393270 DOJ393270 DYF393270 EIB393270 ERX393270 FBT393270 FLP393270 FVL393270 GFH393270 GPD393270 GYZ393270 HIV393270 HSR393270 ICN393270 IMJ393270 IWF393270 JGB393270 JPX393270 JZT393270 KJP393270 KTL393270 LDH393270 LND393270 LWZ393270 MGV393270 MQR393270 NAN393270 NKJ393270 NUF393270 OEB393270 ONX393270 OXT393270 PHP393270 PRL393270 QBH393270 QLD393270 QUZ393270 REV393270 ROR393270 RYN393270 SIJ393270 SSF393270 TCB393270 TLX393270 TVT393270 UFP393270 UPL393270 UZH393270 VJD393270 VSZ393270 WCV393270 WMR393270 WWN393270 AE458806 KB458806 TX458806 ADT458806 ANP458806 AXL458806 BHH458806 BRD458806 CAZ458806 CKV458806 CUR458806 DEN458806 DOJ458806 DYF458806 EIB458806 ERX458806 FBT458806 FLP458806 FVL458806 GFH458806 GPD458806 GYZ458806 HIV458806 HSR458806 ICN458806 IMJ458806 IWF458806 JGB458806 JPX458806 JZT458806 KJP458806 KTL458806 LDH458806 LND458806 LWZ458806 MGV458806 MQR458806 NAN458806 NKJ458806 NUF458806 OEB458806 ONX458806 OXT458806 PHP458806 PRL458806 QBH458806 QLD458806 QUZ458806 REV458806 ROR458806 RYN458806 SIJ458806 SSF458806 TCB458806 TLX458806 TVT458806 UFP458806 UPL458806 UZH458806 VJD458806 VSZ458806 WCV458806 WMR458806 WWN458806 AE524342 KB524342 TX524342 ADT524342 ANP524342 AXL524342 BHH524342 BRD524342 CAZ524342 CKV524342 CUR524342 DEN524342 DOJ524342 DYF524342 EIB524342 ERX524342 FBT524342 FLP524342 FVL524342 GFH524342 GPD524342 GYZ524342 HIV524342 HSR524342 ICN524342 IMJ524342 IWF524342 JGB524342 JPX524342 JZT524342 KJP524342 KTL524342 LDH524342 LND524342 LWZ524342 MGV524342 MQR524342 NAN524342 NKJ524342 NUF524342 OEB524342 ONX524342 OXT524342 PHP524342 PRL524342 QBH524342 QLD524342 QUZ524342 REV524342 ROR524342 RYN524342 SIJ524342 SSF524342 TCB524342 TLX524342 TVT524342 UFP524342 UPL524342 UZH524342 VJD524342 VSZ524342 WCV524342 WMR524342 WWN524342 AE589878 KB589878 TX589878 ADT589878 ANP589878 AXL589878 BHH589878 BRD589878 CAZ589878 CKV589878 CUR589878 DEN589878 DOJ589878 DYF589878 EIB589878 ERX589878 FBT589878 FLP589878 FVL589878 GFH589878 GPD589878 GYZ589878 HIV589878 HSR589878 ICN589878 IMJ589878 IWF589878 JGB589878 JPX589878 JZT589878 KJP589878 KTL589878 LDH589878 LND589878 LWZ589878 MGV589878 MQR589878 NAN589878 NKJ589878 NUF589878 OEB589878 ONX589878 OXT589878 PHP589878 PRL589878 QBH589878 QLD589878 QUZ589878 REV589878 ROR589878 RYN589878 SIJ589878 SSF589878 TCB589878 TLX589878 TVT589878 UFP589878 UPL589878 UZH589878 VJD589878 VSZ589878 WCV589878 WMR589878 WWN589878 AE655414 KB655414 TX655414 ADT655414 ANP655414 AXL655414 BHH655414 BRD655414 CAZ655414 CKV655414 CUR655414 DEN655414 DOJ655414 DYF655414 EIB655414 ERX655414 FBT655414 FLP655414 FVL655414 GFH655414 GPD655414 GYZ655414 HIV655414 HSR655414 ICN655414 IMJ655414 IWF655414 JGB655414 JPX655414 JZT655414 KJP655414 KTL655414 LDH655414 LND655414 LWZ655414 MGV655414 MQR655414 NAN655414 NKJ655414 NUF655414 OEB655414 ONX655414 OXT655414 PHP655414 PRL655414 QBH655414 QLD655414 QUZ655414 REV655414 ROR655414 RYN655414 SIJ655414 SSF655414 TCB655414 TLX655414 TVT655414 UFP655414 UPL655414 UZH655414 VJD655414 VSZ655414 WCV655414 WMR655414 WWN655414 AE720950 KB720950 TX720950 ADT720950 ANP720950 AXL720950 BHH720950 BRD720950 CAZ720950 CKV720950 CUR720950 DEN720950 DOJ720950 DYF720950 EIB720950 ERX720950 FBT720950 FLP720950 FVL720950 GFH720950 GPD720950 GYZ720950 HIV720950 HSR720950 ICN720950 IMJ720950 IWF720950 JGB720950 JPX720950 JZT720950 KJP720950 KTL720950 LDH720950 LND720950 LWZ720950 MGV720950 MQR720950 NAN720950 NKJ720950 NUF720950 OEB720950 ONX720950 OXT720950 PHP720950 PRL720950 QBH720950 QLD720950 QUZ720950 REV720950 ROR720950 RYN720950 SIJ720950 SSF720950 TCB720950 TLX720950 TVT720950 UFP720950 UPL720950 UZH720950 VJD720950 VSZ720950 WCV720950 WMR720950 WWN720950 AE786486 KB786486 TX786486 ADT786486 ANP786486 AXL786486 BHH786486 BRD786486 CAZ786486 CKV786486 CUR786486 DEN786486 DOJ786486 DYF786486 EIB786486 ERX786486 FBT786486 FLP786486 FVL786486 GFH786486 GPD786486 GYZ786486 HIV786486 HSR786486 ICN786486 IMJ786486 IWF786486 JGB786486 JPX786486 JZT786486 KJP786486 KTL786486 LDH786486 LND786486 LWZ786486 MGV786486 MQR786486 NAN786486 NKJ786486 NUF786486 OEB786486 ONX786486 OXT786486 PHP786486 PRL786486 QBH786486 QLD786486 QUZ786486 REV786486 ROR786486 RYN786486 SIJ786486 SSF786486 TCB786486 TLX786486 TVT786486 UFP786486 UPL786486 UZH786486 VJD786486 VSZ786486 WCV786486 WMR786486 WWN786486 AE852022 KB852022 TX852022 ADT852022 ANP852022 AXL852022 BHH852022 BRD852022 CAZ852022 CKV852022 CUR852022 DEN852022 DOJ852022 DYF852022 EIB852022 ERX852022 FBT852022 FLP852022 FVL852022 GFH852022 GPD852022 GYZ852022 HIV852022 HSR852022 ICN852022 IMJ852022 IWF852022 JGB852022 JPX852022 JZT852022 KJP852022 KTL852022 LDH852022 LND852022 LWZ852022 MGV852022 MQR852022 NAN852022 NKJ852022 NUF852022 OEB852022 ONX852022 OXT852022 PHP852022 PRL852022 QBH852022 QLD852022 QUZ852022 REV852022 ROR852022 RYN852022 SIJ852022 SSF852022 TCB852022 TLX852022 TVT852022 UFP852022 UPL852022 UZH852022 VJD852022 VSZ852022 WCV852022 WMR852022 WWN852022 AE917558 KB917558 TX917558 ADT917558 ANP917558 AXL917558 BHH917558 BRD917558 CAZ917558 CKV917558 CUR917558 DEN917558 DOJ917558 DYF917558 EIB917558 ERX917558 FBT917558 FLP917558 FVL917558 GFH917558 GPD917558 GYZ917558 HIV917558 HSR917558 ICN917558 IMJ917558 IWF917558 JGB917558 JPX917558 JZT917558 KJP917558 KTL917558 LDH917558 LND917558 LWZ917558 MGV917558 MQR917558 NAN917558 NKJ917558 NUF917558 OEB917558 ONX917558 OXT917558 PHP917558 PRL917558 QBH917558 QLD917558 QUZ917558 REV917558 ROR917558 RYN917558 SIJ917558 SSF917558 TCB917558 TLX917558 TVT917558 UFP917558 UPL917558 UZH917558 VJD917558 VSZ917558 WCV917558 WMR917558 WWN917558 AE983094 KB983094 TX983094 ADT983094 ANP983094 AXL983094 BHH983094 BRD983094 CAZ983094 CKV983094 CUR983094 DEN983094 DOJ983094 DYF983094 EIB983094 ERX983094 FBT983094 FLP983094 FVL983094 GFH983094 GPD983094 GYZ983094 HIV983094 HSR983094 ICN983094 IMJ983094 IWF983094 JGB983094 JPX983094 JZT983094 KJP983094 KTL983094 LDH983094 LND983094 LWZ983094 MGV983094 MQR983094 NAN983094 NKJ983094 NUF983094 OEB983094 ONX983094 OXT983094 PHP983094 PRL983094 QBH983094 QLD983094 QUZ983094 REV983094 ROR983094 RYN983094 SIJ983094 SSF983094 TCB983094 TLX983094 TVT983094 UFP983094 UPL983094 UZH983094 VJD983094 VSZ983094 WCV983094 WMR983094 WWN983094 PRR983094 JV27 TR27 ADN27 ANJ27 AXF27 BHB27 BQX27 CAT27 CKP27 CUL27 DEH27 DOD27 DXZ27 EHV27 ERR27 FBN27 FLJ27 FVF27 GFB27 GOX27 GYT27 HIP27 HSL27 ICH27 IMD27 IVZ27 JFV27 JPR27 JZN27 KJJ27 KTF27 LDB27 LMX27 LWT27 MGP27 MQL27 NAH27 NKD27 NTZ27 ODV27 ONR27 OXN27 PHJ27 PRF27 QBB27 QKX27 QUT27 REP27 ROL27 RYH27 SID27 SRZ27 TBV27 TLR27 TVN27 UFJ27 UPF27 UZB27 VIX27 VST27 WCP27 WML27 WWH27 Y65590 JV65590 TR65590 ADN65590 ANJ65590 AXF65590 BHB65590 BQX65590 CAT65590 CKP65590 CUL65590 DEH65590 DOD65590 DXZ65590 EHV65590 ERR65590 FBN65590 FLJ65590 FVF65590 GFB65590 GOX65590 GYT65590 HIP65590 HSL65590 ICH65590 IMD65590 IVZ65590 JFV65590 JPR65590 JZN65590 KJJ65590 KTF65590 LDB65590 LMX65590 LWT65590 MGP65590 MQL65590 NAH65590 NKD65590 NTZ65590 ODV65590 ONR65590 OXN65590 PHJ65590 PRF65590 QBB65590 QKX65590 QUT65590 REP65590 ROL65590 RYH65590 SID65590 SRZ65590 TBV65590 TLR65590 TVN65590 UFJ65590 UPF65590 UZB65590 VIX65590 VST65590 WCP65590 WML65590 WWH65590 Y131126 JV131126 TR131126 ADN131126 ANJ131126 AXF131126 BHB131126 BQX131126 CAT131126 CKP131126 CUL131126 DEH131126 DOD131126 DXZ131126 EHV131126 ERR131126 FBN131126 FLJ131126 FVF131126 GFB131126 GOX131126 GYT131126 HIP131126 HSL131126 ICH131126 IMD131126 IVZ131126 JFV131126 JPR131126 JZN131126 KJJ131126 KTF131126 LDB131126 LMX131126 LWT131126 MGP131126 MQL131126 NAH131126 NKD131126 NTZ131126 ODV131126 ONR131126 OXN131126 PHJ131126 PRF131126 QBB131126 QKX131126 QUT131126 REP131126 ROL131126 RYH131126 SID131126 SRZ131126 TBV131126 TLR131126 TVN131126 UFJ131126 UPF131126 UZB131126 VIX131126 VST131126 WCP131126 WML131126 WWH131126 Y196662 JV196662 TR196662 ADN196662 ANJ196662 AXF196662 BHB196662 BQX196662 CAT196662 CKP196662 CUL196662 DEH196662 DOD196662 DXZ196662 EHV196662 ERR196662 FBN196662 FLJ196662 FVF196662 GFB196662 GOX196662 GYT196662 HIP196662 HSL196662 ICH196662 IMD196662 IVZ196662 JFV196662 JPR196662 JZN196662 KJJ196662 KTF196662 LDB196662 LMX196662 LWT196662 MGP196662 MQL196662 NAH196662 NKD196662 NTZ196662 ODV196662 ONR196662 OXN196662 PHJ196662 PRF196662 QBB196662 QKX196662 QUT196662 REP196662 ROL196662 RYH196662 SID196662 SRZ196662 TBV196662 TLR196662 TVN196662 UFJ196662 UPF196662 UZB196662 VIX196662 VST196662 WCP196662 WML196662 WWH196662 Y262198 JV262198 TR262198 ADN262198 ANJ262198 AXF262198 BHB262198 BQX262198 CAT262198 CKP262198 CUL262198 DEH262198 DOD262198 DXZ262198 EHV262198 ERR262198 FBN262198 FLJ262198 FVF262198 GFB262198 GOX262198 GYT262198 HIP262198 HSL262198 ICH262198 IMD262198 IVZ262198 JFV262198 JPR262198 JZN262198 KJJ262198 KTF262198 LDB262198 LMX262198 LWT262198 MGP262198 MQL262198 NAH262198 NKD262198 NTZ262198 ODV262198 ONR262198 OXN262198 PHJ262198 PRF262198 QBB262198 QKX262198 QUT262198 REP262198 ROL262198 RYH262198 SID262198 SRZ262198 TBV262198 TLR262198 TVN262198 UFJ262198 UPF262198 UZB262198 VIX262198 VST262198 WCP262198 WML262198 WWH262198 Y327734 JV327734 TR327734 ADN327734 ANJ327734 AXF327734 BHB327734 BQX327734 CAT327734 CKP327734 CUL327734 DEH327734 DOD327734 DXZ327734 EHV327734 ERR327734 FBN327734 FLJ327734 FVF327734 GFB327734 GOX327734 GYT327734 HIP327734 HSL327734 ICH327734 IMD327734 IVZ327734 JFV327734 JPR327734 JZN327734 KJJ327734 KTF327734 LDB327734 LMX327734 LWT327734 MGP327734 MQL327734 NAH327734 NKD327734 NTZ327734 ODV327734 ONR327734 OXN327734 PHJ327734 PRF327734 QBB327734 QKX327734 QUT327734 REP327734 ROL327734 RYH327734 SID327734 SRZ327734 TBV327734 TLR327734 TVN327734 UFJ327734 UPF327734 UZB327734 VIX327734 VST327734 WCP327734 WML327734 WWH327734 Y393270 JV393270 TR393270 ADN393270 ANJ393270 AXF393270 BHB393270 BQX393270 CAT393270 CKP393270 CUL393270 DEH393270 DOD393270 DXZ393270 EHV393270 ERR393270 FBN393270 FLJ393270 FVF393270 GFB393270 GOX393270 GYT393270 HIP393270 HSL393270 ICH393270 IMD393270 IVZ393270 JFV393270 JPR393270 JZN393270 KJJ393270 KTF393270 LDB393270 LMX393270 LWT393270 MGP393270 MQL393270 NAH393270 NKD393270 NTZ393270 ODV393270 ONR393270 OXN393270 PHJ393270 PRF393270 QBB393270 QKX393270 QUT393270 REP393270 ROL393270 RYH393270 SID393270 SRZ393270 TBV393270 TLR393270 TVN393270 UFJ393270 UPF393270 UZB393270 VIX393270 VST393270 WCP393270 WML393270 WWH393270 Y458806 JV458806 TR458806 ADN458806 ANJ458806 AXF458806 BHB458806 BQX458806 CAT458806 CKP458806 CUL458806 DEH458806 DOD458806 DXZ458806 EHV458806 ERR458806 FBN458806 FLJ458806 FVF458806 GFB458806 GOX458806 GYT458806 HIP458806 HSL458806 ICH458806 IMD458806 IVZ458806 JFV458806 JPR458806 JZN458806 KJJ458806 KTF458806 LDB458806 LMX458806 LWT458806 MGP458806 MQL458806 NAH458806 NKD458806 NTZ458806 ODV458806 ONR458806 OXN458806 PHJ458806 PRF458806 QBB458806 QKX458806 QUT458806 REP458806 ROL458806 RYH458806 SID458806 SRZ458806 TBV458806 TLR458806 TVN458806 UFJ458806 UPF458806 UZB458806 VIX458806 VST458806 WCP458806 WML458806 WWH458806 Y524342 JV524342 TR524342 ADN524342 ANJ524342 AXF524342 BHB524342 BQX524342 CAT524342 CKP524342 CUL524342 DEH524342 DOD524342 DXZ524342 EHV524342 ERR524342 FBN524342 FLJ524342 FVF524342 GFB524342 GOX524342 GYT524342 HIP524342 HSL524342 ICH524342 IMD524342 IVZ524342 JFV524342 JPR524342 JZN524342 KJJ524342 KTF524342 LDB524342 LMX524342 LWT524342 MGP524342 MQL524342 NAH524342 NKD524342 NTZ524342 ODV524342 ONR524342 OXN524342 PHJ524342 PRF524342 QBB524342 QKX524342 QUT524342 REP524342 ROL524342 RYH524342 SID524342 SRZ524342 TBV524342 TLR524342 TVN524342 UFJ524342 UPF524342 UZB524342 VIX524342 VST524342 WCP524342 WML524342 WWH524342 Y589878 JV589878 TR589878 ADN589878 ANJ589878 AXF589878 BHB589878 BQX589878 CAT589878 CKP589878 CUL589878 DEH589878 DOD589878 DXZ589878 EHV589878 ERR589878 FBN589878 FLJ589878 FVF589878 GFB589878 GOX589878 GYT589878 HIP589878 HSL589878 ICH589878 IMD589878 IVZ589878 JFV589878 JPR589878 JZN589878 KJJ589878 KTF589878 LDB589878 LMX589878 LWT589878 MGP589878 MQL589878 NAH589878 NKD589878 NTZ589878 ODV589878 ONR589878 OXN589878 PHJ589878 PRF589878 QBB589878 QKX589878 QUT589878 REP589878 ROL589878 RYH589878 SID589878 SRZ589878 TBV589878 TLR589878 TVN589878 UFJ589878 UPF589878 UZB589878 VIX589878 VST589878 WCP589878 WML589878 WWH589878 Y655414 JV655414 TR655414 ADN655414 ANJ655414 AXF655414 BHB655414 BQX655414 CAT655414 CKP655414 CUL655414 DEH655414 DOD655414 DXZ655414 EHV655414 ERR655414 FBN655414 FLJ655414 FVF655414 GFB655414 GOX655414 GYT655414 HIP655414 HSL655414 ICH655414 IMD655414 IVZ655414 JFV655414 JPR655414 JZN655414 KJJ655414 KTF655414 LDB655414 LMX655414 LWT655414 MGP655414 MQL655414 NAH655414 NKD655414 NTZ655414 ODV655414 ONR655414 OXN655414 PHJ655414 PRF655414 QBB655414 QKX655414 QUT655414 REP655414 ROL655414 RYH655414 SID655414 SRZ655414 TBV655414 TLR655414 TVN655414 UFJ655414 UPF655414 UZB655414 VIX655414 VST655414 WCP655414 WML655414 WWH655414 Y720950 JV720950 TR720950 ADN720950 ANJ720950 AXF720950 BHB720950 BQX720950 CAT720950 CKP720950 CUL720950 DEH720950 DOD720950 DXZ720950 EHV720950 ERR720950 FBN720950 FLJ720950 FVF720950 GFB720950 GOX720950 GYT720950 HIP720950 HSL720950 ICH720950 IMD720950 IVZ720950 JFV720950 JPR720950 JZN720950 KJJ720950 KTF720950 LDB720950 LMX720950 LWT720950 MGP720950 MQL720950 NAH720950 NKD720950 NTZ720950 ODV720950 ONR720950 OXN720950 PHJ720950 PRF720950 QBB720950 QKX720950 QUT720950 REP720950 ROL720950 RYH720950 SID720950 SRZ720950 TBV720950 TLR720950 TVN720950 UFJ720950 UPF720950 UZB720950 VIX720950 VST720950 WCP720950 WML720950 WWH720950 Y786486 JV786486 TR786486 ADN786486 ANJ786486 AXF786486 BHB786486 BQX786486 CAT786486 CKP786486 CUL786486 DEH786486 DOD786486 DXZ786486 EHV786486 ERR786486 FBN786486 FLJ786486 FVF786486 GFB786486 GOX786486 GYT786486 HIP786486 HSL786486 ICH786486 IMD786486 IVZ786486 JFV786486 JPR786486 JZN786486 KJJ786486 KTF786486 LDB786486 LMX786486 LWT786486 MGP786486 MQL786486 NAH786486 NKD786486 NTZ786486 ODV786486 ONR786486 OXN786486 PHJ786486 PRF786486 QBB786486 QKX786486 QUT786486 REP786486 ROL786486 RYH786486 SID786486 SRZ786486 TBV786486 TLR786486 TVN786486 UFJ786486 UPF786486 UZB786486 VIX786486 VST786486 WCP786486 WML786486 WWH786486 Y852022 JV852022 TR852022 ADN852022 ANJ852022 AXF852022 BHB852022 BQX852022 CAT852022 CKP852022 CUL852022 DEH852022 DOD852022 DXZ852022 EHV852022 ERR852022 FBN852022 FLJ852022 FVF852022 GFB852022 GOX852022 GYT852022 HIP852022 HSL852022 ICH852022 IMD852022 IVZ852022 JFV852022 JPR852022 JZN852022 KJJ852022 KTF852022 LDB852022 LMX852022 LWT852022 MGP852022 MQL852022 NAH852022 NKD852022 NTZ852022 ODV852022 ONR852022 OXN852022 PHJ852022 PRF852022 QBB852022 QKX852022 QUT852022 REP852022 ROL852022 RYH852022 SID852022 SRZ852022 TBV852022 TLR852022 TVN852022 UFJ852022 UPF852022 UZB852022 VIX852022 VST852022 WCP852022 WML852022 WWH852022 Y917558 JV917558 TR917558 ADN917558 ANJ917558 AXF917558 BHB917558 BQX917558 CAT917558 CKP917558 CUL917558 DEH917558 DOD917558 DXZ917558 EHV917558 ERR917558 FBN917558 FLJ917558 FVF917558 GFB917558 GOX917558 GYT917558 HIP917558 HSL917558 ICH917558 IMD917558 IVZ917558 JFV917558 JPR917558 JZN917558 KJJ917558 KTF917558 LDB917558 LMX917558 LWT917558 MGP917558 MQL917558 NAH917558 NKD917558 NTZ917558 ODV917558 ONR917558 OXN917558 PHJ917558 PRF917558 QBB917558 QKX917558 QUT917558 REP917558 ROL917558 RYH917558 SID917558 SRZ917558 TBV917558 TLR917558 TVN917558 UFJ917558 UPF917558 UZB917558 VIX917558 VST917558 WCP917558 WML917558 WWH917558 Y983094 JV983094 TR983094 ADN983094 ANJ983094 AXF983094 BHB983094 BQX983094 CAT983094 CKP983094 CUL983094 DEH983094 DOD983094 DXZ983094 EHV983094 ERR983094 FBN983094 FLJ983094 FVF983094 GFB983094 GOX983094 GYT983094 HIP983094 HSL983094 ICH983094 IMD983094 IVZ983094 JFV983094 JPR983094 JZN983094 KJJ983094 KTF983094 LDB983094 LMX983094 LWT983094 MGP983094 MQL983094 NAH983094 NKD983094 NTZ983094 ODV983094 ONR983094 OXN983094 PHJ983094 PRF983094 QBB983094 QKX983094 QUT983094 REP983094 ROL983094 RYH983094 SID983094 SRZ983094 TBV983094 TLR983094 TVN983094 UFJ983094 UPF983094 UZB983094 VIX983094 VST983094 WCP983094 WML983094 WWH983094 RYT983094 JG27 TC27 ACY27 AMU27 AWQ27 BGM27 BQI27 CAE27 CKA27 CTW27 DDS27 DNO27 DXK27 EHG27 ERC27 FAY27 FKU27 FUQ27 GEM27 GOI27 GYE27 HIA27 HRW27 IBS27 ILO27 IVK27 JFG27 JPC27 JYY27 KIU27 KSQ27 LCM27 LMI27 LWE27 MGA27 MPW27 MZS27 NJO27 NTK27 ODG27 ONC27 OWY27 PGU27 PQQ27 QAM27 QKI27 QUE27 REA27 RNW27 RXS27 SHO27 SRK27 TBG27 TLC27 TUY27 UEU27 UOQ27 UYM27 VII27 VSE27 WCA27 WLW27 WVS27 E65590:F65590 JG65590 TC65590 ACY65590 AMU65590 AWQ65590 BGM65590 BQI65590 CAE65590 CKA65590 CTW65590 DDS65590 DNO65590 DXK65590 EHG65590 ERC65590 FAY65590 FKU65590 FUQ65590 GEM65590 GOI65590 GYE65590 HIA65590 HRW65590 IBS65590 ILO65590 IVK65590 JFG65590 JPC65590 JYY65590 KIU65590 KSQ65590 LCM65590 LMI65590 LWE65590 MGA65590 MPW65590 MZS65590 NJO65590 NTK65590 ODG65590 ONC65590 OWY65590 PGU65590 PQQ65590 QAM65590 QKI65590 QUE65590 REA65590 RNW65590 RXS65590 SHO65590 SRK65590 TBG65590 TLC65590 TUY65590 UEU65590 UOQ65590 UYM65590 VII65590 VSE65590 WCA65590 WLW65590 WVS65590 E131126:F131126 JG131126 TC131126 ACY131126 AMU131126 AWQ131126 BGM131126 BQI131126 CAE131126 CKA131126 CTW131126 DDS131126 DNO131126 DXK131126 EHG131126 ERC131126 FAY131126 FKU131126 FUQ131126 GEM131126 GOI131126 GYE131126 HIA131126 HRW131126 IBS131126 ILO131126 IVK131126 JFG131126 JPC131126 JYY131126 KIU131126 KSQ131126 LCM131126 LMI131126 LWE131126 MGA131126 MPW131126 MZS131126 NJO131126 NTK131126 ODG131126 ONC131126 OWY131126 PGU131126 PQQ131126 QAM131126 QKI131126 QUE131126 REA131126 RNW131126 RXS131126 SHO131126 SRK131126 TBG131126 TLC131126 TUY131126 UEU131126 UOQ131126 UYM131126 VII131126 VSE131126 WCA131126 WLW131126 WVS131126 E196662:F196662 JG196662 TC196662 ACY196662 AMU196662 AWQ196662 BGM196662 BQI196662 CAE196662 CKA196662 CTW196662 DDS196662 DNO196662 DXK196662 EHG196662 ERC196662 FAY196662 FKU196662 FUQ196662 GEM196662 GOI196662 GYE196662 HIA196662 HRW196662 IBS196662 ILO196662 IVK196662 JFG196662 JPC196662 JYY196662 KIU196662 KSQ196662 LCM196662 LMI196662 LWE196662 MGA196662 MPW196662 MZS196662 NJO196662 NTK196662 ODG196662 ONC196662 OWY196662 PGU196662 PQQ196662 QAM196662 QKI196662 QUE196662 REA196662 RNW196662 RXS196662 SHO196662 SRK196662 TBG196662 TLC196662 TUY196662 UEU196662 UOQ196662 UYM196662 VII196662 VSE196662 WCA196662 WLW196662 WVS196662 E262198:F262198 JG262198 TC262198 ACY262198 AMU262198 AWQ262198 BGM262198 BQI262198 CAE262198 CKA262198 CTW262198 DDS262198 DNO262198 DXK262198 EHG262198 ERC262198 FAY262198 FKU262198 FUQ262198 GEM262198 GOI262198 GYE262198 HIA262198 HRW262198 IBS262198 ILO262198 IVK262198 JFG262198 JPC262198 JYY262198 KIU262198 KSQ262198 LCM262198 LMI262198 LWE262198 MGA262198 MPW262198 MZS262198 NJO262198 NTK262198 ODG262198 ONC262198 OWY262198 PGU262198 PQQ262198 QAM262198 QKI262198 QUE262198 REA262198 RNW262198 RXS262198 SHO262198 SRK262198 TBG262198 TLC262198 TUY262198 UEU262198 UOQ262198 UYM262198 VII262198 VSE262198 WCA262198 WLW262198 WVS262198 E327734:F327734 JG327734 TC327734 ACY327734 AMU327734 AWQ327734 BGM327734 BQI327734 CAE327734 CKA327734 CTW327734 DDS327734 DNO327734 DXK327734 EHG327734 ERC327734 FAY327734 FKU327734 FUQ327734 GEM327734 GOI327734 GYE327734 HIA327734 HRW327734 IBS327734 ILO327734 IVK327734 JFG327734 JPC327734 JYY327734 KIU327734 KSQ327734 LCM327734 LMI327734 LWE327734 MGA327734 MPW327734 MZS327734 NJO327734 NTK327734 ODG327734 ONC327734 OWY327734 PGU327734 PQQ327734 QAM327734 QKI327734 QUE327734 REA327734 RNW327734 RXS327734 SHO327734 SRK327734 TBG327734 TLC327734 TUY327734 UEU327734 UOQ327734 UYM327734 VII327734 VSE327734 WCA327734 WLW327734 WVS327734 E393270:F393270 JG393270 TC393270 ACY393270 AMU393270 AWQ393270 BGM393270 BQI393270 CAE393270 CKA393270 CTW393270 DDS393270 DNO393270 DXK393270 EHG393270 ERC393270 FAY393270 FKU393270 FUQ393270 GEM393270 GOI393270 GYE393270 HIA393270 HRW393270 IBS393270 ILO393270 IVK393270 JFG393270 JPC393270 JYY393270 KIU393270 KSQ393270 LCM393270 LMI393270 LWE393270 MGA393270 MPW393270 MZS393270 NJO393270 NTK393270 ODG393270 ONC393270 OWY393270 PGU393270 PQQ393270 QAM393270 QKI393270 QUE393270 REA393270 RNW393270 RXS393270 SHO393270 SRK393270 TBG393270 TLC393270 TUY393270 UEU393270 UOQ393270 UYM393270 VII393270 VSE393270 WCA393270 WLW393270 WVS393270 E458806:F458806 JG458806 TC458806 ACY458806 AMU458806 AWQ458806 BGM458806 BQI458806 CAE458806 CKA458806 CTW458806 DDS458806 DNO458806 DXK458806 EHG458806 ERC458806 FAY458806 FKU458806 FUQ458806 GEM458806 GOI458806 GYE458806 HIA458806 HRW458806 IBS458806 ILO458806 IVK458806 JFG458806 JPC458806 JYY458806 KIU458806 KSQ458806 LCM458806 LMI458806 LWE458806 MGA458806 MPW458806 MZS458806 NJO458806 NTK458806 ODG458806 ONC458806 OWY458806 PGU458806 PQQ458806 QAM458806 QKI458806 QUE458806 REA458806 RNW458806 RXS458806 SHO458806 SRK458806 TBG458806 TLC458806 TUY458806 UEU458806 UOQ458806 UYM458806 VII458806 VSE458806 WCA458806 WLW458806 WVS458806 E524342:F524342 JG524342 TC524342 ACY524342 AMU524342 AWQ524342 BGM524342 BQI524342 CAE524342 CKA524342 CTW524342 DDS524342 DNO524342 DXK524342 EHG524342 ERC524342 FAY524342 FKU524342 FUQ524342 GEM524342 GOI524342 GYE524342 HIA524342 HRW524342 IBS524342 ILO524342 IVK524342 JFG524342 JPC524342 JYY524342 KIU524342 KSQ524342 LCM524342 LMI524342 LWE524342 MGA524342 MPW524342 MZS524342 NJO524342 NTK524342 ODG524342 ONC524342 OWY524342 PGU524342 PQQ524342 QAM524342 QKI524342 QUE524342 REA524342 RNW524342 RXS524342 SHO524342 SRK524342 TBG524342 TLC524342 TUY524342 UEU524342 UOQ524342 UYM524342 VII524342 VSE524342 WCA524342 WLW524342 WVS524342 E589878:F589878 JG589878 TC589878 ACY589878 AMU589878 AWQ589878 BGM589878 BQI589878 CAE589878 CKA589878 CTW589878 DDS589878 DNO589878 DXK589878 EHG589878 ERC589878 FAY589878 FKU589878 FUQ589878 GEM589878 GOI589878 GYE589878 HIA589878 HRW589878 IBS589878 ILO589878 IVK589878 JFG589878 JPC589878 JYY589878 KIU589878 KSQ589878 LCM589878 LMI589878 LWE589878 MGA589878 MPW589878 MZS589878 NJO589878 NTK589878 ODG589878 ONC589878 OWY589878 PGU589878 PQQ589878 QAM589878 QKI589878 QUE589878 REA589878 RNW589878 RXS589878 SHO589878 SRK589878 TBG589878 TLC589878 TUY589878 UEU589878 UOQ589878 UYM589878 VII589878 VSE589878 WCA589878 WLW589878 WVS589878 E655414:F655414 JG655414 TC655414 ACY655414 AMU655414 AWQ655414 BGM655414 BQI655414 CAE655414 CKA655414 CTW655414 DDS655414 DNO655414 DXK655414 EHG655414 ERC655414 FAY655414 FKU655414 FUQ655414 GEM655414 GOI655414 GYE655414 HIA655414 HRW655414 IBS655414 ILO655414 IVK655414 JFG655414 JPC655414 JYY655414 KIU655414 KSQ655414 LCM655414 LMI655414 LWE655414 MGA655414 MPW655414 MZS655414 NJO655414 NTK655414 ODG655414 ONC655414 OWY655414 PGU655414 PQQ655414 QAM655414 QKI655414 QUE655414 REA655414 RNW655414 RXS655414 SHO655414 SRK655414 TBG655414 TLC655414 TUY655414 UEU655414 UOQ655414 UYM655414 VII655414 VSE655414 WCA655414 WLW655414 WVS655414 E720950:F720950 JG720950 TC720950 ACY720950 AMU720950 AWQ720950 BGM720950 BQI720950 CAE720950 CKA720950 CTW720950 DDS720950 DNO720950 DXK720950 EHG720950 ERC720950 FAY720950 FKU720950 FUQ720950 GEM720950 GOI720950 GYE720950 HIA720950 HRW720950 IBS720950 ILO720950 IVK720950 JFG720950 JPC720950 JYY720950 KIU720950 KSQ720950 LCM720950 LMI720950 LWE720950 MGA720950 MPW720950 MZS720950 NJO720950 NTK720950 ODG720950 ONC720950 OWY720950 PGU720950 PQQ720950 QAM720950 QKI720950 QUE720950 REA720950 RNW720950 RXS720950 SHO720950 SRK720950 TBG720950 TLC720950 TUY720950 UEU720950 UOQ720950 UYM720950 VII720950 VSE720950 WCA720950 WLW720950 WVS720950 E786486:F786486 JG786486 TC786486 ACY786486 AMU786486 AWQ786486 BGM786486 BQI786486 CAE786486 CKA786486 CTW786486 DDS786486 DNO786486 DXK786486 EHG786486 ERC786486 FAY786486 FKU786486 FUQ786486 GEM786486 GOI786486 GYE786486 HIA786486 HRW786486 IBS786486 ILO786486 IVK786486 JFG786486 JPC786486 JYY786486 KIU786486 KSQ786486 LCM786486 LMI786486 LWE786486 MGA786486 MPW786486 MZS786486 NJO786486 NTK786486 ODG786486 ONC786486 OWY786486 PGU786486 PQQ786486 QAM786486 QKI786486 QUE786486 REA786486 RNW786486 RXS786486 SHO786486 SRK786486 TBG786486 TLC786486 TUY786486 UEU786486 UOQ786486 UYM786486 VII786486 VSE786486 WCA786486 WLW786486 WVS786486 E852022:F852022 JG852022 TC852022 ACY852022 AMU852022 AWQ852022 BGM852022 BQI852022 CAE852022 CKA852022 CTW852022 DDS852022 DNO852022 DXK852022 EHG852022 ERC852022 FAY852022 FKU852022 FUQ852022 GEM852022 GOI852022 GYE852022 HIA852022 HRW852022 IBS852022 ILO852022 IVK852022 JFG852022 JPC852022 JYY852022 KIU852022 KSQ852022 LCM852022 LMI852022 LWE852022 MGA852022 MPW852022 MZS852022 NJO852022 NTK852022 ODG852022 ONC852022 OWY852022 PGU852022 PQQ852022 QAM852022 QKI852022 QUE852022 REA852022 RNW852022 RXS852022 SHO852022 SRK852022 TBG852022 TLC852022 TUY852022 UEU852022 UOQ852022 UYM852022 VII852022 VSE852022 WCA852022 WLW852022 WVS852022 E917558:F917558 JG917558 TC917558 ACY917558 AMU917558 AWQ917558 BGM917558 BQI917558 CAE917558 CKA917558 CTW917558 DDS917558 DNO917558 DXK917558 EHG917558 ERC917558 FAY917558 FKU917558 FUQ917558 GEM917558 GOI917558 GYE917558 HIA917558 HRW917558 IBS917558 ILO917558 IVK917558 JFG917558 JPC917558 JYY917558 KIU917558 KSQ917558 LCM917558 LMI917558 LWE917558 MGA917558 MPW917558 MZS917558 NJO917558 NTK917558 ODG917558 ONC917558 OWY917558 PGU917558 PQQ917558 QAM917558 QKI917558 QUE917558 REA917558 RNW917558 RXS917558 SHO917558 SRK917558 TBG917558 TLC917558 TUY917558 UEU917558 UOQ917558 UYM917558 VII917558 VSE917558 WCA917558 WLW917558 WVS917558 E983094:F983094 JG983094 TC983094 ACY983094 AMU983094 AWQ983094 BGM983094 BQI983094 CAE983094 CKA983094 CTW983094 DDS983094 DNO983094 DXK983094 EHG983094 ERC983094 FAY983094 FKU983094 FUQ983094 GEM983094 GOI983094 GYE983094 HIA983094 HRW983094 IBS983094 ILO983094 IVK983094 JFG983094 JPC983094 JYY983094 KIU983094 KSQ983094 LCM983094 LMI983094 LWE983094 MGA983094 MPW983094 MZS983094 NJO983094 NTK983094 ODG983094 ONC983094 OWY983094 PGU983094 PQQ983094 QAM983094 QKI983094 QUE983094 REA983094 RNW983094 RXS983094 SHO983094 SRK983094 TBG983094 TLC983094 TUY983094 UEU983094 UOQ983094 UYM983094 VII983094 VSE983094 WCA983094 WLW983094 WVS983094 ROX983094 JS27 TO27 ADK27 ANG27 AXC27 BGY27 BQU27 CAQ27 CKM27 CUI27 DEE27 DOA27 DXW27 EHS27 ERO27 FBK27 FLG27 FVC27 GEY27 GOU27 GYQ27 HIM27 HSI27 ICE27 IMA27 IVW27 JFS27 JPO27 JZK27 KJG27 KTC27 LCY27 LMU27 LWQ27 MGM27 MQI27 NAE27 NKA27 NTW27 ODS27 ONO27 OXK27 PHG27 PRC27 QAY27 QKU27 QUQ27 REM27 ROI27 RYE27 SIA27 SRW27 TBS27 TLO27 TVK27 UFG27 UPC27 UYY27 VIU27 VSQ27 WCM27 WMI27 WWE27 V65590 JS65590 TO65590 ADK65590 ANG65590 AXC65590 BGY65590 BQU65590 CAQ65590 CKM65590 CUI65590 DEE65590 DOA65590 DXW65590 EHS65590 ERO65590 FBK65590 FLG65590 FVC65590 GEY65590 GOU65590 GYQ65590 HIM65590 HSI65590 ICE65590 IMA65590 IVW65590 JFS65590 JPO65590 JZK65590 KJG65590 KTC65590 LCY65590 LMU65590 LWQ65590 MGM65590 MQI65590 NAE65590 NKA65590 NTW65590 ODS65590 ONO65590 OXK65590 PHG65590 PRC65590 QAY65590 QKU65590 QUQ65590 REM65590 ROI65590 RYE65590 SIA65590 SRW65590 TBS65590 TLO65590 TVK65590 UFG65590 UPC65590 UYY65590 VIU65590 VSQ65590 WCM65590 WMI65590 WWE65590 V131126 JS131126 TO131126 ADK131126 ANG131126 AXC131126 BGY131126 BQU131126 CAQ131126 CKM131126 CUI131126 DEE131126 DOA131126 DXW131126 EHS131126 ERO131126 FBK131126 FLG131126 FVC131126 GEY131126 GOU131126 GYQ131126 HIM131126 HSI131126 ICE131126 IMA131126 IVW131126 JFS131126 JPO131126 JZK131126 KJG131126 KTC131126 LCY131126 LMU131126 LWQ131126 MGM131126 MQI131126 NAE131126 NKA131126 NTW131126 ODS131126 ONO131126 OXK131126 PHG131126 PRC131126 QAY131126 QKU131126 QUQ131126 REM131126 ROI131126 RYE131126 SIA131126 SRW131126 TBS131126 TLO131126 TVK131126 UFG131126 UPC131126 UYY131126 VIU131126 VSQ131126 WCM131126 WMI131126 WWE131126 V196662 JS196662 TO196662 ADK196662 ANG196662 AXC196662 BGY196662 BQU196662 CAQ196662 CKM196662 CUI196662 DEE196662 DOA196662 DXW196662 EHS196662 ERO196662 FBK196662 FLG196662 FVC196662 GEY196662 GOU196662 GYQ196662 HIM196662 HSI196662 ICE196662 IMA196662 IVW196662 JFS196662 JPO196662 JZK196662 KJG196662 KTC196662 LCY196662 LMU196662 LWQ196662 MGM196662 MQI196662 NAE196662 NKA196662 NTW196662 ODS196662 ONO196662 OXK196662 PHG196662 PRC196662 QAY196662 QKU196662 QUQ196662 REM196662 ROI196662 RYE196662 SIA196662 SRW196662 TBS196662 TLO196662 TVK196662 UFG196662 UPC196662 UYY196662 VIU196662 VSQ196662 WCM196662 WMI196662 WWE196662 V262198 JS262198 TO262198 ADK262198 ANG262198 AXC262198 BGY262198 BQU262198 CAQ262198 CKM262198 CUI262198 DEE262198 DOA262198 DXW262198 EHS262198 ERO262198 FBK262198 FLG262198 FVC262198 GEY262198 GOU262198 GYQ262198 HIM262198 HSI262198 ICE262198 IMA262198 IVW262198 JFS262198 JPO262198 JZK262198 KJG262198 KTC262198 LCY262198 LMU262198 LWQ262198 MGM262198 MQI262198 NAE262198 NKA262198 NTW262198 ODS262198 ONO262198 OXK262198 PHG262198 PRC262198 QAY262198 QKU262198 QUQ262198 REM262198 ROI262198 RYE262198 SIA262198 SRW262198 TBS262198 TLO262198 TVK262198 UFG262198 UPC262198 UYY262198 VIU262198 VSQ262198 WCM262198 WMI262198 WWE262198 V327734 JS327734 TO327734 ADK327734 ANG327734 AXC327734 BGY327734 BQU327734 CAQ327734 CKM327734 CUI327734 DEE327734 DOA327734 DXW327734 EHS327734 ERO327734 FBK327734 FLG327734 FVC327734 GEY327734 GOU327734 GYQ327734 HIM327734 HSI327734 ICE327734 IMA327734 IVW327734 JFS327734 JPO327734 JZK327734 KJG327734 KTC327734 LCY327734 LMU327734 LWQ327734 MGM327734 MQI327734 NAE327734 NKA327734 NTW327734 ODS327734 ONO327734 OXK327734 PHG327734 PRC327734 QAY327734 QKU327734 QUQ327734 REM327734 ROI327734 RYE327734 SIA327734 SRW327734 TBS327734 TLO327734 TVK327734 UFG327734 UPC327734 UYY327734 VIU327734 VSQ327734 WCM327734 WMI327734 WWE327734 V393270 JS393270 TO393270 ADK393270 ANG393270 AXC393270 BGY393270 BQU393270 CAQ393270 CKM393270 CUI393270 DEE393270 DOA393270 DXW393270 EHS393270 ERO393270 FBK393270 FLG393270 FVC393270 GEY393270 GOU393270 GYQ393270 HIM393270 HSI393270 ICE393270 IMA393270 IVW393270 JFS393270 JPO393270 JZK393270 KJG393270 KTC393270 LCY393270 LMU393270 LWQ393270 MGM393270 MQI393270 NAE393270 NKA393270 NTW393270 ODS393270 ONO393270 OXK393270 PHG393270 PRC393270 QAY393270 QKU393270 QUQ393270 REM393270 ROI393270 RYE393270 SIA393270 SRW393270 TBS393270 TLO393270 TVK393270 UFG393270 UPC393270 UYY393270 VIU393270 VSQ393270 WCM393270 WMI393270 WWE393270 V458806 JS458806 TO458806 ADK458806 ANG458806 AXC458806 BGY458806 BQU458806 CAQ458806 CKM458806 CUI458806 DEE458806 DOA458806 DXW458806 EHS458806 ERO458806 FBK458806 FLG458806 FVC458806 GEY458806 GOU458806 GYQ458806 HIM458806 HSI458806 ICE458806 IMA458806 IVW458806 JFS458806 JPO458806 JZK458806 KJG458806 KTC458806 LCY458806 LMU458806 LWQ458806 MGM458806 MQI458806 NAE458806 NKA458806 NTW458806 ODS458806 ONO458806 OXK458806 PHG458806 PRC458806 QAY458806 QKU458806 QUQ458806 REM458806 ROI458806 RYE458806 SIA458806 SRW458806 TBS458806 TLO458806 TVK458806 UFG458806 UPC458806 UYY458806 VIU458806 VSQ458806 WCM458806 WMI458806 WWE458806 V524342 JS524342 TO524342 ADK524342 ANG524342 AXC524342 BGY524342 BQU524342 CAQ524342 CKM524342 CUI524342 DEE524342 DOA524342 DXW524342 EHS524342 ERO524342 FBK524342 FLG524342 FVC524342 GEY524342 GOU524342 GYQ524342 HIM524342 HSI524342 ICE524342 IMA524342 IVW524342 JFS524342 JPO524342 JZK524342 KJG524342 KTC524342 LCY524342 LMU524342 LWQ524342 MGM524342 MQI524342 NAE524342 NKA524342 NTW524342 ODS524342 ONO524342 OXK524342 PHG524342 PRC524342 QAY524342 QKU524342 QUQ524342 REM524342 ROI524342 RYE524342 SIA524342 SRW524342 TBS524342 TLO524342 TVK524342 UFG524342 UPC524342 UYY524342 VIU524342 VSQ524342 WCM524342 WMI524342 WWE524342 V589878 JS589878 TO589878 ADK589878 ANG589878 AXC589878 BGY589878 BQU589878 CAQ589878 CKM589878 CUI589878 DEE589878 DOA589878 DXW589878 EHS589878 ERO589878 FBK589878 FLG589878 FVC589878 GEY589878 GOU589878 GYQ589878 HIM589878 HSI589878 ICE589878 IMA589878 IVW589878 JFS589878 JPO589878 JZK589878 KJG589878 KTC589878 LCY589878 LMU589878 LWQ589878 MGM589878 MQI589878 NAE589878 NKA589878 NTW589878 ODS589878 ONO589878 OXK589878 PHG589878 PRC589878 QAY589878 QKU589878 QUQ589878 REM589878 ROI589878 RYE589878 SIA589878 SRW589878 TBS589878 TLO589878 TVK589878 UFG589878 UPC589878 UYY589878 VIU589878 VSQ589878 WCM589878 WMI589878 WWE589878 V655414 JS655414 TO655414 ADK655414 ANG655414 AXC655414 BGY655414 BQU655414 CAQ655414 CKM655414 CUI655414 DEE655414 DOA655414 DXW655414 EHS655414 ERO655414 FBK655414 FLG655414 FVC655414 GEY655414 GOU655414 GYQ655414 HIM655414 HSI655414 ICE655414 IMA655414 IVW655414 JFS655414 JPO655414 JZK655414 KJG655414 KTC655414 LCY655414 LMU655414 LWQ655414 MGM655414 MQI655414 NAE655414 NKA655414 NTW655414 ODS655414 ONO655414 OXK655414 PHG655414 PRC655414 QAY655414 QKU655414 QUQ655414 REM655414 ROI655414 RYE655414 SIA655414 SRW655414 TBS655414 TLO655414 TVK655414 UFG655414 UPC655414 UYY655414 VIU655414 VSQ655414 WCM655414 WMI655414 WWE655414 V720950 JS720950 TO720950 ADK720950 ANG720950 AXC720950 BGY720950 BQU720950 CAQ720950 CKM720950 CUI720950 DEE720950 DOA720950 DXW720950 EHS720950 ERO720950 FBK720950 FLG720950 FVC720950 GEY720950 GOU720950 GYQ720950 HIM720950 HSI720950 ICE720950 IMA720950 IVW720950 JFS720950 JPO720950 JZK720950 KJG720950 KTC720950 LCY720950 LMU720950 LWQ720950 MGM720950 MQI720950 NAE720950 NKA720950 NTW720950 ODS720950 ONO720950 OXK720950 PHG720950 PRC720950 QAY720950 QKU720950 QUQ720950 REM720950 ROI720950 RYE720950 SIA720950 SRW720950 TBS720950 TLO720950 TVK720950 UFG720950 UPC720950 UYY720950 VIU720950 VSQ720950 WCM720950 WMI720950 WWE720950 V786486 JS786486 TO786486 ADK786486 ANG786486 AXC786486 BGY786486 BQU786486 CAQ786486 CKM786486 CUI786486 DEE786486 DOA786486 DXW786486 EHS786486 ERO786486 FBK786486 FLG786486 FVC786486 GEY786486 GOU786486 GYQ786486 HIM786486 HSI786486 ICE786486 IMA786486 IVW786486 JFS786486 JPO786486 JZK786486 KJG786486 KTC786486 LCY786486 LMU786486 LWQ786486 MGM786486 MQI786486 NAE786486 NKA786486 NTW786486 ODS786486 ONO786486 OXK786486 PHG786486 PRC786486 QAY786486 QKU786486 QUQ786486 REM786486 ROI786486 RYE786486 SIA786486 SRW786486 TBS786486 TLO786486 TVK786486 UFG786486 UPC786486 UYY786486 VIU786486 VSQ786486 WCM786486 WMI786486 WWE786486 V852022 JS852022 TO852022 ADK852022 ANG852022 AXC852022 BGY852022 BQU852022 CAQ852022 CKM852022 CUI852022 DEE852022 DOA852022 DXW852022 EHS852022 ERO852022 FBK852022 FLG852022 FVC852022 GEY852022 GOU852022 GYQ852022 HIM852022 HSI852022 ICE852022 IMA852022 IVW852022 JFS852022 JPO852022 JZK852022 KJG852022 KTC852022 LCY852022 LMU852022 LWQ852022 MGM852022 MQI852022 NAE852022 NKA852022 NTW852022 ODS852022 ONO852022 OXK852022 PHG852022 PRC852022 QAY852022 QKU852022 QUQ852022 REM852022 ROI852022 RYE852022 SIA852022 SRW852022 TBS852022 TLO852022 TVK852022 UFG852022 UPC852022 UYY852022 VIU852022 VSQ852022 WCM852022 WMI852022 WWE852022 V917558 JS917558 TO917558 ADK917558 ANG917558 AXC917558 BGY917558 BQU917558 CAQ917558 CKM917558 CUI917558 DEE917558 DOA917558 DXW917558 EHS917558 ERO917558 FBK917558 FLG917558 FVC917558 GEY917558 GOU917558 GYQ917558 HIM917558 HSI917558 ICE917558 IMA917558 IVW917558 JFS917558 JPO917558 JZK917558 KJG917558 KTC917558 LCY917558 LMU917558 LWQ917558 MGM917558 MQI917558 NAE917558 NKA917558 NTW917558 ODS917558 ONO917558 OXK917558 PHG917558 PRC917558 QAY917558 QKU917558 QUQ917558 REM917558 ROI917558 RYE917558 SIA917558 SRW917558 TBS917558 TLO917558 TVK917558 UFG917558 UPC917558 UYY917558 VIU917558 VSQ917558 WCM917558 WMI917558 WWE917558 V983094 JS983094 TO983094 ADK983094 ANG983094 AXC983094 BGY983094 BQU983094 CAQ983094 CKM983094 CUI983094 DEE983094 DOA983094 DXW983094 EHS983094 ERO983094 FBK983094 FLG983094 FVC983094 GEY983094 GOU983094 GYQ983094 HIM983094 HSI983094 ICE983094 IMA983094 IVW983094 JFS983094 JPO983094 JZK983094 KJG983094 KTC983094 LCY983094 LMU983094 LWQ983094 MGM983094 MQI983094 NAE983094 NKA983094 NTW983094 ODS983094 ONO983094 OXK983094 PHG983094 PRC983094 QAY983094 QKU983094 QUQ983094 REM983094 ROI983094 RYE983094 SIA983094 SRW983094 TBS983094 TLO983094 TVK983094 UFG983094 UPC983094 UYY983094 VIU983094 VSQ983094 WCM983094 WMI983094 WWE983094 WMX983094 JM27 TI27 ADE27 ANA27 AWW27 BGS27 BQO27 CAK27 CKG27 CUC27 DDY27 DNU27 DXQ27 EHM27 ERI27 FBE27 FLA27 FUW27 GES27 GOO27 GYK27 HIG27 HSC27 IBY27 ILU27 IVQ27 JFM27 JPI27 JZE27 KJA27 KSW27 LCS27 LMO27 LWK27 MGG27 MQC27 MZY27 NJU27 NTQ27 ODM27 ONI27 OXE27 PHA27 PQW27 QAS27 QKO27 QUK27 REG27 ROC27 RXY27 SHU27 SRQ27 TBM27 TLI27 TVE27 UFA27 UOW27 UYS27 VIO27 VSK27 WCG27 WMC27 WVY27 L65590 JM65590 TI65590 ADE65590 ANA65590 AWW65590 BGS65590 BQO65590 CAK65590 CKG65590 CUC65590 DDY65590 DNU65590 DXQ65590 EHM65590 ERI65590 FBE65590 FLA65590 FUW65590 GES65590 GOO65590 GYK65590 HIG65590 HSC65590 IBY65590 ILU65590 IVQ65590 JFM65590 JPI65590 JZE65590 KJA65590 KSW65590 LCS65590 LMO65590 LWK65590 MGG65590 MQC65590 MZY65590 NJU65590 NTQ65590 ODM65590 ONI65590 OXE65590 PHA65590 PQW65590 QAS65590 QKO65590 QUK65590 REG65590 ROC65590 RXY65590 SHU65590 SRQ65590 TBM65590 TLI65590 TVE65590 UFA65590 UOW65590 UYS65590 VIO65590 VSK65590 WCG65590 WMC65590 WVY65590 L131126 JM131126 TI131126 ADE131126 ANA131126 AWW131126 BGS131126 BQO131126 CAK131126 CKG131126 CUC131126 DDY131126 DNU131126 DXQ131126 EHM131126 ERI131126 FBE131126 FLA131126 FUW131126 GES131126 GOO131126 GYK131126 HIG131126 HSC131126 IBY131126 ILU131126 IVQ131126 JFM131126 JPI131126 JZE131126 KJA131126 KSW131126 LCS131126 LMO131126 LWK131126 MGG131126 MQC131126 MZY131126 NJU131126 NTQ131126 ODM131126 ONI131126 OXE131126 PHA131126 PQW131126 QAS131126 QKO131126 QUK131126 REG131126 ROC131126 RXY131126 SHU131126 SRQ131126 TBM131126 TLI131126 TVE131126 UFA131126 UOW131126 UYS131126 VIO131126 VSK131126 WCG131126 WMC131126 WVY131126 L196662 JM196662 TI196662 ADE196662 ANA196662 AWW196662 BGS196662 BQO196662 CAK196662 CKG196662 CUC196662 DDY196662 DNU196662 DXQ196662 EHM196662 ERI196662 FBE196662 FLA196662 FUW196662 GES196662 GOO196662 GYK196662 HIG196662 HSC196662 IBY196662 ILU196662 IVQ196662 JFM196662 JPI196662 JZE196662 KJA196662 KSW196662 LCS196662 LMO196662 LWK196662 MGG196662 MQC196662 MZY196662 NJU196662 NTQ196662 ODM196662 ONI196662 OXE196662 PHA196662 PQW196662 QAS196662 QKO196662 QUK196662 REG196662 ROC196662 RXY196662 SHU196662 SRQ196662 TBM196662 TLI196662 TVE196662 UFA196662 UOW196662 UYS196662 VIO196662 VSK196662 WCG196662 WMC196662 WVY196662 L262198 JM262198 TI262198 ADE262198 ANA262198 AWW262198 BGS262198 BQO262198 CAK262198 CKG262198 CUC262198 DDY262198 DNU262198 DXQ262198 EHM262198 ERI262198 FBE262198 FLA262198 FUW262198 GES262198 GOO262198 GYK262198 HIG262198 HSC262198 IBY262198 ILU262198 IVQ262198 JFM262198 JPI262198 JZE262198 KJA262198 KSW262198 LCS262198 LMO262198 LWK262198 MGG262198 MQC262198 MZY262198 NJU262198 NTQ262198 ODM262198 ONI262198 OXE262198 PHA262198 PQW262198 QAS262198 QKO262198 QUK262198 REG262198 ROC262198 RXY262198 SHU262198 SRQ262198 TBM262198 TLI262198 TVE262198 UFA262198 UOW262198 UYS262198 VIO262198 VSK262198 WCG262198 WMC262198 WVY262198 L327734 JM327734 TI327734 ADE327734 ANA327734 AWW327734 BGS327734 BQO327734 CAK327734 CKG327734 CUC327734 DDY327734 DNU327734 DXQ327734 EHM327734 ERI327734 FBE327734 FLA327734 FUW327734 GES327734 GOO327734 GYK327734 HIG327734 HSC327734 IBY327734 ILU327734 IVQ327734 JFM327734 JPI327734 JZE327734 KJA327734 KSW327734 LCS327734 LMO327734 LWK327734 MGG327734 MQC327734 MZY327734 NJU327734 NTQ327734 ODM327734 ONI327734 OXE327734 PHA327734 PQW327734 QAS327734 QKO327734 QUK327734 REG327734 ROC327734 RXY327734 SHU327734 SRQ327734 TBM327734 TLI327734 TVE327734 UFA327734 UOW327734 UYS327734 VIO327734 VSK327734 WCG327734 WMC327734 WVY327734 L393270 JM393270 TI393270 ADE393270 ANA393270 AWW393270 BGS393270 BQO393270 CAK393270 CKG393270 CUC393270 DDY393270 DNU393270 DXQ393270 EHM393270 ERI393270 FBE393270 FLA393270 FUW393270 GES393270 GOO393270 GYK393270 HIG393270 HSC393270 IBY393270 ILU393270 IVQ393270 JFM393270 JPI393270 JZE393270 KJA393270 KSW393270 LCS393270 LMO393270 LWK393270 MGG393270 MQC393270 MZY393270 NJU393270 NTQ393270 ODM393270 ONI393270 OXE393270 PHA393270 PQW393270 QAS393270 QKO393270 QUK393270 REG393270 ROC393270 RXY393270 SHU393270 SRQ393270 TBM393270 TLI393270 TVE393270 UFA393270 UOW393270 UYS393270 VIO393270 VSK393270 WCG393270 WMC393270 WVY393270 L458806 JM458806 TI458806 ADE458806 ANA458806 AWW458806 BGS458806 BQO458806 CAK458806 CKG458806 CUC458806 DDY458806 DNU458806 DXQ458806 EHM458806 ERI458806 FBE458806 FLA458806 FUW458806 GES458806 GOO458806 GYK458806 HIG458806 HSC458806 IBY458806 ILU458806 IVQ458806 JFM458806 JPI458806 JZE458806 KJA458806 KSW458806 LCS458806 LMO458806 LWK458806 MGG458806 MQC458806 MZY458806 NJU458806 NTQ458806 ODM458806 ONI458806 OXE458806 PHA458806 PQW458806 QAS458806 QKO458806 QUK458806 REG458806 ROC458806 RXY458806 SHU458806 SRQ458806 TBM458806 TLI458806 TVE458806 UFA458806 UOW458806 UYS458806 VIO458806 VSK458806 WCG458806 WMC458806 WVY458806 L524342 JM524342 TI524342 ADE524342 ANA524342 AWW524342 BGS524342 BQO524342 CAK524342 CKG524342 CUC524342 DDY524342 DNU524342 DXQ524342 EHM524342 ERI524342 FBE524342 FLA524342 FUW524342 GES524342 GOO524342 GYK524342 HIG524342 HSC524342 IBY524342 ILU524342 IVQ524342 JFM524342 JPI524342 JZE524342 KJA524342 KSW524342 LCS524342 LMO524342 LWK524342 MGG524342 MQC524342 MZY524342 NJU524342 NTQ524342 ODM524342 ONI524342 OXE524342 PHA524342 PQW524342 QAS524342 QKO524342 QUK524342 REG524342 ROC524342 RXY524342 SHU524342 SRQ524342 TBM524342 TLI524342 TVE524342 UFA524342 UOW524342 UYS524342 VIO524342 VSK524342 WCG524342 WMC524342 WVY524342 L589878 JM589878 TI589878 ADE589878 ANA589878 AWW589878 BGS589878 BQO589878 CAK589878 CKG589878 CUC589878 DDY589878 DNU589878 DXQ589878 EHM589878 ERI589878 FBE589878 FLA589878 FUW589878 GES589878 GOO589878 GYK589878 HIG589878 HSC589878 IBY589878 ILU589878 IVQ589878 JFM589878 JPI589878 JZE589878 KJA589878 KSW589878 LCS589878 LMO589878 LWK589878 MGG589878 MQC589878 MZY589878 NJU589878 NTQ589878 ODM589878 ONI589878 OXE589878 PHA589878 PQW589878 QAS589878 QKO589878 QUK589878 REG589878 ROC589878 RXY589878 SHU589878 SRQ589878 TBM589878 TLI589878 TVE589878 UFA589878 UOW589878 UYS589878 VIO589878 VSK589878 WCG589878 WMC589878 WVY589878 L655414 JM655414 TI655414 ADE655414 ANA655414 AWW655414 BGS655414 BQO655414 CAK655414 CKG655414 CUC655414 DDY655414 DNU655414 DXQ655414 EHM655414 ERI655414 FBE655414 FLA655414 FUW655414 GES655414 GOO655414 GYK655414 HIG655414 HSC655414 IBY655414 ILU655414 IVQ655414 JFM655414 JPI655414 JZE655414 KJA655414 KSW655414 LCS655414 LMO655414 LWK655414 MGG655414 MQC655414 MZY655414 NJU655414 NTQ655414 ODM655414 ONI655414 OXE655414 PHA655414 PQW655414 QAS655414 QKO655414 QUK655414 REG655414 ROC655414 RXY655414 SHU655414 SRQ655414 TBM655414 TLI655414 TVE655414 UFA655414 UOW655414 UYS655414 VIO655414 VSK655414 WCG655414 WMC655414 WVY655414 L720950 JM720950 TI720950 ADE720950 ANA720950 AWW720950 BGS720950 BQO720950 CAK720950 CKG720950 CUC720950 DDY720950 DNU720950 DXQ720950 EHM720950 ERI720950 FBE720950 FLA720950 FUW720950 GES720950 GOO720950 GYK720950 HIG720950 HSC720950 IBY720950 ILU720950 IVQ720950 JFM720950 JPI720950 JZE720950 KJA720950 KSW720950 LCS720950 LMO720950 LWK720950 MGG720950 MQC720950 MZY720950 NJU720950 NTQ720950 ODM720950 ONI720950 OXE720950 PHA720950 PQW720950 QAS720950 QKO720950 QUK720950 REG720950 ROC720950 RXY720950 SHU720950 SRQ720950 TBM720950 TLI720950 TVE720950 UFA720950 UOW720950 UYS720950 VIO720950 VSK720950 WCG720950 WMC720950 WVY720950 L786486 JM786486 TI786486 ADE786486 ANA786486 AWW786486 BGS786486 BQO786486 CAK786486 CKG786486 CUC786486 DDY786486 DNU786486 DXQ786486 EHM786486 ERI786486 FBE786486 FLA786486 FUW786486 GES786486 GOO786486 GYK786486 HIG786486 HSC786486 IBY786486 ILU786486 IVQ786486 JFM786486 JPI786486 JZE786486 KJA786486 KSW786486 LCS786486 LMO786486 LWK786486 MGG786486 MQC786486 MZY786486 NJU786486 NTQ786486 ODM786486 ONI786486 OXE786486 PHA786486 PQW786486 QAS786486 QKO786486 QUK786486 REG786486 ROC786486 RXY786486 SHU786486 SRQ786486 TBM786486 TLI786486 TVE786486 UFA786486 UOW786486 UYS786486 VIO786486 VSK786486 WCG786486 WMC786486 WVY786486 L852022 JM852022 TI852022 ADE852022 ANA852022 AWW852022 BGS852022 BQO852022 CAK852022 CKG852022 CUC852022 DDY852022 DNU852022 DXQ852022 EHM852022 ERI852022 FBE852022 FLA852022 FUW852022 GES852022 GOO852022 GYK852022 HIG852022 HSC852022 IBY852022 ILU852022 IVQ852022 JFM852022 JPI852022 JZE852022 KJA852022 KSW852022 LCS852022 LMO852022 LWK852022 MGG852022 MQC852022 MZY852022 NJU852022 NTQ852022 ODM852022 ONI852022 OXE852022 PHA852022 PQW852022 QAS852022 QKO852022 QUK852022 REG852022 ROC852022 RXY852022 SHU852022 SRQ852022 TBM852022 TLI852022 TVE852022 UFA852022 UOW852022 UYS852022 VIO852022 VSK852022 WCG852022 WMC852022 WVY852022 L917558 JM917558 TI917558 ADE917558 ANA917558 AWW917558 BGS917558 BQO917558 CAK917558 CKG917558 CUC917558 DDY917558 DNU917558 DXQ917558 EHM917558 ERI917558 FBE917558 FLA917558 FUW917558 GES917558 GOO917558 GYK917558 HIG917558 HSC917558 IBY917558 ILU917558 IVQ917558 JFM917558 JPI917558 JZE917558 KJA917558 KSW917558 LCS917558 LMO917558 LWK917558 MGG917558 MQC917558 MZY917558 NJU917558 NTQ917558 ODM917558 ONI917558 OXE917558 PHA917558 PQW917558 QAS917558 QKO917558 QUK917558 REG917558 ROC917558 RXY917558 SHU917558 SRQ917558 TBM917558 TLI917558 TVE917558 UFA917558 UOW917558 UYS917558 VIO917558 VSK917558 WCG917558 WMC917558 WVY917558 L983094 JM983094 TI983094 ADE983094 ANA983094 AWW983094 BGS983094 BQO983094 CAK983094 CKG983094 CUC983094 DDY983094 DNU983094 DXQ983094 EHM983094 ERI983094 FBE983094 FLA983094 FUW983094 GES983094 GOO983094 GYK983094 HIG983094 HSC983094 IBY983094 ILU983094 IVQ983094 JFM983094 JPI983094 JZE983094 KJA983094 KSW983094 LCS983094 LMO983094 LWK983094 MGG983094 MQC983094 MZY983094 NJU983094 NTQ983094 ODM983094 ONI983094 OXE983094 PHA983094 PQW983094 QAS983094 QKO983094 QUK983094 REG983094 ROC983094 RXY983094 SHU983094 SRQ983094 TBM983094 TLI983094 TVE983094 UFA983094 UOW983094 UYS983094 VIO983094 VSK983094 WCG983094 WMC983094 WVY983094 QBN983094 JJ27 TF27 ADB27 AMX27 AWT27 BGP27 BQL27 CAH27 CKD27 CTZ27 DDV27 DNR27 DXN27 EHJ27 ERF27 FBB27 FKX27 FUT27 GEP27 GOL27 GYH27 HID27 HRZ27 IBV27 ILR27 IVN27 JFJ27 JPF27 JZB27 KIX27 KST27 LCP27 LML27 LWH27 MGD27 MPZ27 MZV27 NJR27 NTN27 ODJ27 ONF27 OXB27 PGX27 PQT27 QAP27 QKL27 QUH27 RED27 RNZ27 RXV27 SHR27 SRN27 TBJ27 TLF27 TVB27 UEX27 UOT27 UYP27 VIL27 VSH27 WCD27 WLZ27 WVV27 I65590 JJ65590 TF65590 ADB65590 AMX65590 AWT65590 BGP65590 BQL65590 CAH65590 CKD65590 CTZ65590 DDV65590 DNR65590 DXN65590 EHJ65590 ERF65590 FBB65590 FKX65590 FUT65590 GEP65590 GOL65590 GYH65590 HID65590 HRZ65590 IBV65590 ILR65590 IVN65590 JFJ65590 JPF65590 JZB65590 KIX65590 KST65590 LCP65590 LML65590 LWH65590 MGD65590 MPZ65590 MZV65590 NJR65590 NTN65590 ODJ65590 ONF65590 OXB65590 PGX65590 PQT65590 QAP65590 QKL65590 QUH65590 RED65590 RNZ65590 RXV65590 SHR65590 SRN65590 TBJ65590 TLF65590 TVB65590 UEX65590 UOT65590 UYP65590 VIL65590 VSH65590 WCD65590 WLZ65590 WVV65590 I131126 JJ131126 TF131126 ADB131126 AMX131126 AWT131126 BGP131126 BQL131126 CAH131126 CKD131126 CTZ131126 DDV131126 DNR131126 DXN131126 EHJ131126 ERF131126 FBB131126 FKX131126 FUT131126 GEP131126 GOL131126 GYH131126 HID131126 HRZ131126 IBV131126 ILR131126 IVN131126 JFJ131126 JPF131126 JZB131126 KIX131126 KST131126 LCP131126 LML131126 LWH131126 MGD131126 MPZ131126 MZV131126 NJR131126 NTN131126 ODJ131126 ONF131126 OXB131126 PGX131126 PQT131126 QAP131126 QKL131126 QUH131126 RED131126 RNZ131126 RXV131126 SHR131126 SRN131126 TBJ131126 TLF131126 TVB131126 UEX131126 UOT131126 UYP131126 VIL131126 VSH131126 WCD131126 WLZ131126 WVV131126 I196662 JJ196662 TF196662 ADB196662 AMX196662 AWT196662 BGP196662 BQL196662 CAH196662 CKD196662 CTZ196662 DDV196662 DNR196662 DXN196662 EHJ196662 ERF196662 FBB196662 FKX196662 FUT196662 GEP196662 GOL196662 GYH196662 HID196662 HRZ196662 IBV196662 ILR196662 IVN196662 JFJ196662 JPF196662 JZB196662 KIX196662 KST196662 LCP196662 LML196662 LWH196662 MGD196662 MPZ196662 MZV196662 NJR196662 NTN196662 ODJ196662 ONF196662 OXB196662 PGX196662 PQT196662 QAP196662 QKL196662 QUH196662 RED196662 RNZ196662 RXV196662 SHR196662 SRN196662 TBJ196662 TLF196662 TVB196662 UEX196662 UOT196662 UYP196662 VIL196662 VSH196662 WCD196662 WLZ196662 WVV196662 I262198 JJ262198 TF262198 ADB262198 AMX262198 AWT262198 BGP262198 BQL262198 CAH262198 CKD262198 CTZ262198 DDV262198 DNR262198 DXN262198 EHJ262198 ERF262198 FBB262198 FKX262198 FUT262198 GEP262198 GOL262198 GYH262198 HID262198 HRZ262198 IBV262198 ILR262198 IVN262198 JFJ262198 JPF262198 JZB262198 KIX262198 KST262198 LCP262198 LML262198 LWH262198 MGD262198 MPZ262198 MZV262198 NJR262198 NTN262198 ODJ262198 ONF262198 OXB262198 PGX262198 PQT262198 QAP262198 QKL262198 QUH262198 RED262198 RNZ262198 RXV262198 SHR262198 SRN262198 TBJ262198 TLF262198 TVB262198 UEX262198 UOT262198 UYP262198 VIL262198 VSH262198 WCD262198 WLZ262198 WVV262198 I327734 JJ327734 TF327734 ADB327734 AMX327734 AWT327734 BGP327734 BQL327734 CAH327734 CKD327734 CTZ327734 DDV327734 DNR327734 DXN327734 EHJ327734 ERF327734 FBB327734 FKX327734 FUT327734 GEP327734 GOL327734 GYH327734 HID327734 HRZ327734 IBV327734 ILR327734 IVN327734 JFJ327734 JPF327734 JZB327734 KIX327734 KST327734 LCP327734 LML327734 LWH327734 MGD327734 MPZ327734 MZV327734 NJR327734 NTN327734 ODJ327734 ONF327734 OXB327734 PGX327734 PQT327734 QAP327734 QKL327734 QUH327734 RED327734 RNZ327734 RXV327734 SHR327734 SRN327734 TBJ327734 TLF327734 TVB327734 UEX327734 UOT327734 UYP327734 VIL327734 VSH327734 WCD327734 WLZ327734 WVV327734 I393270 JJ393270 TF393270 ADB393270 AMX393270 AWT393270 BGP393270 BQL393270 CAH393270 CKD393270 CTZ393270 DDV393270 DNR393270 DXN393270 EHJ393270 ERF393270 FBB393270 FKX393270 FUT393270 GEP393270 GOL393270 GYH393270 HID393270 HRZ393270 IBV393270 ILR393270 IVN393270 JFJ393270 JPF393270 JZB393270 KIX393270 KST393270 LCP393270 LML393270 LWH393270 MGD393270 MPZ393270 MZV393270 NJR393270 NTN393270 ODJ393270 ONF393270 OXB393270 PGX393270 PQT393270 QAP393270 QKL393270 QUH393270 RED393270 RNZ393270 RXV393270 SHR393270 SRN393270 TBJ393270 TLF393270 TVB393270 UEX393270 UOT393270 UYP393270 VIL393270 VSH393270 WCD393270 WLZ393270 WVV393270 I458806 JJ458806 TF458806 ADB458806 AMX458806 AWT458806 BGP458806 BQL458806 CAH458806 CKD458806 CTZ458806 DDV458806 DNR458806 DXN458806 EHJ458806 ERF458806 FBB458806 FKX458806 FUT458806 GEP458806 GOL458806 GYH458806 HID458806 HRZ458806 IBV458806 ILR458806 IVN458806 JFJ458806 JPF458806 JZB458806 KIX458806 KST458806 LCP458806 LML458806 LWH458806 MGD458806 MPZ458806 MZV458806 NJR458806 NTN458806 ODJ458806 ONF458806 OXB458806 PGX458806 PQT458806 QAP458806 QKL458806 QUH458806 RED458806 RNZ458806 RXV458806 SHR458806 SRN458806 TBJ458806 TLF458806 TVB458806 UEX458806 UOT458806 UYP458806 VIL458806 VSH458806 WCD458806 WLZ458806 WVV458806 I524342 JJ524342 TF524342 ADB524342 AMX524342 AWT524342 BGP524342 BQL524342 CAH524342 CKD524342 CTZ524342 DDV524342 DNR524342 DXN524342 EHJ524342 ERF524342 FBB524342 FKX524342 FUT524342 GEP524342 GOL524342 GYH524342 HID524342 HRZ524342 IBV524342 ILR524342 IVN524342 JFJ524342 JPF524342 JZB524342 KIX524342 KST524342 LCP524342 LML524342 LWH524342 MGD524342 MPZ524342 MZV524342 NJR524342 NTN524342 ODJ524342 ONF524342 OXB524342 PGX524342 PQT524342 QAP524342 QKL524342 QUH524342 RED524342 RNZ524342 RXV524342 SHR524342 SRN524342 TBJ524342 TLF524342 TVB524342 UEX524342 UOT524342 UYP524342 VIL524342 VSH524342 WCD524342 WLZ524342 WVV524342 I589878 JJ589878 TF589878 ADB589878 AMX589878 AWT589878 BGP589878 BQL589878 CAH589878 CKD589878 CTZ589878 DDV589878 DNR589878 DXN589878 EHJ589878 ERF589878 FBB589878 FKX589878 FUT589878 GEP589878 GOL589878 GYH589878 HID589878 HRZ589878 IBV589878 ILR589878 IVN589878 JFJ589878 JPF589878 JZB589878 KIX589878 KST589878 LCP589878 LML589878 LWH589878 MGD589878 MPZ589878 MZV589878 NJR589878 NTN589878 ODJ589878 ONF589878 OXB589878 PGX589878 PQT589878 QAP589878 QKL589878 QUH589878 RED589878 RNZ589878 RXV589878 SHR589878 SRN589878 TBJ589878 TLF589878 TVB589878 UEX589878 UOT589878 UYP589878 VIL589878 VSH589878 WCD589878 WLZ589878 WVV589878 I655414 JJ655414 TF655414 ADB655414 AMX655414 AWT655414 BGP655414 BQL655414 CAH655414 CKD655414 CTZ655414 DDV655414 DNR655414 DXN655414 EHJ655414 ERF655414 FBB655414 FKX655414 FUT655414 GEP655414 GOL655414 GYH655414 HID655414 HRZ655414 IBV655414 ILR655414 IVN655414 JFJ655414 JPF655414 JZB655414 KIX655414 KST655414 LCP655414 LML655414 LWH655414 MGD655414 MPZ655414 MZV655414 NJR655414 NTN655414 ODJ655414 ONF655414 OXB655414 PGX655414 PQT655414 QAP655414 QKL655414 QUH655414 RED655414 RNZ655414 RXV655414 SHR655414 SRN655414 TBJ655414 TLF655414 TVB655414 UEX655414 UOT655414 UYP655414 VIL655414 VSH655414 WCD655414 WLZ655414 WVV655414 I720950 JJ720950 TF720950 ADB720950 AMX720950 AWT720950 BGP720950 BQL720950 CAH720950 CKD720950 CTZ720950 DDV720950 DNR720950 DXN720950 EHJ720950 ERF720950 FBB720950 FKX720950 FUT720950 GEP720950 GOL720950 GYH720950 HID720950 HRZ720950 IBV720950 ILR720950 IVN720950 JFJ720950 JPF720950 JZB720950 KIX720950 KST720950 LCP720950 LML720950 LWH720950 MGD720950 MPZ720950 MZV720950 NJR720950 NTN720950 ODJ720950 ONF720950 OXB720950 PGX720950 PQT720950 QAP720950 QKL720950 QUH720950 RED720950 RNZ720950 RXV720950 SHR720950 SRN720950 TBJ720950 TLF720950 TVB720950 UEX720950 UOT720950 UYP720950 VIL720950 VSH720950 WCD720950 WLZ720950 WVV720950 I786486 JJ786486 TF786486 ADB786486 AMX786486 AWT786486 BGP786486 BQL786486 CAH786486 CKD786486 CTZ786486 DDV786486 DNR786486 DXN786486 EHJ786486 ERF786486 FBB786486 FKX786486 FUT786486 GEP786486 GOL786486 GYH786486 HID786486 HRZ786486 IBV786486 ILR786486 IVN786486 JFJ786486 JPF786486 JZB786486 KIX786486 KST786486 LCP786486 LML786486 LWH786486 MGD786486 MPZ786486 MZV786486 NJR786486 NTN786486 ODJ786486 ONF786486 OXB786486 PGX786486 PQT786486 QAP786486 QKL786486 QUH786486 RED786486 RNZ786486 RXV786486 SHR786486 SRN786486 TBJ786486 TLF786486 TVB786486 UEX786486 UOT786486 UYP786486 VIL786486 VSH786486 WCD786486 WLZ786486 WVV786486 I852022 JJ852022 TF852022 ADB852022 AMX852022 AWT852022 BGP852022 BQL852022 CAH852022 CKD852022 CTZ852022 DDV852022 DNR852022 DXN852022 EHJ852022 ERF852022 FBB852022 FKX852022 FUT852022 GEP852022 GOL852022 GYH852022 HID852022 HRZ852022 IBV852022 ILR852022 IVN852022 JFJ852022 JPF852022 JZB852022 KIX852022 KST852022 LCP852022 LML852022 LWH852022 MGD852022 MPZ852022 MZV852022 NJR852022 NTN852022 ODJ852022 ONF852022 OXB852022 PGX852022 PQT852022 QAP852022 QKL852022 QUH852022 RED852022 RNZ852022 RXV852022 SHR852022 SRN852022 TBJ852022 TLF852022 TVB852022 UEX852022 UOT852022 UYP852022 VIL852022 VSH852022 WCD852022 WLZ852022 WVV852022 I917558 JJ917558 TF917558 ADB917558 AMX917558 AWT917558 BGP917558 BQL917558 CAH917558 CKD917558 CTZ917558 DDV917558 DNR917558 DXN917558 EHJ917558 ERF917558 FBB917558 FKX917558 FUT917558 GEP917558 GOL917558 GYH917558 HID917558 HRZ917558 IBV917558 ILR917558 IVN917558 JFJ917558 JPF917558 JZB917558 KIX917558 KST917558 LCP917558 LML917558 LWH917558 MGD917558 MPZ917558 MZV917558 NJR917558 NTN917558 ODJ917558 ONF917558 OXB917558 PGX917558 PQT917558 QAP917558 QKL917558 QUH917558 RED917558 RNZ917558 RXV917558 SHR917558 SRN917558 TBJ917558 TLF917558 TVB917558 UEX917558 UOT917558 UYP917558 VIL917558 VSH917558 WCD917558 WLZ917558 WVV917558 I983094 JJ983094 TF983094 ADB983094 AMX983094 AWT983094 BGP983094 BQL983094 CAH983094 CKD983094 CTZ983094 DDV983094 DNR983094 DXN983094 EHJ983094 ERF983094 FBB983094 FKX983094 FUT983094 GEP983094 GOL983094 GYH983094 HID983094 HRZ983094 IBV983094 ILR983094 IVN983094 JFJ983094 JPF983094 JZB983094 KIX983094 KST983094 LCP983094 LML983094 LWH983094 MGD983094 MPZ983094 MZV983094 NJR983094 NTN983094 ODJ983094 ONF983094 OXB983094 PGX983094 PQT983094 QAP983094 QKL983094 QUH983094 RED983094 RNZ983094 RXV983094 SHR983094 SRN983094 TBJ983094 TLF983094 TVB983094 UEX983094 UOT983094 UYP983094 VIL983094 VSH983094 WCD983094 WLZ983094 WVV983094 QLJ983094 JY27 TU27 ADQ27 ANM27 AXI27 BHE27 BRA27 CAW27 CKS27 CUO27 DEK27 DOG27 DYC27 EHY27 ERU27 FBQ27 FLM27 FVI27 GFE27 GPA27 GYW27 HIS27 HSO27 ICK27 IMG27 IWC27 JFY27 JPU27 JZQ27 KJM27 KTI27 LDE27 LNA27 LWW27 MGS27 MQO27 NAK27 NKG27 NUC27 ODY27 ONU27 OXQ27 PHM27 PRI27 QBE27 QLA27 QUW27 RES27 ROO27 RYK27 SIG27 SSC27 TBY27 TLU27 TVQ27 UFM27 UPI27 UZE27 VJA27 VSW27 WCS27 WMO27 WWK27 AB65590 JY65590 TU65590 ADQ65590 ANM65590 AXI65590 BHE65590 BRA65590 CAW65590 CKS65590 CUO65590 DEK65590 DOG65590 DYC65590 EHY65590 ERU65590 FBQ65590 FLM65590 FVI65590 GFE65590 GPA65590 GYW65590 HIS65590 HSO65590 ICK65590 IMG65590 IWC65590 JFY65590 JPU65590 JZQ65590 KJM65590 KTI65590 LDE65590 LNA65590 LWW65590 MGS65590 MQO65590 NAK65590 NKG65590 NUC65590 ODY65590 ONU65590 OXQ65590 PHM65590 PRI65590 QBE65590 QLA65590 QUW65590 RES65590 ROO65590 RYK65590 SIG65590 SSC65590 TBY65590 TLU65590 TVQ65590 UFM65590 UPI65590 UZE65590 VJA65590 VSW65590 WCS65590 WMO65590 WWK65590 AB131126 JY131126 TU131126 ADQ131126 ANM131126 AXI131126 BHE131126 BRA131126 CAW131126 CKS131126 CUO131126 DEK131126 DOG131126 DYC131126 EHY131126 ERU131126 FBQ131126 FLM131126 FVI131126 GFE131126 GPA131126 GYW131126 HIS131126 HSO131126 ICK131126 IMG131126 IWC131126 JFY131126 JPU131126 JZQ131126 KJM131126 KTI131126 LDE131126 LNA131126 LWW131126 MGS131126 MQO131126 NAK131126 NKG131126 NUC131126 ODY131126 ONU131126 OXQ131126 PHM131126 PRI131126 QBE131126 QLA131126 QUW131126 RES131126 ROO131126 RYK131126 SIG131126 SSC131126 TBY131126 TLU131126 TVQ131126 UFM131126 UPI131126 UZE131126 VJA131126 VSW131126 WCS131126 WMO131126 WWK131126 AB196662 JY196662 TU196662 ADQ196662 ANM196662 AXI196662 BHE196662 BRA196662 CAW196662 CKS196662 CUO196662 DEK196662 DOG196662 DYC196662 EHY196662 ERU196662 FBQ196662 FLM196662 FVI196662 GFE196662 GPA196662 GYW196662 HIS196662 HSO196662 ICK196662 IMG196662 IWC196662 JFY196662 JPU196662 JZQ196662 KJM196662 KTI196662 LDE196662 LNA196662 LWW196662 MGS196662 MQO196662 NAK196662 NKG196662 NUC196662 ODY196662 ONU196662 OXQ196662 PHM196662 PRI196662 QBE196662 QLA196662 QUW196662 RES196662 ROO196662 RYK196662 SIG196662 SSC196662 TBY196662 TLU196662 TVQ196662 UFM196662 UPI196662 UZE196662 VJA196662 VSW196662 WCS196662 WMO196662 WWK196662 AB262198 JY262198 TU262198 ADQ262198 ANM262198 AXI262198 BHE262198 BRA262198 CAW262198 CKS262198 CUO262198 DEK262198 DOG262198 DYC262198 EHY262198 ERU262198 FBQ262198 FLM262198 FVI262198 GFE262198 GPA262198 GYW262198 HIS262198 HSO262198 ICK262198 IMG262198 IWC262198 JFY262198 JPU262198 JZQ262198 KJM262198 KTI262198 LDE262198 LNA262198 LWW262198 MGS262198 MQO262198 NAK262198 NKG262198 NUC262198 ODY262198 ONU262198 OXQ262198 PHM262198 PRI262198 QBE262198 QLA262198 QUW262198 RES262198 ROO262198 RYK262198 SIG262198 SSC262198 TBY262198 TLU262198 TVQ262198 UFM262198 UPI262198 UZE262198 VJA262198 VSW262198 WCS262198 WMO262198 WWK262198 AB327734 JY327734 TU327734 ADQ327734 ANM327734 AXI327734 BHE327734 BRA327734 CAW327734 CKS327734 CUO327734 DEK327734 DOG327734 DYC327734 EHY327734 ERU327734 FBQ327734 FLM327734 FVI327734 GFE327734 GPA327734 GYW327734 HIS327734 HSO327734 ICK327734 IMG327734 IWC327734 JFY327734 JPU327734 JZQ327734 KJM327734 KTI327734 LDE327734 LNA327734 LWW327734 MGS327734 MQO327734 NAK327734 NKG327734 NUC327734 ODY327734 ONU327734 OXQ327734 PHM327734 PRI327734 QBE327734 QLA327734 QUW327734 RES327734 ROO327734 RYK327734 SIG327734 SSC327734 TBY327734 TLU327734 TVQ327734 UFM327734 UPI327734 UZE327734 VJA327734 VSW327734 WCS327734 WMO327734 WWK327734 AB393270 JY393270 TU393270 ADQ393270 ANM393270 AXI393270 BHE393270 BRA393270 CAW393270 CKS393270 CUO393270 DEK393270 DOG393270 DYC393270 EHY393270 ERU393270 FBQ393270 FLM393270 FVI393270 GFE393270 GPA393270 GYW393270 HIS393270 HSO393270 ICK393270 IMG393270 IWC393270 JFY393270 JPU393270 JZQ393270 KJM393270 KTI393270 LDE393270 LNA393270 LWW393270 MGS393270 MQO393270 NAK393270 NKG393270 NUC393270 ODY393270 ONU393270 OXQ393270 PHM393270 PRI393270 QBE393270 QLA393270 QUW393270 RES393270 ROO393270 RYK393270 SIG393270 SSC393270 TBY393270 TLU393270 TVQ393270 UFM393270 UPI393270 UZE393270 VJA393270 VSW393270 WCS393270 WMO393270 WWK393270 AB458806 JY458806 TU458806 ADQ458806 ANM458806 AXI458806 BHE458806 BRA458806 CAW458806 CKS458806 CUO458806 DEK458806 DOG458806 DYC458806 EHY458806 ERU458806 FBQ458806 FLM458806 FVI458806 GFE458806 GPA458806 GYW458806 HIS458806 HSO458806 ICK458806 IMG458806 IWC458806 JFY458806 JPU458806 JZQ458806 KJM458806 KTI458806 LDE458806 LNA458806 LWW458806 MGS458806 MQO458806 NAK458806 NKG458806 NUC458806 ODY458806 ONU458806 OXQ458806 PHM458806 PRI458806 QBE458806 QLA458806 QUW458806 RES458806 ROO458806 RYK458806 SIG458806 SSC458806 TBY458806 TLU458806 TVQ458806 UFM458806 UPI458806 UZE458806 VJA458806 VSW458806 WCS458806 WMO458806 WWK458806 AB524342 JY524342 TU524342 ADQ524342 ANM524342 AXI524342 BHE524342 BRA524342 CAW524342 CKS524342 CUO524342 DEK524342 DOG524342 DYC524342 EHY524342 ERU524342 FBQ524342 FLM524342 FVI524342 GFE524342 GPA524342 GYW524342 HIS524342 HSO524342 ICK524342 IMG524342 IWC524342 JFY524342 JPU524342 JZQ524342 KJM524342 KTI524342 LDE524342 LNA524342 LWW524342 MGS524342 MQO524342 NAK524342 NKG524342 NUC524342 ODY524342 ONU524342 OXQ524342 PHM524342 PRI524342 QBE524342 QLA524342 QUW524342 RES524342 ROO524342 RYK524342 SIG524342 SSC524342 TBY524342 TLU524342 TVQ524342 UFM524342 UPI524342 UZE524342 VJA524342 VSW524342 WCS524342 WMO524342 WWK524342 AB589878 JY589878 TU589878 ADQ589878 ANM589878 AXI589878 BHE589878 BRA589878 CAW589878 CKS589878 CUO589878 DEK589878 DOG589878 DYC589878 EHY589878 ERU589878 FBQ589878 FLM589878 FVI589878 GFE589878 GPA589878 GYW589878 HIS589878 HSO589878 ICK589878 IMG589878 IWC589878 JFY589878 JPU589878 JZQ589878 KJM589878 KTI589878 LDE589878 LNA589878 LWW589878 MGS589878 MQO589878 NAK589878 NKG589878 NUC589878 ODY589878 ONU589878 OXQ589878 PHM589878 PRI589878 QBE589878 QLA589878 QUW589878 RES589878 ROO589878 RYK589878 SIG589878 SSC589878 TBY589878 TLU589878 TVQ589878 UFM589878 UPI589878 UZE589878 VJA589878 VSW589878 WCS589878 WMO589878 WWK589878 AB655414 JY655414 TU655414 ADQ655414 ANM655414 AXI655414 BHE655414 BRA655414 CAW655414 CKS655414 CUO655414 DEK655414 DOG655414 DYC655414 EHY655414 ERU655414 FBQ655414 FLM655414 FVI655414 GFE655414 GPA655414 GYW655414 HIS655414 HSO655414 ICK655414 IMG655414 IWC655414 JFY655414 JPU655414 JZQ655414 KJM655414 KTI655414 LDE655414 LNA655414 LWW655414 MGS655414 MQO655414 NAK655414 NKG655414 NUC655414 ODY655414 ONU655414 OXQ655414 PHM655414 PRI655414 QBE655414 QLA655414 QUW655414 RES655414 ROO655414 RYK655414 SIG655414 SSC655414 TBY655414 TLU655414 TVQ655414 UFM655414 UPI655414 UZE655414 VJA655414 VSW655414 WCS655414 WMO655414 WWK655414 AB720950 JY720950 TU720950 ADQ720950 ANM720950 AXI720950 BHE720950 BRA720950 CAW720950 CKS720950 CUO720950 DEK720950 DOG720950 DYC720950 EHY720950 ERU720950 FBQ720950 FLM720950 FVI720950 GFE720950 GPA720950 GYW720950 HIS720950 HSO720950 ICK720950 IMG720950 IWC720950 JFY720950 JPU720950 JZQ720950 KJM720950 KTI720950 LDE720950 LNA720950 LWW720950 MGS720950 MQO720950 NAK720950 NKG720950 NUC720950 ODY720950 ONU720950 OXQ720950 PHM720950 PRI720950 QBE720950 QLA720950 QUW720950 RES720950 ROO720950 RYK720950 SIG720950 SSC720950 TBY720950 TLU720950 TVQ720950 UFM720950 UPI720950 UZE720950 VJA720950 VSW720950 WCS720950 WMO720950 WWK720950 AB786486 JY786486 TU786486 ADQ786486 ANM786486 AXI786486 BHE786486 BRA786486 CAW786486 CKS786486 CUO786486 DEK786486 DOG786486 DYC786486 EHY786486 ERU786486 FBQ786486 FLM786486 FVI786486 GFE786486 GPA786486 GYW786486 HIS786486 HSO786486 ICK786486 IMG786486 IWC786486 JFY786486 JPU786486 JZQ786486 KJM786486 KTI786486 LDE786486 LNA786486 LWW786486 MGS786486 MQO786486 NAK786486 NKG786486 NUC786486 ODY786486 ONU786486 OXQ786486 PHM786486 PRI786486 QBE786486 QLA786486 QUW786486 RES786486 ROO786486 RYK786486 SIG786486 SSC786486 TBY786486 TLU786486 TVQ786486 UFM786486 UPI786486 UZE786486 VJA786486 VSW786486 WCS786486 WMO786486 WWK786486 AB852022 JY852022 TU852022 ADQ852022 ANM852022 AXI852022 BHE852022 BRA852022 CAW852022 CKS852022 CUO852022 DEK852022 DOG852022 DYC852022 EHY852022 ERU852022 FBQ852022 FLM852022 FVI852022 GFE852022 GPA852022 GYW852022 HIS852022 HSO852022 ICK852022 IMG852022 IWC852022 JFY852022 JPU852022 JZQ852022 KJM852022 KTI852022 LDE852022 LNA852022 LWW852022 MGS852022 MQO852022 NAK852022 NKG852022 NUC852022 ODY852022 ONU852022 OXQ852022 PHM852022 PRI852022 QBE852022 QLA852022 QUW852022 RES852022 ROO852022 RYK852022 SIG852022 SSC852022 TBY852022 TLU852022 TVQ852022 UFM852022 UPI852022 UZE852022 VJA852022 VSW852022 WCS852022 WMO852022 WWK852022 AB917558 JY917558 TU917558 ADQ917558 ANM917558 AXI917558 BHE917558 BRA917558 CAW917558 CKS917558 CUO917558 DEK917558 DOG917558 DYC917558 EHY917558 ERU917558 FBQ917558 FLM917558 FVI917558 GFE917558 GPA917558 GYW917558 HIS917558 HSO917558 ICK917558 IMG917558 IWC917558 JFY917558 JPU917558 JZQ917558 KJM917558 KTI917558 LDE917558 LNA917558 LWW917558 MGS917558 MQO917558 NAK917558 NKG917558 NUC917558 ODY917558 ONU917558 OXQ917558 PHM917558 PRI917558 QBE917558 QLA917558 QUW917558 RES917558 ROO917558 RYK917558 SIG917558 SSC917558 TBY917558 TLU917558 TVQ917558 UFM917558 UPI917558 UZE917558 VJA917558 VSW917558 WCS917558 WMO917558 WWK917558 AB983094 JY983094 TU983094 ADQ983094 ANM983094 AXI983094 BHE983094 BRA983094 CAW983094 CKS983094 CUO983094 DEK983094 DOG983094 DYC983094 EHY983094 ERU983094 FBQ983094 FLM983094 FVI983094 GFE983094 GPA983094 GYW983094 HIS983094 HSO983094 ICK983094 IMG983094 IWC983094 JFY983094 JPU983094 JZQ983094 KJM983094 KTI983094 LDE983094 LNA983094 LWW983094 MGS983094 MQO983094 NAK983094 NKG983094 NUC983094 ODY983094 ONU983094 OXQ983094 PHM983094 PRI983094 QBE983094 QLA983094 QUW983094 RES983094 ROO983094 RYK983094 SIG983094 SSC983094 TBY983094 TLU983094 TVQ983094 UFM983094 UPI983094 UZE983094 VJA983094 VSW983094 WCS983094 WMO983094 WWK983094 QVF983094 KE27 UA27 ADW27 ANS27 AXO27 BHK27 BRG27 CBC27 CKY27 CUU27 DEQ27 DOM27 DYI27 EIE27 ESA27 FBW27 FLS27 FVO27 GFK27 GPG27 GZC27 HIY27 HSU27 ICQ27 IMM27 IWI27 JGE27 JQA27 JZW27 KJS27 KTO27 LDK27 LNG27 LXC27 MGY27 MQU27 NAQ27 NKM27 NUI27 OEE27 OOA27 OXW27 PHS27 PRO27 QBK27 QLG27 QVC27 REY27 ROU27 RYQ27 SIM27 SSI27 TCE27 TMA27 TVW27 UFS27 UPO27 UZK27 VJG27 VTC27 WCY27 WMU27 WWQ27 AH65590 KE65590 UA65590 ADW65590 ANS65590 AXO65590 BHK65590 BRG65590 CBC65590 CKY65590 CUU65590 DEQ65590 DOM65590 DYI65590 EIE65590 ESA65590 FBW65590 FLS65590 FVO65590 GFK65590 GPG65590 GZC65590 HIY65590 HSU65590 ICQ65590 IMM65590 IWI65590 JGE65590 JQA65590 JZW65590 KJS65590 KTO65590 LDK65590 LNG65590 LXC65590 MGY65590 MQU65590 NAQ65590 NKM65590 NUI65590 OEE65590 OOA65590 OXW65590 PHS65590 PRO65590 QBK65590 QLG65590 QVC65590 REY65590 ROU65590 RYQ65590 SIM65590 SSI65590 TCE65590 TMA65590 TVW65590 UFS65590 UPO65590 UZK65590 VJG65590 VTC65590 WCY65590 WMU65590 WWQ65590 AH131126 KE131126 UA131126 ADW131126 ANS131126 AXO131126 BHK131126 BRG131126 CBC131126 CKY131126 CUU131126 DEQ131126 DOM131126 DYI131126 EIE131126 ESA131126 FBW131126 FLS131126 FVO131126 GFK131126 GPG131126 GZC131126 HIY131126 HSU131126 ICQ131126 IMM131126 IWI131126 JGE131126 JQA131126 JZW131126 KJS131126 KTO131126 LDK131126 LNG131126 LXC131126 MGY131126 MQU131126 NAQ131126 NKM131126 NUI131126 OEE131126 OOA131126 OXW131126 PHS131126 PRO131126 QBK131126 QLG131126 QVC131126 REY131126 ROU131126 RYQ131126 SIM131126 SSI131126 TCE131126 TMA131126 TVW131126 UFS131126 UPO131126 UZK131126 VJG131126 VTC131126 WCY131126 WMU131126 WWQ131126 AH196662 KE196662 UA196662 ADW196662 ANS196662 AXO196662 BHK196662 BRG196662 CBC196662 CKY196662 CUU196662 DEQ196662 DOM196662 DYI196662 EIE196662 ESA196662 FBW196662 FLS196662 FVO196662 GFK196662 GPG196662 GZC196662 HIY196662 HSU196662 ICQ196662 IMM196662 IWI196662 JGE196662 JQA196662 JZW196662 KJS196662 KTO196662 LDK196662 LNG196662 LXC196662 MGY196662 MQU196662 NAQ196662 NKM196662 NUI196662 OEE196662 OOA196662 OXW196662 PHS196662 PRO196662 QBK196662 QLG196662 QVC196662 REY196662 ROU196662 RYQ196662 SIM196662 SSI196662 TCE196662 TMA196662 TVW196662 UFS196662 UPO196662 UZK196662 VJG196662 VTC196662 WCY196662 WMU196662 WWQ196662 AH262198 KE262198 UA262198 ADW262198 ANS262198 AXO262198 BHK262198 BRG262198 CBC262198 CKY262198 CUU262198 DEQ262198 DOM262198 DYI262198 EIE262198 ESA262198 FBW262198 FLS262198 FVO262198 GFK262198 GPG262198 GZC262198 HIY262198 HSU262198 ICQ262198 IMM262198 IWI262198 JGE262198 JQA262198 JZW262198 KJS262198 KTO262198 LDK262198 LNG262198 LXC262198 MGY262198 MQU262198 NAQ262198 NKM262198 NUI262198 OEE262198 OOA262198 OXW262198 PHS262198 PRO262198 QBK262198 QLG262198 QVC262198 REY262198 ROU262198 RYQ262198 SIM262198 SSI262198 TCE262198 TMA262198 TVW262198 UFS262198 UPO262198 UZK262198 VJG262198 VTC262198 WCY262198 WMU262198 WWQ262198 AH327734 KE327734 UA327734 ADW327734 ANS327734 AXO327734 BHK327734 BRG327734 CBC327734 CKY327734 CUU327734 DEQ327734 DOM327734 DYI327734 EIE327734 ESA327734 FBW327734 FLS327734 FVO327734 GFK327734 GPG327734 GZC327734 HIY327734 HSU327734 ICQ327734 IMM327734 IWI327734 JGE327734 JQA327734 JZW327734 KJS327734 KTO327734 LDK327734 LNG327734 LXC327734 MGY327734 MQU327734 NAQ327734 NKM327734 NUI327734 OEE327734 OOA327734 OXW327734 PHS327734 PRO327734 QBK327734 QLG327734 QVC327734 REY327734 ROU327734 RYQ327734 SIM327734 SSI327734 TCE327734 TMA327734 TVW327734 UFS327734 UPO327734 UZK327734 VJG327734 VTC327734 WCY327734 WMU327734 WWQ327734 AH393270 KE393270 UA393270 ADW393270 ANS393270 AXO393270 BHK393270 BRG393270 CBC393270 CKY393270 CUU393270 DEQ393270 DOM393270 DYI393270 EIE393270 ESA393270 FBW393270 FLS393270 FVO393270 GFK393270 GPG393270 GZC393270 HIY393270 HSU393270 ICQ393270 IMM393270 IWI393270 JGE393270 JQA393270 JZW393270 KJS393270 KTO393270 LDK393270 LNG393270 LXC393270 MGY393270 MQU393270 NAQ393270 NKM393270 NUI393270 OEE393270 OOA393270 OXW393270 PHS393270 PRO393270 QBK393270 QLG393270 QVC393270 REY393270 ROU393270 RYQ393270 SIM393270 SSI393270 TCE393270 TMA393270 TVW393270 UFS393270 UPO393270 UZK393270 VJG393270 VTC393270 WCY393270 WMU393270 WWQ393270 AH458806 KE458806 UA458806 ADW458806 ANS458806 AXO458806 BHK458806 BRG458806 CBC458806 CKY458806 CUU458806 DEQ458806 DOM458806 DYI458806 EIE458806 ESA458806 FBW458806 FLS458806 FVO458806 GFK458806 GPG458806 GZC458806 HIY458806 HSU458806 ICQ458806 IMM458806 IWI458806 JGE458806 JQA458806 JZW458806 KJS458806 KTO458806 LDK458806 LNG458806 LXC458806 MGY458806 MQU458806 NAQ458806 NKM458806 NUI458806 OEE458806 OOA458806 OXW458806 PHS458806 PRO458806 QBK458806 QLG458806 QVC458806 REY458806 ROU458806 RYQ458806 SIM458806 SSI458806 TCE458806 TMA458806 TVW458806 UFS458806 UPO458806 UZK458806 VJG458806 VTC458806 WCY458806 WMU458806 WWQ458806 AH524342 KE524342 UA524342 ADW524342 ANS524342 AXO524342 BHK524342 BRG524342 CBC524342 CKY524342 CUU524342 DEQ524342 DOM524342 DYI524342 EIE524342 ESA524342 FBW524342 FLS524342 FVO524342 GFK524342 GPG524342 GZC524342 HIY524342 HSU524342 ICQ524342 IMM524342 IWI524342 JGE524342 JQA524342 JZW524342 KJS524342 KTO524342 LDK524342 LNG524342 LXC524342 MGY524342 MQU524342 NAQ524342 NKM524342 NUI524342 OEE524342 OOA524342 OXW524342 PHS524342 PRO524342 QBK524342 QLG524342 QVC524342 REY524342 ROU524342 RYQ524342 SIM524342 SSI524342 TCE524342 TMA524342 TVW524342 UFS524342 UPO524342 UZK524342 VJG524342 VTC524342 WCY524342 WMU524342 WWQ524342 AH589878 KE589878 UA589878 ADW589878 ANS589878 AXO589878 BHK589878 BRG589878 CBC589878 CKY589878 CUU589878 DEQ589878 DOM589878 DYI589878 EIE589878 ESA589878 FBW589878 FLS589878 FVO589878 GFK589878 GPG589878 GZC589878 HIY589878 HSU589878 ICQ589878 IMM589878 IWI589878 JGE589878 JQA589878 JZW589878 KJS589878 KTO589878 LDK589878 LNG589878 LXC589878 MGY589878 MQU589878 NAQ589878 NKM589878 NUI589878 OEE589878 OOA589878 OXW589878 PHS589878 PRO589878 QBK589878 QLG589878 QVC589878 REY589878 ROU589878 RYQ589878 SIM589878 SSI589878 TCE589878 TMA589878 TVW589878 UFS589878 UPO589878 UZK589878 VJG589878 VTC589878 WCY589878 WMU589878 WWQ589878 AH655414 KE655414 UA655414 ADW655414 ANS655414 AXO655414 BHK655414 BRG655414 CBC655414 CKY655414 CUU655414 DEQ655414 DOM655414 DYI655414 EIE655414 ESA655414 FBW655414 FLS655414 FVO655414 GFK655414 GPG655414 GZC655414 HIY655414 HSU655414 ICQ655414 IMM655414 IWI655414 JGE655414 JQA655414 JZW655414 KJS655414 KTO655414 LDK655414 LNG655414 LXC655414 MGY655414 MQU655414 NAQ655414 NKM655414 NUI655414 OEE655414 OOA655414 OXW655414 PHS655414 PRO655414 QBK655414 QLG655414 QVC655414 REY655414 ROU655414 RYQ655414 SIM655414 SSI655414 TCE655414 TMA655414 TVW655414 UFS655414 UPO655414 UZK655414 VJG655414 VTC655414 WCY655414 WMU655414 WWQ655414 AH720950 KE720950 UA720950 ADW720950 ANS720950 AXO720950 BHK720950 BRG720950 CBC720950 CKY720950 CUU720950 DEQ720950 DOM720950 DYI720950 EIE720950 ESA720950 FBW720950 FLS720950 FVO720950 GFK720950 GPG720950 GZC720950 HIY720950 HSU720950 ICQ720950 IMM720950 IWI720950 JGE720950 JQA720950 JZW720950 KJS720950 KTO720950 LDK720950 LNG720950 LXC720950 MGY720950 MQU720950 NAQ720950 NKM720950 NUI720950 OEE720950 OOA720950 OXW720950 PHS720950 PRO720950 QBK720950 QLG720950 QVC720950 REY720950 ROU720950 RYQ720950 SIM720950 SSI720950 TCE720950 TMA720950 TVW720950 UFS720950 UPO720950 UZK720950 VJG720950 VTC720950 WCY720950 WMU720950 WWQ720950 AH786486 KE786486 UA786486 ADW786486 ANS786486 AXO786486 BHK786486 BRG786486 CBC786486 CKY786486 CUU786486 DEQ786486 DOM786486 DYI786486 EIE786486 ESA786486 FBW786486 FLS786486 FVO786486 GFK786486 GPG786486 GZC786486 HIY786486 HSU786486 ICQ786486 IMM786486 IWI786486 JGE786486 JQA786486 JZW786486 KJS786486 KTO786486 LDK786486 LNG786486 LXC786486 MGY786486 MQU786486 NAQ786486 NKM786486 NUI786486 OEE786486 OOA786486 OXW786486 PHS786486 PRO786486 QBK786486 QLG786486 QVC786486 REY786486 ROU786486 RYQ786486 SIM786486 SSI786486 TCE786486 TMA786486 TVW786486 UFS786486 UPO786486 UZK786486 VJG786486 VTC786486 WCY786486 WMU786486 WWQ786486 AH852022 KE852022 UA852022 ADW852022 ANS852022 AXO852022 BHK852022 BRG852022 CBC852022 CKY852022 CUU852022 DEQ852022 DOM852022 DYI852022 EIE852022 ESA852022 FBW852022 FLS852022 FVO852022 GFK852022 GPG852022 GZC852022 HIY852022 HSU852022 ICQ852022 IMM852022 IWI852022 JGE852022 JQA852022 JZW852022 KJS852022 KTO852022 LDK852022 LNG852022 LXC852022 MGY852022 MQU852022 NAQ852022 NKM852022 NUI852022 OEE852022 OOA852022 OXW852022 PHS852022 PRO852022 QBK852022 QLG852022 QVC852022 REY852022 ROU852022 RYQ852022 SIM852022 SSI852022 TCE852022 TMA852022 TVW852022 UFS852022 UPO852022 UZK852022 VJG852022 VTC852022 WCY852022 WMU852022 WWQ852022 AH917558 KE917558 UA917558 ADW917558 ANS917558 AXO917558 BHK917558 BRG917558 CBC917558 CKY917558 CUU917558 DEQ917558 DOM917558 DYI917558 EIE917558 ESA917558 FBW917558 FLS917558 FVO917558 GFK917558 GPG917558 GZC917558 HIY917558 HSU917558 ICQ917558 IMM917558 IWI917558 JGE917558 JQA917558 JZW917558 KJS917558 KTO917558 LDK917558 LNG917558 LXC917558 MGY917558 MQU917558 NAQ917558 NKM917558 NUI917558 OEE917558 OOA917558 OXW917558 PHS917558 PRO917558 QBK917558 QLG917558 QVC917558 REY917558 ROU917558 RYQ917558 SIM917558 SSI917558 TCE917558 TMA917558 TVW917558 UFS917558 UPO917558 UZK917558 VJG917558 VTC917558 WCY917558 WMU917558 WWQ917558 AH983094 KE983094 UA983094 ADW983094 ANS983094 AXO983094 BHK983094 BRG983094 CBC983094 CKY983094 CUU983094 DEQ983094 DOM983094 DYI983094 EIE983094 ESA983094 FBW983094 FLS983094 FVO983094 GFK983094 GPG983094 GZC983094 HIY983094 HSU983094 ICQ983094 IMM983094 IWI983094 JGE983094 JQA983094 JZW983094 KJS983094 KTO983094 LDK983094 LNG983094 LXC983094 MGY983094 MQU983094 NAQ983094 NKM983094 NUI983094 OEE983094 OOA983094 OXW983094 PHS983094 PRO983094 QBK983094 QLG983094 QVC983094 REY983094 ROU983094 RYQ983094 SIM983094 SSI983094 TCE983094 TMA983094 TVW983094 UFS983094 UPO983094 UZK983094 VJG983094 VTC983094 WCY983094 WMU983094 WWQ983094 RFB983094 KH27 UD27 ADZ27 ANV27 AXR27 BHN27 BRJ27 CBF27 CLB27 CUX27 DET27 DOP27 DYL27 EIH27 ESD27 FBZ27 FLV27 FVR27 GFN27 GPJ27 GZF27 HJB27 HSX27 ICT27 IMP27 IWL27 JGH27 JQD27 JZZ27 KJV27 KTR27 LDN27 LNJ27 LXF27 MHB27 MQX27 NAT27 NKP27 NUL27 OEH27 OOD27 OXZ27 PHV27 PRR27 QBN27 QLJ27 QVF27 RFB27 ROX27 RYT27 SIP27 SSL27 TCH27 TMD27 TVZ27 UFV27 UPR27 UZN27 VJJ27 VTF27 WDB27 WMX27 WWT27 AK65590 KH65590 UD65590 ADZ65590 ANV65590 AXR65590 BHN65590 BRJ65590 CBF65590 CLB65590 CUX65590 DET65590 DOP65590 DYL65590 EIH65590 ESD65590 FBZ65590 FLV65590 FVR65590 GFN65590 GPJ65590 GZF65590 HJB65590 HSX65590 ICT65590 IMP65590 IWL65590 JGH65590 JQD65590 JZZ65590 KJV65590 KTR65590 LDN65590 LNJ65590 LXF65590 MHB65590 MQX65590 NAT65590 NKP65590 NUL65590 OEH65590 OOD65590 OXZ65590 PHV65590 PRR65590 QBN65590 QLJ65590 QVF65590 RFB65590 ROX65590 RYT65590 SIP65590 SSL65590 TCH65590 TMD65590 TVZ65590 UFV65590 UPR65590 UZN65590 VJJ65590 VTF65590 WDB65590 WMX65590 WWT65590 AK131126 KH131126 UD131126 ADZ131126 ANV131126 AXR131126 BHN131126 BRJ131126 CBF131126 CLB131126 CUX131126 DET131126 DOP131126 DYL131126 EIH131126 ESD131126 FBZ131126 FLV131126 FVR131126 GFN131126 GPJ131126 GZF131126 HJB131126 HSX131126 ICT131126 IMP131126 IWL131126 JGH131126 JQD131126 JZZ131126 KJV131126 KTR131126 LDN131126 LNJ131126 LXF131126 MHB131126 MQX131126 NAT131126 NKP131126 NUL131126 OEH131126 OOD131126 OXZ131126 PHV131126 PRR131126 QBN131126 QLJ131126 QVF131126 RFB131126 ROX131126 RYT131126 SIP131126 SSL131126 TCH131126 TMD131126 TVZ131126 UFV131126 UPR131126 UZN131126 VJJ131126 VTF131126 WDB131126 WMX131126 WWT131126 AK196662 KH196662 UD196662 ADZ196662 ANV196662 AXR196662 BHN196662 BRJ196662 CBF196662 CLB196662 CUX196662 DET196662 DOP196662 DYL196662 EIH196662 ESD196662 FBZ196662 FLV196662 FVR196662 GFN196662 GPJ196662 GZF196662 HJB196662 HSX196662 ICT196662 IMP196662 IWL196662 JGH196662 JQD196662 JZZ196662 KJV196662 KTR196662 LDN196662 LNJ196662 LXF196662 MHB196662 MQX196662 NAT196662 NKP196662 NUL196662 OEH196662 OOD196662 OXZ196662 PHV196662 PRR196662 QBN196662 QLJ196662 QVF196662 RFB196662 ROX196662 RYT196662 SIP196662 SSL196662 TCH196662 TMD196662 TVZ196662 UFV196662 UPR196662 UZN196662 VJJ196662 VTF196662 WDB196662 WMX196662 WWT196662 AK262198 KH262198 UD262198 ADZ262198 ANV262198 AXR262198 BHN262198 BRJ262198 CBF262198 CLB262198 CUX262198 DET262198 DOP262198 DYL262198 EIH262198 ESD262198 FBZ262198 FLV262198 FVR262198 GFN262198 GPJ262198 GZF262198 HJB262198 HSX262198 ICT262198 IMP262198 IWL262198 JGH262198 JQD262198 JZZ262198 KJV262198 KTR262198 LDN262198 LNJ262198 LXF262198 MHB262198 MQX262198 NAT262198 NKP262198 NUL262198 OEH262198 OOD262198 OXZ262198 PHV262198 PRR262198 QBN262198 QLJ262198 QVF262198 RFB262198 ROX262198 RYT262198 SIP262198 SSL262198 TCH262198 TMD262198 TVZ262198 UFV262198 UPR262198 UZN262198 VJJ262198 VTF262198 WDB262198 WMX262198 WWT262198 AK327734 KH327734 UD327734 ADZ327734 ANV327734 AXR327734 BHN327734 BRJ327734 CBF327734 CLB327734 CUX327734 DET327734 DOP327734 DYL327734 EIH327734 ESD327734 FBZ327734 FLV327734 FVR327734 GFN327734 GPJ327734 GZF327734 HJB327734 HSX327734 ICT327734 IMP327734 IWL327734 JGH327734 JQD327734 JZZ327734 KJV327734 KTR327734 LDN327734 LNJ327734 LXF327734 MHB327734 MQX327734 NAT327734 NKP327734 NUL327734 OEH327734 OOD327734 OXZ327734 PHV327734 PRR327734 QBN327734 QLJ327734 QVF327734 RFB327734 ROX327734 RYT327734 SIP327734 SSL327734 TCH327734 TMD327734 TVZ327734 UFV327734 UPR327734 UZN327734 VJJ327734 VTF327734 WDB327734 WMX327734 WWT327734 AK393270 KH393270 UD393270 ADZ393270 ANV393270 AXR393270 BHN393270 BRJ393270 CBF393270 CLB393270 CUX393270 DET393270 DOP393270 DYL393270 EIH393270 ESD393270 FBZ393270 FLV393270 FVR393270 GFN393270 GPJ393270 GZF393270 HJB393270 HSX393270 ICT393270 IMP393270 IWL393270 JGH393270 JQD393270 JZZ393270 KJV393270 KTR393270 LDN393270 LNJ393270 LXF393270 MHB393270 MQX393270 NAT393270 NKP393270 NUL393270 OEH393270 OOD393270 OXZ393270 PHV393270 PRR393270 QBN393270 QLJ393270 QVF393270 RFB393270 ROX393270 RYT393270 SIP393270 SSL393270 TCH393270 TMD393270 TVZ393270 UFV393270 UPR393270 UZN393270 VJJ393270 VTF393270 WDB393270 WMX393270 WWT393270 AK458806 KH458806 UD458806 ADZ458806 ANV458806 AXR458806 BHN458806 BRJ458806 CBF458806 CLB458806 CUX458806 DET458806 DOP458806 DYL458806 EIH458806 ESD458806 FBZ458806 FLV458806 FVR458806 GFN458806 GPJ458806 GZF458806 HJB458806 HSX458806 ICT458806 IMP458806 IWL458806 JGH458806 JQD458806 JZZ458806 KJV458806 KTR458806 LDN458806 LNJ458806 LXF458806 MHB458806 MQX458806 NAT458806 NKP458806 NUL458806 OEH458806 OOD458806 OXZ458806 PHV458806 PRR458806 QBN458806 QLJ458806 QVF458806 RFB458806 ROX458806 RYT458806 SIP458806 SSL458806 TCH458806 TMD458806 TVZ458806 UFV458806 UPR458806 UZN458806 VJJ458806 VTF458806 WDB458806 WMX458806 WWT458806 AK524342 KH524342 UD524342 ADZ524342 ANV524342 AXR524342 BHN524342 BRJ524342 CBF524342 CLB524342 CUX524342 DET524342 DOP524342 DYL524342 EIH524342 ESD524342 FBZ524342 FLV524342 FVR524342 GFN524342 GPJ524342 GZF524342 HJB524342 HSX524342 ICT524342 IMP524342 IWL524342 JGH524342 JQD524342 JZZ524342 KJV524342 KTR524342 LDN524342 LNJ524342 LXF524342 MHB524342 MQX524342 NAT524342 NKP524342 NUL524342 OEH524342 OOD524342 OXZ524342 PHV524342 PRR524342 QBN524342 QLJ524342 QVF524342 RFB524342 ROX524342 RYT524342 SIP524342 SSL524342 TCH524342 TMD524342 TVZ524342 UFV524342 UPR524342 UZN524342 VJJ524342 VTF524342 WDB524342 WMX524342 WWT524342 AK589878 KH589878 UD589878 ADZ589878 ANV589878 AXR589878 BHN589878 BRJ589878 CBF589878 CLB589878 CUX589878 DET589878 DOP589878 DYL589878 EIH589878 ESD589878 FBZ589878 FLV589878 FVR589878 GFN589878 GPJ589878 GZF589878 HJB589878 HSX589878 ICT589878 IMP589878 IWL589878 JGH589878 JQD589878 JZZ589878 KJV589878 KTR589878 LDN589878 LNJ589878 LXF589878 MHB589878 MQX589878 NAT589878 NKP589878 NUL589878 OEH589878 OOD589878 OXZ589878 PHV589878 PRR589878 QBN589878 QLJ589878 QVF589878 RFB589878 ROX589878 RYT589878 SIP589878 SSL589878 TCH589878 TMD589878 TVZ589878 UFV589878 UPR589878 UZN589878 VJJ589878 VTF589878 WDB589878 WMX589878 WWT589878 AK655414 KH655414 UD655414 ADZ655414 ANV655414 AXR655414 BHN655414 BRJ655414 CBF655414 CLB655414 CUX655414 DET655414 DOP655414 DYL655414 EIH655414 ESD655414 FBZ655414 FLV655414 FVR655414 GFN655414 GPJ655414 GZF655414 HJB655414 HSX655414 ICT655414 IMP655414 IWL655414 JGH655414 JQD655414 JZZ655414 KJV655414 KTR655414 LDN655414 LNJ655414 LXF655414 MHB655414 MQX655414 NAT655414 NKP655414 NUL655414 OEH655414 OOD655414 OXZ655414 PHV655414 PRR655414 QBN655414 QLJ655414 QVF655414 RFB655414 ROX655414 RYT655414 SIP655414 SSL655414 TCH655414 TMD655414 TVZ655414 UFV655414 UPR655414 UZN655414 VJJ655414 VTF655414 WDB655414 WMX655414 WWT655414 AK720950 KH720950 UD720950 ADZ720950 ANV720950 AXR720950 BHN720950 BRJ720950 CBF720950 CLB720950 CUX720950 DET720950 DOP720950 DYL720950 EIH720950 ESD720950 FBZ720950 FLV720950 FVR720950 GFN720950 GPJ720950 GZF720950 HJB720950 HSX720950 ICT720950 IMP720950 IWL720950 JGH720950 JQD720950 JZZ720950 KJV720950 KTR720950 LDN720950 LNJ720950 LXF720950 MHB720950 MQX720950 NAT720950 NKP720950 NUL720950 OEH720950 OOD720950 OXZ720950 PHV720950 PRR720950 QBN720950 QLJ720950 QVF720950 RFB720950 ROX720950 RYT720950 SIP720950 SSL720950 TCH720950 TMD720950 TVZ720950 UFV720950 UPR720950 UZN720950 VJJ720950 VTF720950 WDB720950 WMX720950 WWT720950 AK786486 KH786486 UD786486 ADZ786486 ANV786486 AXR786486 BHN786486 BRJ786486 CBF786486 CLB786486 CUX786486 DET786486 DOP786486 DYL786486 EIH786486 ESD786486 FBZ786486 FLV786486 FVR786486 GFN786486 GPJ786486 GZF786486 HJB786486 HSX786486 ICT786486 IMP786486 IWL786486 JGH786486 JQD786486 JZZ786486 KJV786486 KTR786486 LDN786486 LNJ786486 LXF786486 MHB786486 MQX786486 NAT786486 NKP786486 NUL786486 OEH786486 OOD786486 OXZ786486 PHV786486 PRR786486 QBN786486 QLJ786486 QVF786486 RFB786486 ROX786486 RYT786486 SIP786486 SSL786486 TCH786486 TMD786486 TVZ786486 UFV786486 UPR786486 UZN786486 VJJ786486 VTF786486 WDB786486 WMX786486 WWT786486 AK852022 KH852022 UD852022 ADZ852022 ANV852022 AXR852022 BHN852022 BRJ852022 CBF852022 CLB852022 CUX852022 DET852022 DOP852022 DYL852022 EIH852022 ESD852022 FBZ852022 FLV852022 FVR852022 GFN852022 GPJ852022 GZF852022 HJB852022 HSX852022 ICT852022 IMP852022 IWL852022 JGH852022 JQD852022 JZZ852022 KJV852022 KTR852022 LDN852022 LNJ852022 LXF852022 MHB852022 MQX852022 NAT852022 NKP852022 NUL852022 OEH852022 OOD852022 OXZ852022 PHV852022 PRR852022 QBN852022 QLJ852022 QVF852022 RFB852022 ROX852022 RYT852022 SIP852022 SSL852022 TCH852022 TMD852022 TVZ852022 UFV852022 UPR852022 UZN852022 VJJ852022 VTF852022 WDB852022 WMX852022 WWT852022 AK917558 KH917558 UD917558 ADZ917558 ANV917558 AXR917558 BHN917558 BRJ917558 CBF917558 CLB917558 CUX917558 DET917558 DOP917558 DYL917558 EIH917558 ESD917558 FBZ917558 FLV917558 FVR917558 GFN917558 GPJ917558 GZF917558 HJB917558 HSX917558 ICT917558 IMP917558 IWL917558 JGH917558 JQD917558 JZZ917558 KJV917558 KTR917558 LDN917558 LNJ917558 LXF917558 MHB917558 MQX917558 NAT917558 NKP917558 NUL917558 OEH917558 OOD917558 OXZ917558 PHV917558 PRR917558 QBN917558 QLJ917558 QVF917558 RFB917558 ROX917558 RYT917558 SIP917558 SSL917558 TCH917558 TMD917558 TVZ917558 UFV917558 UPR917558 UZN917558 VJJ917558 VTF917558 WDB917558 WMX917558 WWT917558 AK983094 KH983094 UD983094 ADZ983094 ANV983094 AXR983094 BHN983094 BRJ983094 CBF983094 CLB983094 CUX983094 DET983094 DOP983094 DYL983094 EIH983094 ESD983094 FBZ983094 FLV983094 FVR983094 GFN983094 GPJ983094 GZF983094 HJB983094 HSX983094 ICT983094 IMP983094 IWL983094 JGH983094 JQD983094 JZZ983094 KJV983094 KTR983094 LDN983094 LNJ983094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F471C9A7CDB14499262F508AC2E151" ma:contentTypeVersion="16" ma:contentTypeDescription="Create a new document." ma:contentTypeScope="" ma:versionID="6ac89f373a63fa834afed34fb66d7209">
  <xsd:schema xmlns:xsd="http://www.w3.org/2001/XMLSchema" xmlns:xs="http://www.w3.org/2001/XMLSchema" xmlns:p="http://schemas.microsoft.com/office/2006/metadata/properties" xmlns:ns1="http://schemas.microsoft.com/sharepoint/v3" xmlns:ns2="798c6926-e431-4219-b88d-9e835fac1134" xmlns:ns3="26420280-1109-4343-bd7c-2695e66fc6b8" targetNamespace="http://schemas.microsoft.com/office/2006/metadata/properties" ma:root="true" ma:fieldsID="f7775922d1fbcdb14e6317a6fe61d1ce" ns1:_="" ns2:_="" ns3:_="">
    <xsd:import namespace="http://schemas.microsoft.com/sharepoint/v3"/>
    <xsd:import namespace="798c6926-e431-4219-b88d-9e835fac1134"/>
    <xsd:import namespace="26420280-1109-4343-bd7c-2695e66fc6b8"/>
    <xsd:element name="properties">
      <xsd:complexType>
        <xsd:sequence>
          <xsd:element name="documentManagement">
            <xsd:complexType>
              <xsd:all>
                <xsd:element ref="ns2:SharedWithUsers" minOccurs="0"/>
                <xsd:element ref="ns2:SharedWithDetails" minOccurs="0"/>
                <xsd:element ref="ns3:Create_x0020_Monday_x0020_Folder" minOccurs="0"/>
                <xsd:element ref="ns1:_ip_UnifiedCompliancePolicyProperties" minOccurs="0"/>
                <xsd:element ref="ns1:_ip_UnifiedCompliancePolicyUIAction"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EventHashCode" minOccurs="0"/>
                <xsd:element ref="ns3:MediaServiceGenerationTime"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description="" ma:hidden="true" ma:internalName="_ip_UnifiedCompliancePolicyProperties">
      <xsd:simpleType>
        <xsd:restriction base="dms:Note"/>
      </xsd:simpleType>
    </xsd:element>
    <xsd:element name="_ip_UnifiedCompliancePolicyUIAction" ma:index="12"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8c6926-e431-4219-b88d-9e835fac1134"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6420280-1109-4343-bd7c-2695e66fc6b8" elementFormDefault="qualified">
    <xsd:import namespace="http://schemas.microsoft.com/office/2006/documentManagement/types"/>
    <xsd:import namespace="http://schemas.microsoft.com/office/infopath/2007/PartnerControls"/>
    <xsd:element name="Create_x0020_Monday_x0020_Folder" ma:index="10" nillable="true" ma:displayName="Create Monday Folder" ma:internalName="Create_x0020_Monday_x0020_Folder">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Location" ma:index="17" nillable="true" ma:displayName="MediaServiceLocation" ma:description="" ma:internalName="MediaServiceLocation" ma:readOnly="true">
      <xsd:simpleType>
        <xsd:restriction base="dms:Text"/>
      </xsd:simpleType>
    </xsd:element>
    <xsd:element name="MediaServiceOCR" ma:index="18" nillable="true" ma:displayName="MediaServiceOCR" ma:internalName="MediaServiceOCR" ma:readOnly="true">
      <xsd:simpleType>
        <xsd:restriction base="dms:Note">
          <xsd:maxLength value="255"/>
        </xsd:restriction>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Create_x0020_Monday_x0020_Folder xmlns="26420280-1109-4343-bd7c-2695e66fc6b8">
      <Url xsi:nil="true"/>
      <Description xsi:nil="true"/>
    </Create_x0020_Monday_x0020_Folder>
    <_ip_UnifiedCompliancePolicyProperties xmlns="http://schemas.microsoft.com/sharepoint/v3" xsi:nil="true"/>
    <_Flow_SignoffStatus xmlns="26420280-1109-4343-bd7c-2695e66fc6b8" xsi:nil="true"/>
  </documentManagement>
</p:properties>
</file>

<file path=customXml/itemProps1.xml><?xml version="1.0" encoding="utf-8"?>
<ds:datastoreItem xmlns:ds="http://schemas.openxmlformats.org/officeDocument/2006/customXml" ds:itemID="{EB8055B7-F19A-428E-A9B3-26F71F36CC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98c6926-e431-4219-b88d-9e835fac1134"/>
    <ds:schemaRef ds:uri="26420280-1109-4343-bd7c-2695e66fc6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2F7967-AC2C-434D-A7C1-F7432577CCFE}">
  <ds:schemaRefs>
    <ds:schemaRef ds:uri="http://schemas.microsoft.com/sharepoint/v3/contenttype/forms"/>
  </ds:schemaRefs>
</ds:datastoreItem>
</file>

<file path=customXml/itemProps3.xml><?xml version="1.0" encoding="utf-8"?>
<ds:datastoreItem xmlns:ds="http://schemas.openxmlformats.org/officeDocument/2006/customXml" ds:itemID="{334AAFD3-48B2-46CB-950C-63215B2BF183}">
  <ds:schemaRefs>
    <ds:schemaRef ds:uri="http://schemas.microsoft.com/office/2006/metadata/properties"/>
    <ds:schemaRef ds:uri="http://schemas.microsoft.com/office/infopath/2007/PartnerControls"/>
    <ds:schemaRef ds:uri="http://schemas.microsoft.com/sharepoint/v3"/>
    <ds:schemaRef ds:uri="26420280-1109-4343-bd7c-2695e66fc6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Инструкция</vt:lpstr>
      <vt:lpstr>Структура ресторана</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PPR RESTAURANT</dc:title>
  <dc:subject/>
  <dc:creator>Yuriy Fedotov</dc:creator>
  <cp:keywords/>
  <dc:description/>
  <cp:lastModifiedBy>Zubkova, Elena</cp:lastModifiedBy>
  <cp:revision/>
  <dcterms:created xsi:type="dcterms:W3CDTF">2014-11-12T03:30:24Z</dcterms:created>
  <dcterms:modified xsi:type="dcterms:W3CDTF">2021-06-02T06:37:19Z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0x01010062F471C9A7CDB14499262F508AC2E151</vt:lpwstr>
  </property>
</Properties>
</file>